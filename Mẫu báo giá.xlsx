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-Tuan Nguyen\Desktop\Báo cáo gido\"/>
    </mc:Choice>
  </mc:AlternateContent>
  <xr:revisionPtr revIDLastSave="0" documentId="8_{37BA7F38-9688-4258-B491-3EB64279BB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" i="1" l="1"/>
</calcChain>
</file>

<file path=xl/sharedStrings.xml><?xml version="1.0" encoding="utf-8"?>
<sst xmlns="http://schemas.openxmlformats.org/spreadsheetml/2006/main" count="60" uniqueCount="39">
  <si>
    <t>起运地</t>
  </si>
  <si>
    <t>目的地</t>
  </si>
  <si>
    <t>2.5T 4.2x1.7x1.75m</t>
  </si>
  <si>
    <t>3.5T 3.1x1.6x1.6</t>
  </si>
  <si>
    <t>5T 5.8x2.1x2.1m</t>
  </si>
  <si>
    <t>8T 7.3x2.3x2.3m</t>
  </si>
  <si>
    <t>10T 9.5x2.35x2.3m</t>
  </si>
  <si>
    <t>CONT 20</t>
  </si>
  <si>
    <t>CONT 40</t>
  </si>
  <si>
    <t>CONT 45</t>
  </si>
  <si>
    <t>高栏车 high-sided truck 14M rào 14m</t>
  </si>
  <si>
    <t>平坦车 flatbed truck 14.3M sàn 14.3m</t>
  </si>
  <si>
    <t>超地版 xe FOOC lùn 18m</t>
  </si>
  <si>
    <t>时效(H)</t>
  </si>
  <si>
    <t>春運貨場/Vietel物流园 Xuân Cương</t>
  </si>
  <si>
    <t>北歌尔工厂 Goertek Bắc Ninh - KCN Quế Võ/Nam Sơn Hạp Linh</t>
  </si>
  <si>
    <t>新清 Tân Thanh</t>
  </si>
  <si>
    <t>芒街 Móng Cái</t>
  </si>
  <si>
    <t>峙马 Chi Ma</t>
  </si>
  <si>
    <t>锦寮 - 友谊关各货场 Pô Chai - Bài xe hàng HNQL</t>
  </si>
  <si>
    <t>北歌尔分拨仓 Kho phận bố Goertek Nam Sơn Hạp Linh</t>
  </si>
  <si>
    <t>16h D+1</t>
  </si>
  <si>
    <t>19h D+1</t>
  </si>
  <si>
    <t>1.9T 4380*1850*1900m</t>
  </si>
  <si>
    <t>LÀM TRÒN</t>
  </si>
  <si>
    <t xml:space="preserve">Ghi chú: </t>
  </si>
  <si>
    <t xml:space="preserve">- Giá cước vận chuyển trên chưa bao gồm thuế giá trị gia tăng (VAT) </t>
  </si>
  <si>
    <t>- Phí lưu ca bắt đầu tính từ 15 giờ 00 phút ngày tiếp theo kể từ ngày đến nhận hàng/giao hàng</t>
  </si>
  <si>
    <t>- Phí lưu 02 ca đầu: 1.000.000đ/ngày</t>
  </si>
  <si>
    <t>- Phí lưu từ ca 3 đến ca 5: 1.500.000đ/ngày</t>
  </si>
  <si>
    <t>- Phí lưu ca thứ 6 trở đi: 2.000.000đ/ngày</t>
  </si>
  <si>
    <t>- Giá chưa bao gồm: phí bến bãi, bốc xếp, phí cân xe, nâng hạ hàng hóa, phí thủ tục xuất nhập cảnh</t>
  </si>
  <si>
    <t>- Giá đã bao gồm phí cầu đường bộ, Lương lái xe, Chi phí nhiên liệu (dầu)</t>
  </si>
  <si>
    <t>- Trường hợp hủy chuyến: Nếu xe đã đi được nửa đường hoặc đến nhà máy, khách hàng sẽ phải thanh toán 50% cước phí.</t>
  </si>
  <si>
    <t>- Khi giá dầu dezen có sự biến động +/- 10% giá cước sẽ được hai bên điều chỉnh lại.</t>
  </si>
  <si>
    <t>Tên đơn vị: CÔNG TY CỔ PHẦN ĐẠO TRƯỜNG AN</t>
  </si>
  <si>
    <t>Địa chỉ: Thôn Hà Tiên, Xã Thượng Hồng, Thành phố Hải Phòng, Việt Nam</t>
  </si>
  <si>
    <t>MST: 0801409411</t>
  </si>
  <si>
    <t>BÁO GIÁ CƯỚC VẬN CHUYỂN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</si>
</sst>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Calibri"/>
      <family val="2"/>
      <charset val="163"/>
      <scheme val="minor"/>
    </font>
    <font>
      <sz val="11"/>
      <color theme="1"/>
      <name val="Times New Roman"/>
      <family val="2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8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1" xfId="1" applyFont="1" applyBorder="1"/>
    <xf numFmtId="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0" fillId="2" borderId="1" xfId="0" applyFill="1" applyBorder="1"/>
    <xf numFmtId="164" fontId="0" fillId="0" borderId="1" xfId="0" applyNumberFormat="1" applyBorder="1"/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left" vertical="center" indent="1"/>
    </xf>
    <xf numFmtId="0" fontId="4" fillId="0" borderId="0" xfId="0" applyFont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right" wrapText="1"/>
    </xf>
    <xf numFmtId="0" fontId="6" fillId="3" borderId="0" xfId="0" applyFont="1" applyFill="1" applyAlignment="1">
      <alignment horizontal="left"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3" borderId="0" xfId="0" applyFont="1" applyFill="1" applyAlignment="1">
      <alignment horizontal="center" wrapText="1"/>
    </xf>
    <xf numFmtId="0" fontId="4" fillId="0" borderId="0" xfId="2" applyFont="1" applyAlignment="1">
      <alignment horizontal="center" vertical="center"/>
    </xf>
    <xf numFmtId="0" fontId="5" fillId="3" borderId="0" xfId="0" applyFont="1" applyFill="1" applyAlignment="1">
      <alignment horizontal="left" wrapText="1"/>
    </xf>
    <xf numFmtId="0" fontId="9" fillId="0" borderId="2" xfId="2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Normal 2" xfId="2" xr:uid="{B83DBBAB-2762-46AE-9F63-0E41E12FAE7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"/>
  <sheetViews>
    <sheetView tabSelected="1" topLeftCell="A4" zoomScale="55" zoomScaleNormal="55" workbookViewId="0">
      <selection activeCell="H11" sqref="H11"/>
    </sheetView>
  </sheetViews>
  <sheetFormatPr defaultRowHeight="15.5" x14ac:dyDescent="0.35"/>
  <cols>
    <col min="1" max="1" width="23.58203125" customWidth="1"/>
    <col min="2" max="2" width="28.58203125" customWidth="1"/>
    <col min="3" max="3" width="16.33203125" customWidth="1"/>
    <col min="4" max="8" width="12.9140625" customWidth="1"/>
    <col min="9" max="10" width="12.1640625" customWidth="1"/>
    <col min="11" max="11" width="13.9140625" customWidth="1"/>
    <col min="12" max="14" width="14.6640625" customWidth="1"/>
    <col min="15" max="15" width="8.83203125" customWidth="1"/>
    <col min="28" max="28" width="11.1640625" customWidth="1"/>
    <col min="30" max="30" width="10.1640625" bestFit="1" customWidth="1"/>
    <col min="31" max="41" width="11.83203125" customWidth="1"/>
    <col min="42" max="42" width="8.4140625" customWidth="1"/>
    <col min="43" max="46" width="11.83203125" customWidth="1"/>
    <col min="47" max="47" width="11.08203125" customWidth="1"/>
    <col min="48" max="48" width="10.9140625" customWidth="1"/>
  </cols>
  <sheetData>
    <row r="1" spans="1:49" s="20" customFormat="1" ht="20.399999999999999" customHeight="1" x14ac:dyDescent="0.35">
      <c r="A1" s="23" t="s">
        <v>35</v>
      </c>
      <c r="B1" s="23"/>
      <c r="C1" s="23"/>
      <c r="D1" s="14"/>
      <c r="E1" s="14"/>
      <c r="F1" s="15"/>
      <c r="G1" s="15"/>
      <c r="H1" s="15"/>
      <c r="I1" s="15"/>
      <c r="J1" s="16"/>
      <c r="K1" s="16"/>
      <c r="L1" s="16"/>
      <c r="M1" s="17"/>
      <c r="N1" s="18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9"/>
      <c r="AB1" s="19"/>
      <c r="AC1" s="19"/>
    </row>
    <row r="2" spans="1:49" s="20" customFormat="1" ht="16.75" customHeight="1" x14ac:dyDescent="0.35">
      <c r="A2" s="23" t="s">
        <v>36</v>
      </c>
      <c r="B2" s="23"/>
      <c r="C2" s="23"/>
      <c r="D2" s="23"/>
      <c r="E2" s="23"/>
      <c r="F2" s="15"/>
      <c r="G2" s="15"/>
      <c r="H2" s="15"/>
      <c r="I2" s="15"/>
      <c r="J2" s="16"/>
      <c r="K2" s="16"/>
      <c r="L2" s="16"/>
      <c r="M2" s="17"/>
      <c r="N2" s="18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9"/>
      <c r="AB2" s="19"/>
      <c r="AC2" s="19"/>
    </row>
    <row r="3" spans="1:49" s="20" customFormat="1" ht="18" customHeight="1" x14ac:dyDescent="0.35">
      <c r="A3" s="23" t="s">
        <v>37</v>
      </c>
      <c r="B3" s="23"/>
      <c r="C3" s="15"/>
      <c r="D3" s="15"/>
      <c r="E3" s="15"/>
      <c r="F3" s="15"/>
      <c r="G3" s="21"/>
      <c r="H3" s="16"/>
      <c r="I3" s="16"/>
      <c r="J3" s="16"/>
      <c r="K3" s="16"/>
      <c r="L3" s="16"/>
      <c r="M3" s="17"/>
      <c r="N3" s="18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9"/>
      <c r="AB3" s="19"/>
      <c r="AC3" s="19"/>
    </row>
    <row r="4" spans="1:49" s="22" customFormat="1" ht="55.75" customHeight="1" x14ac:dyDescent="0.35">
      <c r="A4" s="24" t="s">
        <v>38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49" s="3" customFormat="1" ht="57.65" customHeight="1" x14ac:dyDescent="0.35">
      <c r="A5" s="2" t="s">
        <v>0</v>
      </c>
      <c r="B5" s="2" t="s">
        <v>1</v>
      </c>
      <c r="C5" s="2" t="s">
        <v>23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5"/>
      <c r="AQ5" s="8" t="s">
        <v>24</v>
      </c>
    </row>
    <row r="6" spans="1:49" ht="45" customHeight="1" x14ac:dyDescent="0.35">
      <c r="A6" s="1" t="s">
        <v>14</v>
      </c>
      <c r="B6" s="1" t="s">
        <v>15</v>
      </c>
      <c r="C6" s="10">
        <v>2306000</v>
      </c>
      <c r="D6" s="10">
        <v>2622200</v>
      </c>
      <c r="E6" s="10">
        <v>3035800</v>
      </c>
      <c r="F6" s="10">
        <v>3455900</v>
      </c>
      <c r="G6" s="10">
        <v>4110900</v>
      </c>
      <c r="H6" s="10">
        <v>4357600</v>
      </c>
      <c r="I6" s="9"/>
      <c r="J6" s="10">
        <v>5830000</v>
      </c>
      <c r="K6" s="10">
        <v>5830000</v>
      </c>
      <c r="L6" s="10">
        <v>7579000</v>
      </c>
      <c r="M6" s="10">
        <v>7579000</v>
      </c>
      <c r="N6" s="10">
        <v>12826000</v>
      </c>
      <c r="O6" s="4" t="s">
        <v>21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D6" s="7">
        <v>2306030</v>
      </c>
      <c r="AE6" s="7">
        <v>2622228</v>
      </c>
      <c r="AF6" s="7">
        <v>3035840</v>
      </c>
      <c r="AG6" s="7">
        <v>3455918</v>
      </c>
      <c r="AH6" s="7">
        <v>4110892</v>
      </c>
      <c r="AI6" s="7">
        <v>4357554</v>
      </c>
      <c r="AJ6" s="7">
        <v>0</v>
      </c>
      <c r="AK6" s="7">
        <v>0</v>
      </c>
      <c r="AL6" s="7">
        <v>5830000</v>
      </c>
      <c r="AM6" s="7">
        <v>7579000</v>
      </c>
      <c r="AN6" s="7">
        <v>7579000</v>
      </c>
      <c r="AO6" s="7">
        <v>12826000</v>
      </c>
      <c r="AP6" s="6"/>
      <c r="AQ6" s="6">
        <v>2306000</v>
      </c>
      <c r="AR6" s="6">
        <v>2622200</v>
      </c>
      <c r="AS6" s="6">
        <v>3035800</v>
      </c>
      <c r="AT6" s="6">
        <v>3455900</v>
      </c>
      <c r="AU6" s="6">
        <v>4110900</v>
      </c>
      <c r="AV6" s="6">
        <v>4357600</v>
      </c>
      <c r="AW6" s="6">
        <f t="shared" ref="AW6" si="0">ROUND(AJ6,-2)</f>
        <v>0</v>
      </c>
    </row>
    <row r="7" spans="1:49" ht="45" customHeight="1" x14ac:dyDescent="0.35">
      <c r="A7" s="1" t="s">
        <v>16</v>
      </c>
      <c r="B7" s="1" t="s">
        <v>15</v>
      </c>
      <c r="C7" s="10">
        <v>2407300</v>
      </c>
      <c r="D7" s="10">
        <v>2739400</v>
      </c>
      <c r="E7" s="10">
        <v>3174300</v>
      </c>
      <c r="F7" s="10">
        <v>3605100</v>
      </c>
      <c r="G7" s="10">
        <v>4302500</v>
      </c>
      <c r="H7" s="10">
        <v>4570500</v>
      </c>
      <c r="I7" s="9"/>
      <c r="J7" s="10">
        <v>6413000</v>
      </c>
      <c r="K7" s="10">
        <v>6413000</v>
      </c>
      <c r="L7" s="10">
        <v>8395200</v>
      </c>
      <c r="M7" s="10">
        <v>8395200</v>
      </c>
      <c r="N7" s="10">
        <v>13992000</v>
      </c>
      <c r="O7" s="4" t="s">
        <v>21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D7" s="7">
        <v>2407260</v>
      </c>
      <c r="AE7" s="7">
        <v>2739358</v>
      </c>
      <c r="AF7" s="7">
        <v>3174276</v>
      </c>
      <c r="AG7" s="7">
        <v>3605060</v>
      </c>
      <c r="AH7" s="7">
        <v>4302540</v>
      </c>
      <c r="AI7" s="7">
        <v>4570508</v>
      </c>
      <c r="AJ7" s="7">
        <v>0</v>
      </c>
      <c r="AK7" s="7">
        <v>0</v>
      </c>
      <c r="AL7" s="7">
        <v>6413000</v>
      </c>
      <c r="AM7" s="7">
        <v>8395200</v>
      </c>
      <c r="AN7" s="7">
        <v>8395200</v>
      </c>
      <c r="AO7" s="7">
        <v>13992000</v>
      </c>
      <c r="AQ7" s="6">
        <v>2407300</v>
      </c>
      <c r="AR7" s="6">
        <v>2739400</v>
      </c>
      <c r="AS7" s="6">
        <v>3174300</v>
      </c>
      <c r="AT7" s="6">
        <v>3605100</v>
      </c>
      <c r="AU7" s="6">
        <v>4302500</v>
      </c>
      <c r="AV7" s="6">
        <v>4570500</v>
      </c>
    </row>
    <row r="8" spans="1:49" ht="45" customHeight="1" x14ac:dyDescent="0.35">
      <c r="A8" s="1" t="s">
        <v>17</v>
      </c>
      <c r="B8" s="1" t="s">
        <v>15</v>
      </c>
      <c r="C8" s="10">
        <v>2847300</v>
      </c>
      <c r="D8" s="10">
        <v>3248900</v>
      </c>
      <c r="E8" s="10">
        <v>3776500</v>
      </c>
      <c r="F8" s="10">
        <v>4253600</v>
      </c>
      <c r="G8" s="10">
        <v>5136400</v>
      </c>
      <c r="H8" s="10">
        <v>5496900</v>
      </c>
      <c r="I8" s="9"/>
      <c r="J8" s="10">
        <v>11660000</v>
      </c>
      <c r="K8" s="10">
        <v>11660000</v>
      </c>
      <c r="L8" s="10">
        <v>15741000</v>
      </c>
      <c r="M8" s="10">
        <v>15741000</v>
      </c>
      <c r="N8" s="10">
        <v>26818000</v>
      </c>
      <c r="O8" s="4" t="s">
        <v>22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D8" s="7">
        <v>2847266</v>
      </c>
      <c r="AE8" s="7">
        <v>3248900</v>
      </c>
      <c r="AF8" s="7">
        <v>3776462</v>
      </c>
      <c r="AG8" s="7">
        <v>4253568</v>
      </c>
      <c r="AH8" s="7">
        <v>5136442</v>
      </c>
      <c r="AI8" s="7">
        <v>5496948</v>
      </c>
      <c r="AJ8" s="7">
        <v>0</v>
      </c>
      <c r="AK8" s="7">
        <v>0</v>
      </c>
      <c r="AL8" s="7">
        <v>11660000</v>
      </c>
      <c r="AM8" s="7">
        <v>15741000</v>
      </c>
      <c r="AN8" s="7">
        <v>15741000</v>
      </c>
      <c r="AO8" s="7">
        <v>26818000</v>
      </c>
      <c r="AQ8" s="6">
        <v>2847300</v>
      </c>
      <c r="AR8" s="6">
        <v>3248900</v>
      </c>
      <c r="AS8" s="6">
        <v>3776500</v>
      </c>
      <c r="AT8" s="6">
        <v>4253600</v>
      </c>
      <c r="AU8" s="6">
        <v>5136400</v>
      </c>
      <c r="AV8" s="6">
        <v>5496900</v>
      </c>
    </row>
    <row r="9" spans="1:49" ht="45" customHeight="1" x14ac:dyDescent="0.35">
      <c r="A9" s="1" t="s">
        <v>18</v>
      </c>
      <c r="B9" s="1" t="s">
        <v>15</v>
      </c>
      <c r="C9" s="10">
        <v>2452700</v>
      </c>
      <c r="D9" s="10">
        <v>2792000</v>
      </c>
      <c r="E9" s="10">
        <v>3236600</v>
      </c>
      <c r="F9" s="10">
        <v>3672200</v>
      </c>
      <c r="G9" s="10">
        <v>4388800</v>
      </c>
      <c r="H9" s="10">
        <v>4666300</v>
      </c>
      <c r="I9" s="9"/>
      <c r="J9" s="10">
        <v>6646200</v>
      </c>
      <c r="K9" s="10">
        <v>6646200</v>
      </c>
      <c r="L9" s="10">
        <v>8745000</v>
      </c>
      <c r="M9" s="10">
        <v>8745000</v>
      </c>
      <c r="N9" s="10">
        <v>14575000</v>
      </c>
      <c r="O9" s="4" t="s">
        <v>21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D9" s="7">
        <v>2452734</v>
      </c>
      <c r="AE9" s="7">
        <v>2792040</v>
      </c>
      <c r="AF9" s="7">
        <v>3236604</v>
      </c>
      <c r="AG9" s="7">
        <v>3672158</v>
      </c>
      <c r="AH9" s="7">
        <v>4388824</v>
      </c>
      <c r="AI9" s="7">
        <v>4666332</v>
      </c>
      <c r="AJ9" s="7">
        <v>0</v>
      </c>
      <c r="AK9" s="7">
        <v>0</v>
      </c>
      <c r="AL9" s="7">
        <v>6646200</v>
      </c>
      <c r="AM9" s="7">
        <v>8745000</v>
      </c>
      <c r="AN9" s="7">
        <v>8745000</v>
      </c>
      <c r="AO9" s="7">
        <v>14575000</v>
      </c>
      <c r="AQ9" s="6">
        <v>2452700</v>
      </c>
      <c r="AR9" s="6">
        <v>2792000</v>
      </c>
      <c r="AS9" s="6">
        <v>3236600</v>
      </c>
      <c r="AT9" s="6">
        <v>3672200</v>
      </c>
      <c r="AU9" s="6">
        <v>4388800</v>
      </c>
      <c r="AV9" s="6">
        <v>4666300</v>
      </c>
    </row>
    <row r="10" spans="1:49" ht="45" customHeight="1" x14ac:dyDescent="0.35">
      <c r="A10" s="1" t="s">
        <v>19</v>
      </c>
      <c r="B10" s="1" t="s">
        <v>15</v>
      </c>
      <c r="C10" s="10">
        <v>2366800</v>
      </c>
      <c r="D10" s="10">
        <v>2692500</v>
      </c>
      <c r="E10" s="10">
        <v>3118800</v>
      </c>
      <c r="F10" s="10">
        <v>3545400</v>
      </c>
      <c r="G10" s="10">
        <v>4225900</v>
      </c>
      <c r="H10" s="10">
        <v>4485300</v>
      </c>
      <c r="I10" s="9"/>
      <c r="J10" s="10">
        <v>6413000</v>
      </c>
      <c r="K10" s="10">
        <v>6413000</v>
      </c>
      <c r="L10" s="10">
        <v>8395200</v>
      </c>
      <c r="M10" s="10">
        <v>8395200</v>
      </c>
      <c r="N10" s="10">
        <v>13992000</v>
      </c>
      <c r="O10" s="4" t="s">
        <v>21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D10" s="7">
        <v>2366768</v>
      </c>
      <c r="AE10" s="7">
        <v>2692506</v>
      </c>
      <c r="AF10" s="7">
        <v>3118838</v>
      </c>
      <c r="AG10" s="7">
        <v>3545382</v>
      </c>
      <c r="AH10" s="7">
        <v>4225902</v>
      </c>
      <c r="AI10" s="7">
        <v>4485284</v>
      </c>
      <c r="AJ10" s="7">
        <v>0</v>
      </c>
      <c r="AK10" s="7">
        <v>0</v>
      </c>
      <c r="AL10" s="7">
        <v>6413000</v>
      </c>
      <c r="AM10" s="7">
        <v>8395200</v>
      </c>
      <c r="AN10" s="7">
        <v>8395200</v>
      </c>
      <c r="AO10" s="7">
        <v>13992000</v>
      </c>
      <c r="AQ10" s="6">
        <v>2366800</v>
      </c>
      <c r="AR10" s="6">
        <v>2692500</v>
      </c>
      <c r="AS10" s="6">
        <v>3118800</v>
      </c>
      <c r="AT10" s="6">
        <v>3545400</v>
      </c>
      <c r="AU10" s="6">
        <v>4225900</v>
      </c>
      <c r="AV10" s="6">
        <v>4485300</v>
      </c>
    </row>
    <row r="11" spans="1:49" ht="45" customHeight="1" x14ac:dyDescent="0.35">
      <c r="A11" s="1" t="s">
        <v>14</v>
      </c>
      <c r="B11" s="1" t="s">
        <v>20</v>
      </c>
      <c r="C11" s="10">
        <v>2306000</v>
      </c>
      <c r="D11" s="10">
        <v>2622200</v>
      </c>
      <c r="E11" s="10">
        <v>3035800</v>
      </c>
      <c r="F11" s="10">
        <v>3455900</v>
      </c>
      <c r="G11" s="10">
        <v>4110900</v>
      </c>
      <c r="H11" s="10">
        <v>4357600</v>
      </c>
      <c r="I11" s="9"/>
      <c r="J11" s="10">
        <v>5830000</v>
      </c>
      <c r="K11" s="10">
        <v>5830000</v>
      </c>
      <c r="L11" s="10">
        <v>7579000</v>
      </c>
      <c r="M11" s="10">
        <v>7579000</v>
      </c>
      <c r="N11" s="10">
        <v>12826000</v>
      </c>
      <c r="O11" s="4" t="s">
        <v>21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D11" s="7">
        <v>2306030</v>
      </c>
      <c r="AE11" s="7">
        <v>2622228</v>
      </c>
      <c r="AF11" s="7">
        <v>3035840</v>
      </c>
      <c r="AG11" s="7">
        <v>3455918</v>
      </c>
      <c r="AH11" s="7">
        <v>4110892</v>
      </c>
      <c r="AI11" s="7">
        <v>4357554</v>
      </c>
      <c r="AJ11" s="7">
        <v>0</v>
      </c>
      <c r="AK11" s="7">
        <v>0</v>
      </c>
      <c r="AL11" s="7">
        <v>5830000</v>
      </c>
      <c r="AM11" s="7">
        <v>7579000</v>
      </c>
      <c r="AN11" s="7">
        <v>7579000</v>
      </c>
      <c r="AO11" s="7">
        <v>12826000</v>
      </c>
      <c r="AQ11" s="6">
        <v>2306000</v>
      </c>
      <c r="AR11" s="6">
        <v>2622200</v>
      </c>
      <c r="AS11" s="6">
        <v>3035800</v>
      </c>
      <c r="AT11" s="6">
        <v>3455900</v>
      </c>
      <c r="AU11" s="6">
        <v>4110900</v>
      </c>
      <c r="AV11" s="6">
        <v>4357600</v>
      </c>
    </row>
    <row r="12" spans="1:49" ht="45" customHeight="1" x14ac:dyDescent="0.35">
      <c r="A12" s="1" t="s">
        <v>16</v>
      </c>
      <c r="B12" s="1" t="s">
        <v>20</v>
      </c>
      <c r="C12" s="10">
        <v>2407300</v>
      </c>
      <c r="D12" s="10">
        <v>2739400</v>
      </c>
      <c r="E12" s="10">
        <v>3174300</v>
      </c>
      <c r="F12" s="10">
        <v>3605100</v>
      </c>
      <c r="G12" s="10">
        <v>4302500</v>
      </c>
      <c r="H12" s="10">
        <v>4570500</v>
      </c>
      <c r="I12" s="9"/>
      <c r="J12" s="10">
        <v>6413000</v>
      </c>
      <c r="K12" s="10">
        <v>6413000</v>
      </c>
      <c r="L12" s="10">
        <v>8395200</v>
      </c>
      <c r="M12" s="10">
        <v>8395200</v>
      </c>
      <c r="N12" s="10">
        <v>13992000</v>
      </c>
      <c r="O12" s="4" t="s">
        <v>21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D12" s="7">
        <v>2407260</v>
      </c>
      <c r="AE12" s="7">
        <v>2739358</v>
      </c>
      <c r="AF12" s="7">
        <v>3174276</v>
      </c>
      <c r="AG12" s="7">
        <v>3605060</v>
      </c>
      <c r="AH12" s="7">
        <v>4302540</v>
      </c>
      <c r="AI12" s="7">
        <v>4570508</v>
      </c>
      <c r="AJ12" s="7">
        <v>0</v>
      </c>
      <c r="AK12" s="7">
        <v>0</v>
      </c>
      <c r="AL12" s="7">
        <v>6413000</v>
      </c>
      <c r="AM12" s="7">
        <v>8395200</v>
      </c>
      <c r="AN12" s="7">
        <v>8395200</v>
      </c>
      <c r="AO12" s="7">
        <v>13992000</v>
      </c>
      <c r="AQ12" s="6">
        <v>2407300</v>
      </c>
      <c r="AR12" s="6">
        <v>2739400</v>
      </c>
      <c r="AS12" s="6">
        <v>3174300</v>
      </c>
      <c r="AT12" s="6">
        <v>3605100</v>
      </c>
      <c r="AU12" s="6">
        <v>4302500</v>
      </c>
      <c r="AV12" s="6">
        <v>4570500</v>
      </c>
    </row>
    <row r="13" spans="1:49" ht="45" customHeight="1" x14ac:dyDescent="0.35">
      <c r="A13" s="1" t="s">
        <v>17</v>
      </c>
      <c r="B13" s="1" t="s">
        <v>20</v>
      </c>
      <c r="C13" s="10">
        <v>2847300</v>
      </c>
      <c r="D13" s="10">
        <v>3248900</v>
      </c>
      <c r="E13" s="10">
        <v>3776500</v>
      </c>
      <c r="F13" s="10">
        <v>4253600</v>
      </c>
      <c r="G13" s="10">
        <v>5136400</v>
      </c>
      <c r="H13" s="10">
        <v>5496900</v>
      </c>
      <c r="I13" s="9"/>
      <c r="J13" s="10">
        <v>11660000</v>
      </c>
      <c r="K13" s="10">
        <v>11660000</v>
      </c>
      <c r="L13" s="10">
        <v>15741000</v>
      </c>
      <c r="M13" s="10">
        <v>15741000</v>
      </c>
      <c r="N13" s="10">
        <v>26818000</v>
      </c>
      <c r="O13" s="4" t="s">
        <v>22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D13" s="7">
        <v>2847266</v>
      </c>
      <c r="AE13" s="7">
        <v>3248900</v>
      </c>
      <c r="AF13" s="7">
        <v>3776462</v>
      </c>
      <c r="AG13" s="7">
        <v>4253568</v>
      </c>
      <c r="AH13" s="7">
        <v>5136442</v>
      </c>
      <c r="AI13" s="7">
        <v>5496948</v>
      </c>
      <c r="AJ13" s="7">
        <v>0</v>
      </c>
      <c r="AK13" s="7">
        <v>0</v>
      </c>
      <c r="AL13" s="7">
        <v>11660000</v>
      </c>
      <c r="AM13" s="7">
        <v>15741000</v>
      </c>
      <c r="AN13" s="7">
        <v>15741000</v>
      </c>
      <c r="AO13" s="7">
        <v>26818000</v>
      </c>
      <c r="AQ13" s="6">
        <v>2847300</v>
      </c>
      <c r="AR13" s="6">
        <v>3248900</v>
      </c>
      <c r="AS13" s="6">
        <v>3776500</v>
      </c>
      <c r="AT13" s="6">
        <v>4253600</v>
      </c>
      <c r="AU13" s="6">
        <v>5136400</v>
      </c>
      <c r="AV13" s="6">
        <v>5496900</v>
      </c>
    </row>
    <row r="14" spans="1:49" ht="45" customHeight="1" x14ac:dyDescent="0.35">
      <c r="A14" s="1" t="s">
        <v>18</v>
      </c>
      <c r="B14" s="1" t="s">
        <v>20</v>
      </c>
      <c r="C14" s="10">
        <v>2452700</v>
      </c>
      <c r="D14" s="10">
        <v>2792000</v>
      </c>
      <c r="E14" s="10">
        <v>3236600</v>
      </c>
      <c r="F14" s="10">
        <v>3672200</v>
      </c>
      <c r="G14" s="10">
        <v>4388800</v>
      </c>
      <c r="H14" s="10">
        <v>4666300</v>
      </c>
      <c r="I14" s="9"/>
      <c r="J14" s="10">
        <v>6646200</v>
      </c>
      <c r="K14" s="10">
        <v>6646200</v>
      </c>
      <c r="L14" s="10">
        <v>8745000</v>
      </c>
      <c r="M14" s="10">
        <v>8745000</v>
      </c>
      <c r="N14" s="10">
        <v>14575000</v>
      </c>
      <c r="O14" s="4" t="s">
        <v>21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D14" s="7">
        <v>2452734</v>
      </c>
      <c r="AE14" s="7">
        <v>2792040</v>
      </c>
      <c r="AF14" s="7">
        <v>3236604</v>
      </c>
      <c r="AG14" s="7">
        <v>3672158</v>
      </c>
      <c r="AH14" s="7">
        <v>4388824</v>
      </c>
      <c r="AI14" s="7">
        <v>4666332</v>
      </c>
      <c r="AJ14" s="7">
        <v>0</v>
      </c>
      <c r="AK14" s="7">
        <v>0</v>
      </c>
      <c r="AL14" s="7">
        <v>6646200</v>
      </c>
      <c r="AM14" s="7">
        <v>8745000</v>
      </c>
      <c r="AN14" s="7">
        <v>8745000</v>
      </c>
      <c r="AO14" s="7">
        <v>14575000</v>
      </c>
      <c r="AQ14" s="6">
        <v>2452700</v>
      </c>
      <c r="AR14" s="6">
        <v>2792000</v>
      </c>
      <c r="AS14" s="6">
        <v>3236600</v>
      </c>
      <c r="AT14" s="6">
        <v>3672200</v>
      </c>
      <c r="AU14" s="6">
        <v>4388800</v>
      </c>
      <c r="AV14" s="6">
        <v>4666300</v>
      </c>
    </row>
    <row r="15" spans="1:49" ht="45" customHeight="1" x14ac:dyDescent="0.35">
      <c r="A15" s="1" t="s">
        <v>19</v>
      </c>
      <c r="B15" s="1" t="s">
        <v>20</v>
      </c>
      <c r="C15" s="10">
        <v>2366800</v>
      </c>
      <c r="D15" s="10">
        <v>2692500</v>
      </c>
      <c r="E15" s="10">
        <v>3118800</v>
      </c>
      <c r="F15" s="10">
        <v>3545400</v>
      </c>
      <c r="G15" s="10">
        <v>4225900</v>
      </c>
      <c r="H15" s="10">
        <v>4485300</v>
      </c>
      <c r="I15" s="9"/>
      <c r="J15" s="10">
        <v>6413000</v>
      </c>
      <c r="K15" s="10">
        <v>6413000</v>
      </c>
      <c r="L15" s="10">
        <v>8395200</v>
      </c>
      <c r="M15" s="10">
        <v>8395200</v>
      </c>
      <c r="N15" s="10">
        <v>13992000</v>
      </c>
      <c r="O15" s="4" t="s">
        <v>21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D15" s="7">
        <v>2366768</v>
      </c>
      <c r="AE15" s="7">
        <v>2692506</v>
      </c>
      <c r="AF15" s="7">
        <v>3118838</v>
      </c>
      <c r="AG15" s="7">
        <v>3545382</v>
      </c>
      <c r="AH15" s="7">
        <v>4225902</v>
      </c>
      <c r="AI15" s="7">
        <v>4485284</v>
      </c>
      <c r="AJ15" s="7">
        <v>0</v>
      </c>
      <c r="AK15" s="7">
        <v>0</v>
      </c>
      <c r="AL15" s="7">
        <v>6413000</v>
      </c>
      <c r="AM15" s="7">
        <v>8395200</v>
      </c>
      <c r="AN15" s="7">
        <v>8395200</v>
      </c>
      <c r="AO15" s="7">
        <v>13992000</v>
      </c>
      <c r="AQ15" s="6">
        <v>2366800</v>
      </c>
      <c r="AR15" s="6">
        <v>2692500</v>
      </c>
      <c r="AS15" s="6">
        <v>3118800</v>
      </c>
      <c r="AT15" s="6">
        <v>3545400</v>
      </c>
      <c r="AU15" s="6">
        <v>4225900</v>
      </c>
      <c r="AV15" s="6">
        <v>4485300</v>
      </c>
    </row>
    <row r="16" spans="1:49" ht="27" customHeight="1" x14ac:dyDescent="0.35"/>
    <row r="17" spans="1:2" x14ac:dyDescent="0.35">
      <c r="A17" s="11" t="s">
        <v>25</v>
      </c>
      <c r="B17" s="12" t="s">
        <v>26</v>
      </c>
    </row>
    <row r="18" spans="1:2" x14ac:dyDescent="0.35">
      <c r="A18" s="13"/>
      <c r="B18" s="12" t="s">
        <v>27</v>
      </c>
    </row>
    <row r="19" spans="1:2" x14ac:dyDescent="0.35">
      <c r="A19" s="13"/>
      <c r="B19" s="12" t="s">
        <v>28</v>
      </c>
    </row>
    <row r="20" spans="1:2" x14ac:dyDescent="0.35">
      <c r="A20" s="13"/>
      <c r="B20" s="12" t="s">
        <v>29</v>
      </c>
    </row>
    <row r="21" spans="1:2" x14ac:dyDescent="0.35">
      <c r="A21" s="13"/>
      <c r="B21" s="12" t="s">
        <v>30</v>
      </c>
    </row>
    <row r="22" spans="1:2" x14ac:dyDescent="0.35">
      <c r="A22" s="13"/>
      <c r="B22" s="12" t="s">
        <v>31</v>
      </c>
    </row>
    <row r="23" spans="1:2" x14ac:dyDescent="0.35">
      <c r="A23" s="13"/>
      <c r="B23" s="12" t="s">
        <v>32</v>
      </c>
    </row>
    <row r="24" spans="1:2" x14ac:dyDescent="0.35">
      <c r="A24" s="13"/>
      <c r="B24" s="12" t="s">
        <v>33</v>
      </c>
    </row>
    <row r="25" spans="1:2" x14ac:dyDescent="0.35">
      <c r="A25" s="13"/>
      <c r="B25" s="12" t="s">
        <v>34</v>
      </c>
    </row>
  </sheetData>
  <mergeCells count="4">
    <mergeCell ref="A1:C1"/>
    <mergeCell ref="A2:E2"/>
    <mergeCell ref="A3:B3"/>
    <mergeCell ref="A4:O4"/>
  </mergeCells>
  <pageMargins left="0.7" right="0.7" top="0.75" bottom="0.75" header="0.3" footer="0.3"/>
  <pageSetup orientation="portrait" verticalDpi="0" r:id="rId1"/>
  <ignoredErrors>
    <ignoredError sqref="A5:B5 A11:B15 A6:B10 D5:O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Son-Tuan Nguyen</dc:creator>
  <cp:lastModifiedBy>Son-Tuan Nguyen</cp:lastModifiedBy>
  <dcterms:created xsi:type="dcterms:W3CDTF">2026-09-11T20:38:18Z</dcterms:created>
  <dcterms:modified xsi:type="dcterms:W3CDTF">2026-09-11T20:38:18Z</dcterms:modified>
</cp:coreProperties>
</file>