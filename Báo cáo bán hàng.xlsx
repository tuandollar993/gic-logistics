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́ng 9.2025" sheetId="1" r:id="rId5"/>
    <sheet state="visible" name="Tháng 10.2025" sheetId="2" r:id="rId6"/>
    <sheet state="visible" name="GHNLog 11.2025" sheetId="3" r:id="rId7"/>
    <sheet state="visible" name="Gido 11.2025" sheetId="4" r:id="rId8"/>
    <sheet state="visible" name="GHNLog 12.2025" sheetId="5" r:id="rId9"/>
    <sheet state="visible" name="Gido 12.2025" sheetId="6" r:id="rId10"/>
    <sheet state="visible" name="GHNLog 2.2026" sheetId="7" r:id="rId11"/>
    <sheet state="visible" name="Tính lợi nhuận" sheetId="8" r:id="rId12"/>
    <sheet state="visible" name="Gido 1.2026" sheetId="9" r:id="rId13"/>
    <sheet state="visible" name="Gido 2.2026" sheetId="10" r:id="rId14"/>
    <sheet state="visible" name="Gido 3.2026" sheetId="11" r:id="rId15"/>
    <sheet state="visible" name="Gido 4.2026" sheetId="12" r:id="rId16"/>
    <sheet state="visible" name="Gido 5.2026 " sheetId="13" r:id="rId17"/>
    <sheet state="visible" name="Gido 6.2026" sheetId="14" r:id="rId18"/>
    <sheet state="visible" name="Gido 7.2026" sheetId="15" r:id="rId19"/>
    <sheet state="visible" name="Gido 8.2026" sheetId="16" r:id="rId20"/>
    <sheet state="visible" name="Gido 9. 2026" sheetId="17" r:id="rId21"/>
    <sheet state="visible" name="Target" sheetId="18" r:id="rId22"/>
  </sheets>
  <definedNames>
    <definedName hidden="1" localSheetId="0" name="_xlnm._FilterDatabase">'Tháng 9.2025'!$A$12:$T$113</definedName>
    <definedName hidden="1" localSheetId="1" name="_xlnm._FilterDatabase">'Tháng 10.2025'!$A$12:$W$48</definedName>
    <definedName hidden="1" localSheetId="5" name="_xlnm._FilterDatabase">'Gido 12.2025'!$A$9:$AH$56</definedName>
    <definedName hidden="1" localSheetId="10" name="_xlnm._FilterDatabase">'Gido 3.2026'!$A$11:$AF$77</definedName>
    <definedName hidden="1" localSheetId="11" name="_xlnm._FilterDatabase">'Gido 4.2026'!$A$11:$AF$69</definedName>
    <definedName hidden="1" localSheetId="12" name="_xlnm._FilterDatabase">'Gido 5.2026 '!$A$10:$AD$65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Tu Nguyen:
Tờ khai 3 nhánh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3">
      <text>
        <t xml:space="preserve">Tu Nguyen:
phí hủy xe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tc={bc8ceb2b-38ea-420c-811c-5c0444781552}</author>
  </authors>
  <commentList>
    <comment authorId="0" xr:uid="{bc8ceb2b-38ea-420c-811c-5c0444781552}" ref="N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Tiếp nhận: 2tr/ Tách hồ sơ: 1tr/ Xem trước: 1tr/ giám sát: 4tr (2tr theo bảng giá nhưng lô này nhiều mục thu thêm 2tr)
</t>
      </text>
    </comment>
  </commentList>
</comments>
</file>

<file path=xl/sharedStrings.xml><?xml version="1.0" encoding="utf-8"?>
<sst xmlns="http://schemas.openxmlformats.org/spreadsheetml/2006/main" count="3268" uniqueCount="655">
  <si>
    <t xml:space="preserve"> BÁO CÁO BÁN HÀNG THÁNG 11.2025</t>
  </si>
  <si>
    <t xml:space="preserve"> BÁO CÁO BÁN HÀNG THÁNG 10.2025</t>
  </si>
  <si>
    <t>Kèm theo hóa đơn số....... Ký hiệu ....... ngày .......</t>
  </si>
  <si>
    <t>CÔNG TY CỔ PHẦN GHN LOGISTICS</t>
  </si>
  <si>
    <t>CÔNG TY CỔ PHẦN DỊCH VỤ THƯƠNG MẠI XUYÊN BIÊN GIỚI GIC</t>
  </si>
  <si>
    <t>Địa chỉ: 405/15 Xô Viết Nghệ Tĩnh, Phường Bình Thạnh, TP. Hồ Chí Minh,Việt Nam</t>
  </si>
  <si>
    <t>Mã số thuế: : 0314521959</t>
  </si>
  <si>
    <t>Số tài khoản: 19131615860024</t>
  </si>
  <si>
    <t xml:space="preserve"> BÁO CÁO BÁN HÀNG THÁNG 09.2025</t>
  </si>
  <si>
    <t>Tại ngân hàng: TMCP Kỹ thương Việt Nam - CN Sài Gòn</t>
  </si>
  <si>
    <t>Mã số thuế: : 0314521941</t>
  </si>
  <si>
    <t>Người thụ hưởng: CÔNG TY CỔ PHẦN GHN LOGISTICS</t>
  </si>
  <si>
    <t>STT</t>
  </si>
  <si>
    <t>Ngày bắt đầu chuyến</t>
  </si>
  <si>
    <t>Ngày kết thúc chuyến</t>
  </si>
  <si>
    <t>Khách hàng</t>
  </si>
  <si>
    <t>Nhà Cung cấp</t>
  </si>
  <si>
    <t>Biển Kiểm Soát</t>
  </si>
  <si>
    <t>Trọng tải</t>
  </si>
  <si>
    <t>Lộ trình</t>
  </si>
  <si>
    <t>Chuyến</t>
  </si>
  <si>
    <t>Giá mua</t>
  </si>
  <si>
    <t>Giá bán</t>
  </si>
  <si>
    <t>Số tờ khai</t>
  </si>
  <si>
    <t>Số ca</t>
  </si>
  <si>
    <t>Lưu ca</t>
  </si>
  <si>
    <t>Điểm kiểm hóa</t>
  </si>
  <si>
    <t>Biển số xe CN</t>
  </si>
  <si>
    <t>Phát sinh kiểm hóa</t>
  </si>
  <si>
    <t>Lạch Huyện</t>
  </si>
  <si>
    <t>Biển số xe VN</t>
  </si>
  <si>
    <t>Dịch vụ</t>
  </si>
  <si>
    <t>Tổng tiền mua</t>
  </si>
  <si>
    <t>Tổng tiền bán</t>
  </si>
  <si>
    <t>Ghi chú</t>
  </si>
  <si>
    <t>Chọn vỏ</t>
  </si>
  <si>
    <t>Hải Quan kiểm hóa</t>
  </si>
  <si>
    <t>Phí CSHT</t>
  </si>
  <si>
    <t>Ocean</t>
  </si>
  <si>
    <t>Vé xe</t>
  </si>
  <si>
    <t>Phụ thu máy mới</t>
  </si>
  <si>
    <t>98H-00379</t>
  </si>
  <si>
    <t>cont 45</t>
  </si>
  <si>
    <t>Phụ thu hàng quá khổ</t>
  </si>
  <si>
    <t>Hữu Nghị - Phú Thọ</t>
  </si>
  <si>
    <t>Phí bốc xếp sang hàng</t>
  </si>
  <si>
    <t>Phí hồ sơ xử phạt</t>
  </si>
  <si>
    <t>Nộp xử phạt</t>
  </si>
  <si>
    <t>Tiếp nhận hồ sơ quay đầu</t>
  </si>
  <si>
    <t>Phúc Thịnh</t>
  </si>
  <si>
    <t>98H-03908</t>
  </si>
  <si>
    <t>Hữu Nghị - Phú Thọ</t>
  </si>
  <si>
    <t>Phương Uyên</t>
  </si>
  <si>
    <t>98H-04801</t>
  </si>
  <si>
    <t>98H-07900</t>
  </si>
  <si>
    <t>98G-00195</t>
  </si>
  <si>
    <t>Hữu Nghị - Vĩnh Phúc</t>
  </si>
  <si>
    <t>Hữu Nghị - Vĩnh Phúc</t>
  </si>
  <si>
    <t>98E-00359</t>
  </si>
  <si>
    <t>98C-06869</t>
  </si>
  <si>
    <t>98H-04427</t>
  </si>
  <si>
    <t>98E-00321</t>
  </si>
  <si>
    <t>98C-10711</t>
  </si>
  <si>
    <t>Cường Tráng</t>
  </si>
  <si>
    <t>98H-04440</t>
  </si>
  <si>
    <t>Chọ̣n vỏ</t>
  </si>
  <si>
    <t>98H-00206</t>
  </si>
  <si>
    <t>98H-04412</t>
  </si>
  <si>
    <t>98H-07915</t>
  </si>
  <si>
    <t>DHS</t>
  </si>
  <si>
    <t>98H-07164</t>
  </si>
  <si>
    <t>11H-00425</t>
  </si>
  <si>
    <t>98H-04407</t>
  </si>
  <si>
    <t>TỔNG CỘNG</t>
  </si>
  <si>
    <t>98H-06859</t>
  </si>
  <si>
    <t>Phúc Thịnh</t>
  </si>
  <si>
    <t>TỔNG CƯỚC CHƯA BAO GỒM THUẾ VAT</t>
  </si>
  <si>
    <t>12H-04075</t>
  </si>
  <si>
    <t>Bình Minh</t>
  </si>
  <si>
    <t>TVMB</t>
  </si>
  <si>
    <t>15C-35158</t>
  </si>
  <si>
    <t>cont 40</t>
  </si>
  <si>
    <t>Cảng Hải Phòng - Hà Nội</t>
  </si>
  <si>
    <t>CHÊNH LỆCH TỔNG MUA/TỔNG BÁN</t>
  </si>
  <si>
    <t>50KT-00344</t>
  </si>
  <si>
    <t>98G-00156</t>
  </si>
  <si>
    <t>THUẾ VAT 8%</t>
  </si>
  <si>
    <t>98F-00709</t>
  </si>
  <si>
    <t>TỔNG CƯỚC BAO GỒM VAT</t>
  </si>
  <si>
    <t xml:space="preserve">Bằng chữ: </t>
  </si>
  <si>
    <t>KIO WAY</t>
  </si>
  <si>
    <t>99H-03183</t>
  </si>
  <si>
    <t>Vĩnh Phúc - Cảng Hải Phòng</t>
  </si>
  <si>
    <t>12H-02245</t>
  </si>
  <si>
    <t>15H-04259</t>
  </si>
  <si>
    <t>Đức Khang</t>
  </si>
  <si>
    <t>98F-00740</t>
  </si>
  <si>
    <t>98H-02643</t>
  </si>
  <si>
    <t>Phú́c Thịnh</t>
  </si>
  <si>
    <t>98H-05662</t>
  </si>
  <si>
    <t>98H-02859</t>
  </si>
  <si>
    <t>98D-00131</t>
  </si>
  <si>
    <t>Trung Quốc</t>
  </si>
  <si>
    <t>98H-01368</t>
  </si>
  <si>
    <t>Tân Thanh - Thanh Hóa</t>
  </si>
  <si>
    <t>98H-06524</t>
  </si>
  <si>
    <t>99H-03114</t>
  </si>
  <si>
    <t>98H-01254</t>
  </si>
  <si>
    <t>88H-03629</t>
  </si>
  <si>
    <t>98H-04047</t>
  </si>
  <si>
    <t>15C-17732</t>
  </si>
  <si>
    <t>98H-05235</t>
  </si>
  <si>
    <t>15C-14483</t>
  </si>
  <si>
    <t>Cường Tráng</t>
  </si>
  <si>
    <t>98G-00128</t>
  </si>
  <si>
    <t>A Thắng</t>
  </si>
  <si>
    <t>GHN</t>
  </si>
  <si>
    <t>50H-00594</t>
  </si>
  <si>
    <t>15T</t>
  </si>
  <si>
    <t>98C-22399</t>
  </si>
  <si>
    <t>12H-02201</t>
  </si>
  <si>
    <t>98H-05223</t>
  </si>
  <si>
    <t>98E-00366</t>
  </si>
  <si>
    <t>98H-04145</t>
  </si>
  <si>
    <t>98H-02822</t>
  </si>
  <si>
    <t>98H-04041</t>
  </si>
  <si>
    <t>98H-06160</t>
  </si>
  <si>
    <t>98H-07022</t>
  </si>
  <si>
    <t>1.25T</t>
  </si>
  <si>
    <t>98H-04880</t>
  </si>
  <si>
    <t>98H-01700</t>
  </si>
  <si>
    <t>98H-03498</t>
  </si>
  <si>
    <t>12H-02825</t>
  </si>
  <si>
    <t>12H-03893</t>
  </si>
  <si>
    <t>98E-00360</t>
  </si>
  <si>
    <t>98G-00362</t>
  </si>
  <si>
    <t>98H-01529</t>
  </si>
  <si>
    <t>98C-18828</t>
  </si>
  <si>
    <t>98H-04198</t>
  </si>
  <si>
    <t>98E-00286</t>
  </si>
  <si>
    <t>98H-00649</t>
  </si>
  <si>
    <t>98H-05409</t>
  </si>
  <si>
    <t>98C-18630</t>
  </si>
  <si>
    <t>98G-00127</t>
  </si>
  <si>
    <t>98H-06860</t>
  </si>
  <si>
    <t>98H-00614</t>
  </si>
  <si>
    <t>Hữu Nghị - Vĩnh Phúc</t>
  </si>
  <si>
    <t>Trung Nghĩa</t>
  </si>
  <si>
    <t>15H-05707</t>
  </si>
  <si>
    <t>Vĩnh Phúc - Hải Phòng</t>
  </si>
  <si>
    <t>15H-09382</t>
  </si>
  <si>
    <t>15C-21219</t>
  </si>
  <si>
    <t>15E-00593</t>
  </si>
  <si>
    <t>98H-05664</t>
  </si>
  <si>
    <t>Đức Khang</t>
  </si>
  <si>
    <t>98G-00302</t>
  </si>
  <si>
    <t>98H-04808</t>
  </si>
  <si>
    <t>KIOWAY</t>
  </si>
  <si>
    <t xml:space="preserve"> BÁO CÁO BÁN HÀNG THÁNG 12.2025</t>
  </si>
  <si>
    <t>98H06860</t>
  </si>
  <si>
    <t>98H04407</t>
  </si>
  <si>
    <t>Hữu Nghị - Bình Xuyên - Phú Thọ</t>
  </si>
  <si>
    <t>98H03927</t>
  </si>
  <si>
    <t>98C22081</t>
  </si>
  <si>
    <t>98H03908</t>
  </si>
  <si>
    <t>98C18795</t>
  </si>
  <si>
    <t>98H07164</t>
  </si>
  <si>
    <t>98H06160</t>
  </si>
  <si>
    <t>98H02859</t>
  </si>
  <si>
    <t>Công ty</t>
  </si>
  <si>
    <t>Số lượng</t>
  </si>
  <si>
    <t>Khoảng cách (Km)</t>
  </si>
  <si>
    <t>Trọng lượng (Kg)</t>
  </si>
  <si>
    <t xml:space="preserve"> BÁO CÁO BÁN HÀNG THÁNG 02.2026</t>
  </si>
  <si>
    <t>Hải Quan giám sát</t>
  </si>
  <si>
    <t>GHNex</t>
  </si>
  <si>
    <t>GIC</t>
  </si>
  <si>
    <t>Aqua</t>
  </si>
  <si>
    <t>DVTK HQ loại hình A41</t>
  </si>
  <si>
    <t>DVTK HQ loại hình H11</t>
  </si>
  <si>
    <t>98H07877</t>
  </si>
  <si>
    <t>8T</t>
  </si>
  <si>
    <t>Hữu Nghị - Hưng Yên</t>
  </si>
  <si>
    <t>98H02643</t>
  </si>
  <si>
    <t>Cont 45</t>
  </si>
  <si>
    <t>Hải Bân</t>
  </si>
  <si>
    <t>Xingfa</t>
  </si>
  <si>
    <t>NQ1859</t>
  </si>
  <si>
    <t>Fooc</t>
  </si>
  <si>
    <t>DVTK HQ</t>
  </si>
  <si>
    <t>98H04440</t>
  </si>
  <si>
    <t>Phong Phú</t>
  </si>
  <si>
    <t>98H03657</t>
  </si>
  <si>
    <t>98H03382</t>
  </si>
  <si>
    <t>Cước vận chuyển
 Hữu Nghị - Hải Dương</t>
  </si>
  <si>
    <t>98G00127</t>
  </si>
  <si>
    <t>98H05674</t>
  </si>
  <si>
    <t>GC0580</t>
  </si>
  <si>
    <t>98C10711</t>
  </si>
  <si>
    <t>98H04047</t>
  </si>
  <si>
    <t>98H08015</t>
  </si>
  <si>
    <t>99H11064</t>
  </si>
  <si>
    <t>Huy Hoàng</t>
  </si>
  <si>
    <t>Cont 20</t>
  </si>
  <si>
    <t>98H00206</t>
  </si>
  <si>
    <t>Okia</t>
  </si>
  <si>
    <t>107805961060 / G13</t>
  </si>
  <si>
    <t>98H05667</t>
  </si>
  <si>
    <t>KS3008</t>
  </si>
  <si>
    <t>77H08597</t>
  </si>
  <si>
    <t>Fooc/Cont53</t>
  </si>
  <si>
    <t>DVTK HQ loại hình G13</t>
  </si>
  <si>
    <t>98E00321</t>
  </si>
  <si>
    <t>Kaixin</t>
  </si>
  <si>
    <t>12H02249</t>
  </si>
  <si>
    <t>107802754250 / A12</t>
  </si>
  <si>
    <t>DVTK HQ loại hình A12</t>
  </si>
  <si>
    <t>Saodo</t>
  </si>
  <si>
    <t>107797407910 / E21</t>
  </si>
  <si>
    <t>DVTK HQ loại hình E21</t>
  </si>
  <si>
    <t>Kaixin&amp;Saodo</t>
  </si>
  <si>
    <t>FB9695</t>
  </si>
  <si>
    <t>98H03883</t>
  </si>
  <si>
    <t>Cước vận chuyển
 Tân Thanh - Hưng Yên</t>
  </si>
  <si>
    <t>Cước vận chuyển 
Hưng Yên - Hải Phòng</t>
  </si>
  <si>
    <t>Cước vận chuyển
 Hưng Yên - TP Thái Bình</t>
  </si>
  <si>
    <t>Hiếu Tín Phát</t>
  </si>
  <si>
    <t>15H12951</t>
  </si>
  <si>
    <t>Cước vận chuyển
Hải Phòng - Hà nội</t>
  </si>
  <si>
    <t>107815804720/A12</t>
  </si>
  <si>
    <t>Ween</t>
  </si>
  <si>
    <t>107815817060/A11</t>
  </si>
  <si>
    <t>DVTK HQ loại hình A11</t>
  </si>
  <si>
    <t>Hưng Đại</t>
  </si>
  <si>
    <t>107814462710/A11</t>
  </si>
  <si>
    <t>Kaixin&amp;Ween&amp;HungDai</t>
  </si>
  <si>
    <t>FB8551</t>
  </si>
  <si>
    <t>12F00172</t>
  </si>
  <si>
    <t>5T</t>
  </si>
  <si>
    <t>Cước vận chuyển 
Hưng Yên - Bắc Ninh</t>
  </si>
  <si>
    <t>GHNLog</t>
  </si>
  <si>
    <t>Cước vận chuyển
 Hưng Yên - Bình Dương</t>
  </si>
  <si>
    <t>107825513240/A12</t>
  </si>
  <si>
    <t>GF0089</t>
  </si>
  <si>
    <t>Phí hải quan và hiện trường</t>
  </si>
  <si>
    <t>Quang Trung</t>
  </si>
  <si>
    <t>29H92877</t>
  </si>
  <si>
    <t>JA8759</t>
  </si>
  <si>
    <t>29H59207</t>
  </si>
  <si>
    <t>12/2025</t>
  </si>
  <si>
    <t>Doanh thu</t>
  </si>
  <si>
    <t>Chi phí</t>
  </si>
  <si>
    <t>HL9376</t>
  </si>
  <si>
    <t>Aqua HN</t>
  </si>
  <si>
    <t>Chi phí TQ</t>
  </si>
  <si>
    <t>Aqua HP</t>
  </si>
  <si>
    <t>DVHQ hàng TQ</t>
  </si>
  <si>
    <t>VC hàng TQ</t>
  </si>
  <si>
    <t>29F04951</t>
  </si>
  <si>
    <t>ghn</t>
  </si>
  <si>
    <t>Cường tráng</t>
  </si>
  <si>
    <t>gic</t>
  </si>
  <si>
    <t>Phí tờ khai hải quan và hiện trường</t>
  </si>
  <si>
    <t>Tổng</t>
  </si>
  <si>
    <t>Sao Do</t>
  </si>
  <si>
    <t>Hiếu tín phát</t>
  </si>
  <si>
    <t>Tổng chi phí TQ</t>
  </si>
  <si>
    <t>Tổng có VAT</t>
  </si>
  <si>
    <t>FB8857</t>
  </si>
  <si>
    <t>98H07284</t>
  </si>
  <si>
    <t>10T</t>
  </si>
  <si>
    <t>Tổng chưa VAT</t>
  </si>
  <si>
    <t>Tổng lợi nhuận</t>
  </si>
  <si>
    <t>Phát sinh 1 điểm Thái Bình</t>
  </si>
  <si>
    <t>Lợi nhuận/Doanh thu chưa VAT</t>
  </si>
  <si>
    <t>Phát sinh 1 điểm Hải Phòng</t>
  </si>
  <si>
    <t>Mạnh Hiệp</t>
  </si>
  <si>
    <t>B90T90</t>
  </si>
  <si>
    <t>98H04446</t>
  </si>
  <si>
    <t>B28U90</t>
  </si>
  <si>
    <t>98H03414</t>
  </si>
  <si>
    <t>DVTK HQ Loại Hình A41</t>
  </si>
  <si>
    <t xml:space="preserve">Chi phí HQ về phần giám định </t>
  </si>
  <si>
    <t>Phí chuẩn bị hồ sơ giám đinh đồng bộ</t>
  </si>
  <si>
    <t>Phí chuẩn bị hồ sơ kiểm tra chất lượng</t>
  </si>
  <si>
    <t>Chi phí xử lý kiểm định đồng bộ</t>
  </si>
  <si>
    <t>VC cont 20ft từ Hải Phòng - Hưng Yên BSX 15H06462</t>
  </si>
  <si>
    <t>VC cont 40ft từ Hải Phòng - Hưng Yên BSX 98H03382</t>
  </si>
  <si>
    <t xml:space="preserve"> BÁO CÁO BÁN HÀNG THÁNG 01.2026</t>
  </si>
  <si>
    <t>Linghang</t>
  </si>
  <si>
    <t>107884583550/A11</t>
  </si>
  <si>
    <t>Phí cửa khẩu</t>
  </si>
  <si>
    <t>DVTKHQ</t>
  </si>
  <si>
    <t>KE0981</t>
  </si>
  <si>
    <t>98G-00381</t>
  </si>
  <si>
    <t>Cont45</t>
  </si>
  <si>
    <t>Vận chuyển Hữu Nghị - Bắc Ninh</t>
  </si>
  <si>
    <t>107889280330/A12</t>
  </si>
  <si>
    <t>GK8973</t>
  </si>
  <si>
    <t>29H-92877</t>
  </si>
  <si>
    <t>Vận chuyển Hữu Nghị - Hải Phòng</t>
  </si>
  <si>
    <t>107892636460/A12</t>
  </si>
  <si>
    <t>GL7958</t>
  </si>
  <si>
    <t>107903904400/A12</t>
  </si>
  <si>
    <t>GG7125</t>
  </si>
  <si>
    <t>29F-04951</t>
  </si>
  <si>
    <t>107915856900/A12</t>
  </si>
  <si>
    <t>GG8001</t>
  </si>
  <si>
    <t>98H-03414</t>
  </si>
  <si>
    <t>Anh Thắng</t>
  </si>
  <si>
    <t>JiaYi</t>
  </si>
  <si>
    <t>107909110300/E31</t>
  </si>
  <si>
    <t>FB2981</t>
  </si>
  <si>
    <t xml:space="preserve">98H-05230 </t>
  </si>
  <si>
    <t>Vận chuyển Tân Thanh - Thanh Hóa</t>
  </si>
  <si>
    <t>Huy Hoàng</t>
  </si>
  <si>
    <t>Hiếu Tín Phát</t>
  </si>
  <si>
    <t>107906836330/A11</t>
  </si>
  <si>
    <t>29H82771</t>
  </si>
  <si>
    <t>Vận chuyển Hải Phòng - Hà Nội</t>
  </si>
  <si>
    <t>107919837060/A12</t>
  </si>
  <si>
    <t>F08558</t>
  </si>
  <si>
    <t>98H-08446</t>
  </si>
  <si>
    <t>Vận chuyển Hữu Nghị - Hà Nội</t>
  </si>
  <si>
    <t>107925346210/A12</t>
  </si>
  <si>
    <t>GE3719</t>
  </si>
  <si>
    <t>29H88956</t>
  </si>
  <si>
    <t>107925312720/A12</t>
  </si>
  <si>
    <t>CN5068</t>
  </si>
  <si>
    <t>29H92897</t>
  </si>
  <si>
    <t>107925358110/A12</t>
  </si>
  <si>
    <t>J97096</t>
  </si>
  <si>
    <t>98H06820</t>
  </si>
  <si>
    <t>107925489820/A12</t>
  </si>
  <si>
    <t xml:space="preserve"> </t>
  </si>
  <si>
    <t xml:space="preserve">Hải Bân </t>
  </si>
  <si>
    <t>Johnson 2</t>
  </si>
  <si>
    <t>LG9240</t>
  </si>
  <si>
    <t>98H00138</t>
  </si>
  <si>
    <t>Tân Thanh - Thuận Thành (hủy xe)</t>
  </si>
  <si>
    <t>107937114610/E13</t>
  </si>
  <si>
    <t xml:space="preserve">GIC </t>
  </si>
  <si>
    <t>98H07191</t>
  </si>
  <si>
    <t>Tân Thanh - Thuận Thành</t>
  </si>
  <si>
    <t>Tìm mỗi 1 xe bao nhiêu pallet</t>
  </si>
  <si>
    <t>107943055950/E11</t>
  </si>
  <si>
    <t>FB8578</t>
  </si>
  <si>
    <t>98H07165</t>
  </si>
  <si>
    <t>107943285920/A12</t>
  </si>
  <si>
    <t>GG0001</t>
  </si>
  <si>
    <t>98E00263</t>
  </si>
  <si>
    <t>Hữu Nghị- Hải Dương</t>
  </si>
  <si>
    <t>Johnson 1</t>
  </si>
  <si>
    <t>107956129630/E11</t>
  </si>
  <si>
    <t>GB8815</t>
  </si>
  <si>
    <t>98H04732</t>
  </si>
  <si>
    <t>107956434130/E11</t>
  </si>
  <si>
    <t>H38E36</t>
  </si>
  <si>
    <t>98H02650</t>
  </si>
  <si>
    <t>107958682860/E11</t>
  </si>
  <si>
    <t>KV8585</t>
  </si>
  <si>
    <t>107957552620/E31</t>
  </si>
  <si>
    <t>F86097</t>
  </si>
  <si>
    <t>98H07904</t>
  </si>
  <si>
    <t>Tân Thanh - Thanh Hóa</t>
  </si>
  <si>
    <t xml:space="preserve"> BÁO CÁO BÁN HÀNG THÁNG 03.2026</t>
  </si>
  <si>
    <t>Lấy hàng tại Tân Thanh</t>
  </si>
  <si>
    <t>Trả hàng tại Thuận Thành - Bắc Ninh</t>
  </si>
  <si>
    <t>Hải quan phạt sai biển số xe</t>
  </si>
  <si>
    <t>Lô 1</t>
  </si>
  <si>
    <t>GUANGXI ZHONGYUANDA</t>
  </si>
  <si>
    <t>108019174540/E11</t>
  </si>
  <si>
    <t>A0E98X</t>
  </si>
  <si>
    <t>20H03041</t>
  </si>
  <si>
    <t>Hữu Nghị - Thuận Thành</t>
  </si>
  <si>
    <t>Lô 2</t>
  </si>
  <si>
    <t>108022116860/E11</t>
  </si>
  <si>
    <t>J61953</t>
  </si>
  <si>
    <t>98E00382</t>
  </si>
  <si>
    <t>Mooc rào</t>
  </si>
  <si>
    <t>Lô 3</t>
  </si>
  <si>
    <t>108022300960/E11</t>
  </si>
  <si>
    <t>C31853</t>
  </si>
  <si>
    <t>98H02883</t>
  </si>
  <si>
    <t>Lô 4</t>
  </si>
  <si>
    <t>108029094130/E11</t>
  </si>
  <si>
    <t>Hoàng Dũng</t>
  </si>
  <si>
    <t>CC6152</t>
  </si>
  <si>
    <t>36H09196</t>
  </si>
  <si>
    <t>Lô 5</t>
  </si>
  <si>
    <t>108036460820/E11</t>
  </si>
  <si>
    <t>CAJ178</t>
  </si>
  <si>
    <t>98G00169</t>
  </si>
  <si>
    <t>Lô 6</t>
  </si>
  <si>
    <t>108032512710/E11</t>
  </si>
  <si>
    <t>C2206Q</t>
  </si>
  <si>
    <t>98H00631</t>
  </si>
  <si>
    <t xml:space="preserve">Lô 7 </t>
  </si>
  <si>
    <t>108040533900/E11</t>
  </si>
  <si>
    <t>SF3942</t>
  </si>
  <si>
    <t>99H12882</t>
  </si>
  <si>
    <t>Lô 8</t>
  </si>
  <si>
    <t>108045243020/E11</t>
  </si>
  <si>
    <t>98H07172</t>
  </si>
  <si>
    <t>Lô 9</t>
  </si>
  <si>
    <t>108055248230/E11</t>
  </si>
  <si>
    <t>A5F55L</t>
  </si>
  <si>
    <t>98H05902</t>
  </si>
  <si>
    <t>Lô 10</t>
  </si>
  <si>
    <t>GH5020</t>
  </si>
  <si>
    <t>98H06287</t>
  </si>
  <si>
    <t>Mooc sàn</t>
  </si>
  <si>
    <t>Lô 11</t>
  </si>
  <si>
    <t>108063161360/E11</t>
  </si>
  <si>
    <t>Ngọc An</t>
  </si>
  <si>
    <t xml:space="preserve">12H01604 </t>
  </si>
  <si>
    <t>10t</t>
  </si>
  <si>
    <t>Lô 12</t>
  </si>
  <si>
    <t>108063870830/E11</t>
  </si>
  <si>
    <t>CJL815</t>
  </si>
  <si>
    <t>12H04137</t>
  </si>
  <si>
    <t>Lô 13</t>
  </si>
  <si>
    <t>108072242350/E11</t>
  </si>
  <si>
    <t>FB8835</t>
  </si>
  <si>
    <t>29C53553</t>
  </si>
  <si>
    <t>Lô 14</t>
  </si>
  <si>
    <t>108067284030/E11</t>
  </si>
  <si>
    <t>A9219M</t>
  </si>
  <si>
    <t>12H02269</t>
  </si>
  <si>
    <t>Lô 15</t>
  </si>
  <si>
    <t>108079420520/E11</t>
  </si>
  <si>
    <t>K6B520</t>
  </si>
  <si>
    <t>12H00516</t>
  </si>
  <si>
    <t>Lô 16</t>
  </si>
  <si>
    <t xml:space="preserve">Jierun </t>
  </si>
  <si>
    <t>108083624350/E13</t>
  </si>
  <si>
    <t>GL6997</t>
  </si>
  <si>
    <t>99H10319</t>
  </si>
  <si>
    <t>Hữu Nghị - Hải Phòng</t>
  </si>
  <si>
    <t>Lô 17</t>
  </si>
  <si>
    <t>Song Hao</t>
  </si>
  <si>
    <t>108082022420/E13</t>
  </si>
  <si>
    <t>GL0659</t>
  </si>
  <si>
    <t>98H01615</t>
  </si>
  <si>
    <t>Lô 18</t>
  </si>
  <si>
    <t>108096319440/E11</t>
  </si>
  <si>
    <t>FB3318</t>
  </si>
  <si>
    <t>12H01211</t>
  </si>
  <si>
    <t>Lô 19</t>
  </si>
  <si>
    <t>108086517340/E11</t>
  </si>
  <si>
    <t>99H12880</t>
  </si>
  <si>
    <t>Lô 20</t>
  </si>
  <si>
    <t>108094368760/E11</t>
  </si>
  <si>
    <t>FF8396</t>
  </si>
  <si>
    <t xml:space="preserve"> BÁO CÁO BÁN HÀNG THÁNG 04.2026</t>
  </si>
  <si>
    <t>Lợi nhuận trước thuế</t>
  </si>
  <si>
    <t>Johnson 2 -ZYD-0328-ZJ12 (01-02)</t>
  </si>
  <si>
    <t>108104002160/E11</t>
  </si>
  <si>
    <t>12F00210</t>
  </si>
  <si>
    <t>GUANGXI YUNQIAN</t>
  </si>
  <si>
    <t>Sunluxe</t>
  </si>
  <si>
    <t>108102883120/E11</t>
  </si>
  <si>
    <t>Khách lẻ (thu tiền mặt)</t>
  </si>
  <si>
    <t>Duy Thuận</t>
  </si>
  <si>
    <t>18G00075</t>
  </si>
  <si>
    <t>Tân Thanh - Đồng Nai</t>
  </si>
  <si>
    <t>Johnson 1 - ZYD-0323-SH15 (01-02)</t>
  </si>
  <si>
    <t>108112055810/E11</t>
  </si>
  <si>
    <t>,.</t>
  </si>
  <si>
    <t>BBX818</t>
  </si>
  <si>
    <t>12H04492</t>
  </si>
  <si>
    <t>Johnson 2 - ZYD-0331-SH22</t>
  </si>
  <si>
    <t>108112581510/E11</t>
  </si>
  <si>
    <t>FR9621</t>
  </si>
  <si>
    <t>12H01604</t>
  </si>
  <si>
    <t>Johnson 1 - ZYD-0325-NT24 (01-02)</t>
  </si>
  <si>
    <t>108114352360/E11</t>
  </si>
  <si>
    <t>CKH270</t>
  </si>
  <si>
    <t>12H01884</t>
  </si>
  <si>
    <t>Johnson 1 - ZYD-0321-WJ27(01-05)</t>
  </si>
  <si>
    <t>108117932160/E11</t>
  </si>
  <si>
    <t>P6875E</t>
  </si>
  <si>
    <t>98H04724</t>
  </si>
  <si>
    <t>Lô 7</t>
  </si>
  <si>
    <t>Johnson 2 - ZYD-0403-SZ16</t>
  </si>
  <si>
    <t>108119800940/E11</t>
  </si>
  <si>
    <t>FB7981</t>
  </si>
  <si>
    <t>Johnson 1 -ZYD-0331-NT20 (01-02)</t>
  </si>
  <si>
    <t>108118823300/E11</t>
  </si>
  <si>
    <t>CLC118</t>
  </si>
  <si>
    <t>12H04476</t>
  </si>
  <si>
    <t>Johnson 1 -ZYD-0401-NT21 (01-02)</t>
  </si>
  <si>
    <t>108119013220/E11</t>
  </si>
  <si>
    <t>CTG203</t>
  </si>
  <si>
    <t>98H05381</t>
  </si>
  <si>
    <t>Johnson 2 - ZYD-0403-SH17</t>
  </si>
  <si>
    <t>108122851910/E11</t>
  </si>
  <si>
    <t>LK9276</t>
  </si>
  <si>
    <t>12H04333</t>
  </si>
  <si>
    <t>Johnson 1 - ZYD-0324-ZJ20(01-03)</t>
  </si>
  <si>
    <t>108118366530/E11</t>
  </si>
  <si>
    <t>DF8166</t>
  </si>
  <si>
    <t>98H07264</t>
  </si>
  <si>
    <t>Johnson 1 - ZYD-04-05-WJ17 (01-02)</t>
  </si>
  <si>
    <t>108128685450/E11</t>
  </si>
  <si>
    <t xml:space="preserve"> BÁO CÁO BÁN HÀNG THÁNG 05.2026</t>
  </si>
  <si>
    <t>A0783L</t>
  </si>
  <si>
    <t>12H02868</t>
  </si>
  <si>
    <t>Johnson 1 - ZYD-0406-ZJ26</t>
  </si>
  <si>
    <t>108134976020/E11</t>
  </si>
  <si>
    <t>CA8963</t>
  </si>
  <si>
    <t>Johnson 2 - ZYD-0406-ZJ06 (01-02)</t>
  </si>
  <si>
    <t>108131339300/E11</t>
  </si>
  <si>
    <t>K1A399</t>
  </si>
  <si>
    <t>Johnson 1 - ZYD-0406-NT24</t>
  </si>
  <si>
    <t>108131572140/E11</t>
  </si>
  <si>
    <t>Q613NR</t>
  </si>
  <si>
    <t>12H03931
98H06287</t>
  </si>
  <si>
    <t>Johnson 2 - ZYD-0411-ZJ24 (01-08)</t>
  </si>
  <si>
    <t>108148378110/E11</t>
  </si>
  <si>
    <t>LK5229</t>
  </si>
  <si>
    <t>12H04166</t>
  </si>
  <si>
    <t>Johnson 1 - ZYD-0408-NB29-(01-04)</t>
  </si>
  <si>
    <t>108146771940/E11</t>
  </si>
  <si>
    <t>A2961Y</t>
  </si>
  <si>
    <t>12C02640</t>
  </si>
  <si>
    <t>HUY HOÀNG</t>
  </si>
  <si>
    <t>108216334660/A11</t>
  </si>
  <si>
    <t>KEEP RISE</t>
  </si>
  <si>
    <t>29H77700</t>
  </si>
  <si>
    <t>Cont</t>
  </si>
  <si>
    <t>Cước vận chuyển Tân Thanh - Vũng Tàu - HCM</t>
  </si>
  <si>
    <t>15H08501</t>
  </si>
  <si>
    <t>Tổng 18 chuyến</t>
  </si>
  <si>
    <t xml:space="preserve">
Hải Phòng- Hà Nội</t>
  </si>
  <si>
    <t>Thành Khởi</t>
  </si>
  <si>
    <t>108215381850/A41</t>
  </si>
  <si>
    <t>GM1259</t>
  </si>
  <si>
    <t>12H02262</t>
  </si>
  <si>
    <t>HN2633</t>
  </si>
  <si>
    <t>J65236</t>
  </si>
  <si>
    <t>12H04256</t>
  </si>
  <si>
    <t>GG7515</t>
  </si>
  <si>
    <t>12H03963</t>
  </si>
  <si>
    <t>Keep Rise</t>
  </si>
  <si>
    <t>12H04350</t>
  </si>
  <si>
    <t>Cốc Nam - Hà Nội</t>
  </si>
  <si>
    <t>Hoàng Long</t>
  </si>
  <si>
    <t xml:space="preserve">Cont </t>
  </si>
  <si>
    <t>Cốc Nam - Nha Trang - Vũng Tàu - HCM</t>
  </si>
  <si>
    <t>108230319630/A41</t>
  </si>
  <si>
    <t>29H74384</t>
  </si>
  <si>
    <t>Hữu Nghị - Hải Dương</t>
  </si>
  <si>
    <t>29H83750</t>
  </si>
  <si>
    <t>B76Y69</t>
  </si>
  <si>
    <t>LINTE</t>
  </si>
  <si>
    <t>108231650660/A11</t>
  </si>
  <si>
    <t>RB8502</t>
  </si>
  <si>
    <t>Hữu Nghị - Thái Bình</t>
  </si>
  <si>
    <t>SUNLUXE</t>
  </si>
  <si>
    <t>108272990304</t>
  </si>
  <si>
    <t>Hải Đăng</t>
  </si>
  <si>
    <t>FD8288</t>
  </si>
  <si>
    <t>86C08627</t>
  </si>
  <si>
    <t>108264933012/A41</t>
  </si>
  <si>
    <t>A7292D</t>
  </si>
  <si>
    <t>Chi Ma - Hải Phòng</t>
  </si>
  <si>
    <t>Hải Phòng - Hà Nội</t>
  </si>
  <si>
    <t>20H03900</t>
  </si>
  <si>
    <t>Tân Thanh - Đà Nẵng</t>
  </si>
  <si>
    <t>20H01048</t>
  </si>
  <si>
    <t>Tân Thanh - HCM</t>
  </si>
  <si>
    <t>Cước vận chuyển Tân Thanh - HCM</t>
  </si>
  <si>
    <t>Cước vận chuyển Tân Thanh - Vũng Tàu</t>
  </si>
  <si>
    <t xml:space="preserve"> BÁO CÁO BÁN HÀNG THÁNG 06.2026</t>
  </si>
  <si>
    <t xml:space="preserve">Lưu kho </t>
  </si>
  <si>
    <t>Phí cửa khẩu</t>
  </si>
  <si>
    <t xml:space="preserve">DVTK HQ </t>
  </si>
  <si>
    <t>FB8920</t>
  </si>
  <si>
    <t>77C10936</t>
  </si>
  <si>
    <t>25T</t>
  </si>
  <si>
    <t>Cước vận chuyển Tân Thanh - Đồng Nai</t>
  </si>
  <si>
    <t>Tâm Phúc</t>
  </si>
  <si>
    <t>GJ9726</t>
  </si>
  <si>
    <t>98H05419</t>
  </si>
  <si>
    <t>Cước vận chuyển Cốc Nam -Gia Lâm, Hà Nội</t>
  </si>
  <si>
    <t>Đức Long</t>
  </si>
  <si>
    <t>29LD07306</t>
  </si>
  <si>
    <t>Kho Gia Lâm, HN - Phạm Ngọc Thạch, HN</t>
  </si>
  <si>
    <t>20H06497</t>
  </si>
  <si>
    <t>Cước vận chuyển KTC Hà Nội - HCM</t>
  </si>
  <si>
    <t xml:space="preserve"> BÁO CÁO BÁN HÀNG THÁNG 07.2026</t>
  </si>
  <si>
    <t>Gía mua chi phí bốc xếp</t>
  </si>
  <si>
    <t>98H07613</t>
  </si>
  <si>
    <t>3,5T</t>
  </si>
  <si>
    <t>Cước vận chuyển Cốc Nam - Hà Nội</t>
  </si>
  <si>
    <t>Phí hủy xe</t>
  </si>
  <si>
    <t>F99393</t>
  </si>
  <si>
    <t>12H01409</t>
  </si>
  <si>
    <t xml:space="preserve"> BÁO CÁO BÁN HÀNG THÁNG 08.2026</t>
  </si>
  <si>
    <t>20H00972</t>
  </si>
  <si>
    <t>Cước vận chuyển Cốc Nam - HCM</t>
  </si>
  <si>
    <t xml:space="preserve">Lô 2 </t>
  </si>
  <si>
    <t xml:space="preserve">Anh Thắng </t>
  </si>
  <si>
    <t>FB2502</t>
  </si>
  <si>
    <t>12H00264</t>
  </si>
  <si>
    <t>Cước vận chuyển Tân Thanh - KCN Lễ Môn, Thanh Hóa</t>
  </si>
  <si>
    <t>Tân Thanh - Hà Nội</t>
  </si>
  <si>
    <t>63H06026</t>
  </si>
  <si>
    <t>Cont 53</t>
  </si>
  <si>
    <t>Tân Thanh - Nha Trang, Vũng Tàu, HCM</t>
  </si>
  <si>
    <t>Gía mua chi phí bốc xếp, bến bãi</t>
  </si>
  <si>
    <t>Phí lưu ca</t>
  </si>
  <si>
    <t>Phí hồ sơ xử phạt, xe</t>
  </si>
  <si>
    <t>12H04433</t>
  </si>
  <si>
    <t>Cướng Tráng</t>
  </si>
  <si>
    <t>Cước vận chuyển Cốc Nam - Đồng Đăng, Lạng Sơn</t>
  </si>
  <si>
    <t>Ginhung</t>
  </si>
  <si>
    <t>7/97/2026</t>
  </si>
  <si>
    <t>20H04746</t>
  </si>
  <si>
    <t>FB2019</t>
  </si>
  <si>
    <t>20E00164</t>
  </si>
  <si>
    <t>Chi phí dịch vụ bốc xếp</t>
  </si>
  <si>
    <t>FB5282</t>
  </si>
  <si>
    <t>20H03902</t>
  </si>
  <si>
    <t>15H16067</t>
  </si>
  <si>
    <t>Cước vận chuyển Hải Phòng - Hà Nội</t>
  </si>
  <si>
    <t>25-08-2026</t>
  </si>
  <si>
    <t>28-08-2026</t>
  </si>
  <si>
    <t xml:space="preserve">Phương Thảo </t>
  </si>
  <si>
    <t>108524917062_108524868432_108524908333</t>
  </si>
  <si>
    <t>R29173</t>
  </si>
  <si>
    <t>50E89476</t>
  </si>
  <si>
    <t>Cont (1)</t>
  </si>
  <si>
    <t>Cước vận chuyển Lạng Sơn - TP. Hồ Chí Minh</t>
  </si>
  <si>
    <t>Phí sang xe CN-VN: 1tr794, từ kho HTT lên xe đi HCM: 2tr4</t>
  </si>
  <si>
    <t>Dịch vụ Quatest</t>
  </si>
  <si>
    <t>Phí cứa khẩu</t>
  </si>
  <si>
    <t>77H03770</t>
  </si>
  <si>
    <t>Cont (2)</t>
  </si>
  <si>
    <t>Phí sang xe CN-VN: 1tr794, từ kho HTT lên xe đi ĐL: 2TR4
Phí bốc xếp LS-ĐL: 3tr5
Kho ĐL- CH Keep: 1tr5
Lưu 1 kho xe TQ 19 ngày (R29173)</t>
  </si>
  <si>
    <t>NAK</t>
  </si>
  <si>
    <t>VN26040 - VN26045</t>
  </si>
  <si>
    <t>BQ3500
BLH994</t>
  </si>
  <si>
    <t>29H81645</t>
  </si>
  <si>
    <t>Cước vận chuyển Lạng Sơn -Hà Nội, Đà Nẵng, Nha Trang, Vũng Tàu, TP. Hồ Chí Minh</t>
  </si>
  <si>
    <t>Phí xe Bắc - Nam: 28tr
Phí trả điểm Hà Nội: 1,5tr
Phí trả điểm Đà Nẵng: 800k</t>
  </si>
  <si>
    <t xml:space="preserve"> BÁO CÁO BÁN HÀNG THÁNG 09.2026</t>
  </si>
  <si>
    <t>Target</t>
  </si>
  <si>
    <t>Total</t>
  </si>
  <si>
    <t>98H05691</t>
  </si>
  <si>
    <t>Cước vận chuyển Tân Thanh - Thanh Hóa</t>
  </si>
  <si>
    <t>sunluxe</t>
  </si>
  <si>
    <t>12H02854</t>
  </si>
  <si>
    <t>Cước vận chuyển Chi Ma, Lạng Sơn - Hà Nội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</si>
</sst>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_-;\-* #,##0_-;_-* &quot;-&quot;??_-;_-@"/>
    <numFmt numFmtId="165" formatCode="_-* #,##0.000_-;\-* #,##0.000_-;_-* &quot;-&quot;??_-;_-@"/>
    <numFmt numFmtId="166" formatCode="_(* #,##0.00_);_(* \(#,##0.00\);_(* &quot;-&quot;??_);_(@_)"/>
    <numFmt numFmtId="167" formatCode="_(* #,##0_);_(* \(#,##0\);_(* &quot;-&quot;??_);_(@_)"/>
    <numFmt numFmtId="168" formatCode="d&quot;-&quot;mmm"/>
    <numFmt numFmtId="169" formatCode="mmm-d"/>
    <numFmt numFmtId="170" formatCode="mmmm-d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Times New Roman"/>
    </font>
    <font/>
    <font>
      <i/>
      <sz val="14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b/>
      <sz val="14.0"/>
      <color theme="1"/>
      <name val="Times New Roman"/>
    </font>
    <font>
      <sz val="12.0"/>
      <color rgb="FF000000"/>
      <name val="Times New Roman"/>
    </font>
    <font>
      <sz val="10.0"/>
      <color rgb="FF000000"/>
      <name val="Times New Roman"/>
    </font>
    <font>
      <sz val="12.0"/>
      <color theme="1"/>
      <name val="Calibri"/>
    </font>
    <font>
      <sz val="10.0"/>
      <color theme="1"/>
      <name val="Times New Roman"/>
    </font>
    <font>
      <b/>
      <sz val="14.0"/>
      <color rgb="FFFF0000"/>
      <name val="Times New Roman"/>
    </font>
    <font>
      <sz val="14.0"/>
      <color theme="1"/>
      <name val="Times New Roman"/>
    </font>
    <font>
      <sz val="10.0"/>
      <color rgb="FF000000"/>
      <name val="Calibri"/>
    </font>
    <font>
      <sz val="12.0"/>
      <color rgb="FF081B3A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FF0000"/>
      <name val="Times New Roman"/>
    </font>
    <font>
      <b/>
      <sz val="11.0"/>
      <color rgb="FF00B050"/>
      <name val="Times New Roman"/>
    </font>
    <font>
      <sz val="12.0"/>
      <color theme="1"/>
      <name val="Courier New"/>
    </font>
    <font>
      <b/>
      <sz val="12.0"/>
      <color theme="1"/>
      <name val="Courier New"/>
    </font>
    <font>
      <sz val="11.0"/>
      <color theme="1"/>
      <name val="Cambria"/>
    </font>
    <font>
      <b/>
      <sz val="12.0"/>
      <color theme="1"/>
      <name val="Times New Roman"/>
    </font>
    <font>
      <b/>
      <sz val="12.0"/>
      <color rgb="FFFF0000"/>
      <name val="Times New Roman"/>
    </font>
    <font>
      <color theme="1"/>
      <name val="Calibri"/>
      <scheme val="minor"/>
    </font>
    <font>
      <sz val="12.0"/>
      <color rgb="FFFF0000"/>
      <name val="Calibri"/>
    </font>
    <font>
      <color theme="1"/>
      <name val="Times New Roman"/>
    </font>
    <font>
      <sz val="9.0"/>
      <color rgb="FFFFFFFF"/>
      <name val="Roboto"/>
    </font>
    <font>
      <b/>
      <sz val="9.0"/>
      <color rgb="FFFFFFF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2D5"/>
        <bgColor rgb="FFFBE2D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FD966"/>
        <bgColor rgb="FFFFD966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</fills>
  <borders count="64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CCCCCC"/>
      </left>
      <top/>
      <bottom style="medium">
        <color rgb="FFCCCCCC"/>
      </bottom>
    </border>
    <border>
      <top/>
      <bottom style="medium">
        <color rgb="FFCCCCCC"/>
      </bottom>
    </border>
    <border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/>
      <top/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/>
      <right style="medium">
        <color rgb="FFCCCCCC"/>
      </right>
      <top/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horizontal="left" shrinkToFit="0" wrapText="1"/>
    </xf>
    <xf borderId="3" fillId="0" fontId="5" numFmtId="164" xfId="0" applyAlignment="1" applyBorder="1" applyFont="1" applyNumberFormat="1">
      <alignment shrinkToFit="0" wrapText="1"/>
    </xf>
    <xf borderId="1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right" shrinkToFit="0" wrapText="1"/>
    </xf>
    <xf borderId="2" fillId="0" fontId="6" numFmtId="1" xfId="0" applyAlignment="1" applyBorder="1" applyFont="1" applyNumberFormat="1">
      <alignment shrinkToFit="0" wrapText="1"/>
    </xf>
    <xf borderId="2" fillId="0" fontId="6" numFmtId="164" xfId="0" applyAlignment="1" applyBorder="1" applyFont="1" applyNumberFormat="1">
      <alignment horizontal="right" shrinkToFit="0" wrapText="1"/>
    </xf>
    <xf borderId="3" fillId="0" fontId="6" numFmtId="164" xfId="0" applyAlignment="1" applyBorder="1" applyFont="1" applyNumberFormat="1">
      <alignment shrinkToFit="0" wrapText="1"/>
    </xf>
    <xf borderId="4" fillId="0" fontId="7" numFmtId="0" xfId="0" applyAlignment="1" applyBorder="1" applyFont="1">
      <alignment shrinkToFit="0" wrapText="1"/>
    </xf>
    <xf borderId="5" fillId="0" fontId="3" numFmtId="0" xfId="0" applyBorder="1" applyFont="1"/>
    <xf borderId="6" fillId="0" fontId="3" numFmtId="0" xfId="0" applyBorder="1" applyFont="1"/>
    <xf borderId="7" fillId="3" fontId="8" numFmtId="0" xfId="0" applyAlignment="1" applyBorder="1" applyFill="1" applyFont="1">
      <alignment horizontal="center" shrinkToFit="0" vertical="center" wrapText="1"/>
    </xf>
    <xf borderId="8" fillId="3" fontId="8" numFmtId="0" xfId="0" applyAlignment="1" applyBorder="1" applyFill="1" applyFont="1">
      <alignment horizontal="center" shrinkToFit="0" vertical="center" wrapText="1"/>
    </xf>
    <xf borderId="8" fillId="3" fontId="8" numFmtId="0" xfId="0" applyAlignment="1" applyBorder="1" applyFill="1" applyFont="1">
      <alignment horizontal="right" shrinkToFit="0" vertical="center" wrapText="1"/>
    </xf>
    <xf borderId="8" fillId="3" fontId="8" numFmtId="164" xfId="0" applyAlignment="1" applyBorder="1" applyFill="1" applyFont="1" applyNumberFormat="1">
      <alignment horizontal="right" shrinkToFit="0" vertical="center" wrapText="1"/>
    </xf>
    <xf borderId="8" fillId="3" fontId="8" numFmtId="1" xfId="0" applyAlignment="1" applyBorder="1" applyFill="1" applyFont="1" applyNumberFormat="1">
      <alignment horizontal="center" shrinkToFit="0" vertical="center" wrapText="1"/>
    </xf>
    <xf borderId="8" fillId="3" fontId="8" numFmtId="164" xfId="0" applyAlignment="1" applyBorder="1" applyFill="1" applyFont="1" applyNumberFormat="1">
      <alignment horizontal="center" shrinkToFit="0" vertical="center" wrapText="1"/>
    </xf>
    <xf borderId="9" fillId="3" fontId="8" numFmtId="164" xfId="0" applyAlignment="1" applyBorder="1" applyFill="1" applyFont="1" applyNumberFormat="1">
      <alignment horizontal="right" shrinkToFit="0" vertical="center" wrapText="1"/>
    </xf>
    <xf borderId="10" fillId="3" fontId="8" numFmtId="164" xfId="0" applyAlignment="1" applyBorder="1" applyFill="1" applyFont="1" applyNumberForma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3" fontId="8" numFmtId="164" xfId="0" applyAlignment="1" applyBorder="1" applyFill="1" applyFont="1" applyNumberFormat="1">
      <alignment horizontal="right" shrinkToFit="0" vertical="center" wrapText="1"/>
    </xf>
    <xf borderId="8" fillId="3" fontId="8" numFmtId="164" xfId="0" applyAlignment="1" applyBorder="1" applyFill="1" applyFont="1" applyNumberFormat="1">
      <alignment horizontal="center" shrinkToFit="0" wrapText="1"/>
    </xf>
    <xf borderId="15" fillId="0" fontId="3" numFmtId="0" xfId="0" applyBorder="1" applyFont="1"/>
    <xf borderId="16" fillId="2" fontId="6" numFmtId="0" xfId="0" applyAlignment="1" applyBorder="1" applyFill="1" applyFont="1">
      <alignment horizontal="center" shrinkToFit="0" wrapText="1"/>
    </xf>
    <xf borderId="17" fillId="4" fontId="6" numFmtId="16" xfId="0" applyAlignment="1" applyBorder="1" applyFill="1" applyFont="1" applyNumberFormat="1">
      <alignment horizontal="center"/>
    </xf>
    <xf borderId="18" fillId="4" fontId="6" numFmtId="16" xfId="0" applyAlignment="1" applyBorder="1" applyFill="1" applyFont="1" applyNumberFormat="1">
      <alignment horizontal="center"/>
    </xf>
    <xf borderId="17" fillId="4" fontId="9" numFmtId="0" xfId="0" applyAlignment="1" applyBorder="1" applyFill="1" applyFont="1">
      <alignment horizontal="center" shrinkToFit="0" wrapText="1"/>
    </xf>
    <xf borderId="18" fillId="4" fontId="6" numFmtId="49" xfId="0" applyAlignment="1" applyBorder="1" applyFill="1" applyFont="1" applyNumberFormat="1">
      <alignment horizontal="center"/>
    </xf>
    <xf borderId="17" fillId="0" fontId="6" numFmtId="0" xfId="0" applyAlignment="1" applyBorder="1" applyFont="1">
      <alignment horizontal="center" shrinkToFit="0" wrapText="1"/>
    </xf>
    <xf borderId="17" fillId="0" fontId="6" numFmtId="0" xfId="0" applyBorder="1" applyFont="1"/>
    <xf borderId="17" fillId="2" fontId="6" numFmtId="0" xfId="0" applyAlignment="1" applyBorder="1" applyFill="1" applyFont="1">
      <alignment horizontal="center" shrinkToFit="0" wrapText="1"/>
    </xf>
    <xf borderId="17" fillId="4" fontId="6" numFmtId="0" xfId="0" applyAlignment="1" applyBorder="1" applyFill="1" applyFont="1">
      <alignment horizontal="center" shrinkToFit="0" wrapText="1"/>
    </xf>
    <xf borderId="17" fillId="4" fontId="6" numFmtId="164" xfId="0" applyAlignment="1" applyBorder="1" applyFill="1" applyFont="1" applyNumberFormat="1">
      <alignment horizontal="right"/>
    </xf>
    <xf borderId="17" fillId="4" fontId="9" numFmtId="16" xfId="0" applyAlignment="1" applyBorder="1" applyFill="1" applyFont="1" applyNumberFormat="1">
      <alignment horizontal="center" shrinkToFit="0" wrapText="1"/>
    </xf>
    <xf borderId="17" fillId="0" fontId="6" numFmtId="164" xfId="0" applyAlignment="1" applyBorder="1" applyFont="1" applyNumberFormat="1">
      <alignment horizontal="right"/>
    </xf>
    <xf borderId="17" fillId="4" fontId="10" numFmtId="0" xfId="0" applyAlignment="1" applyBorder="1" applyFill="1" applyFont="1">
      <alignment shrinkToFit="0" wrapText="1"/>
    </xf>
    <xf borderId="17" fillId="4" fontId="6" numFmtId="164" xfId="0" applyAlignment="1" applyBorder="1" applyFill="1" applyFont="1" applyNumberFormat="1">
      <alignment horizontal="right" shrinkToFit="0" wrapText="1"/>
    </xf>
    <xf borderId="17" fillId="4" fontId="6" numFmtId="0" xfId="0" applyAlignment="1" applyBorder="1" applyFill="1" applyFont="1">
      <alignment horizontal="right" shrinkToFit="0" wrapText="1"/>
    </xf>
    <xf borderId="17" fillId="4" fontId="9" numFmtId="1" xfId="0" applyAlignment="1" applyBorder="1" applyFill="1" applyFont="1" applyNumberFormat="1">
      <alignment horizontal="center" shrinkToFit="0" wrapText="1"/>
    </xf>
    <xf borderId="17" fillId="4" fontId="9" numFmtId="0" xfId="0" applyAlignment="1" applyBorder="1" applyFill="1" applyFont="1">
      <alignment shrinkToFit="0" wrapText="1"/>
    </xf>
    <xf borderId="17" fillId="4" fontId="9" numFmtId="164" xfId="0" applyAlignment="1" applyBorder="1" applyFill="1" applyFont="1" applyNumberFormat="1">
      <alignment shrinkToFit="0" wrapText="1"/>
    </xf>
    <xf borderId="19" fillId="4" fontId="6" numFmtId="164" xfId="0" applyAlignment="1" applyBorder="1" applyFill="1" applyFont="1" applyNumberFormat="1">
      <alignment horizontal="center" shrinkToFit="0" wrapText="1"/>
    </xf>
    <xf borderId="20" fillId="4" fontId="1" numFmtId="0" xfId="0" applyBorder="1" applyFill="1" applyFont="1"/>
    <xf borderId="20" fillId="4" fontId="6" numFmtId="0" xfId="0" applyAlignment="1" applyBorder="1" applyFill="1" applyFont="1">
      <alignment horizontal="center"/>
    </xf>
    <xf borderId="17" fillId="4" fontId="6" numFmtId="49" xfId="0" applyAlignment="1" applyBorder="1" applyFill="1" applyFont="1" applyNumberFormat="1">
      <alignment horizontal="center"/>
    </xf>
    <xf borderId="20" fillId="4" fontId="11" numFmtId="0" xfId="0" applyBorder="1" applyFill="1" applyFont="1"/>
    <xf borderId="17" fillId="4" fontId="12" numFmtId="0" xfId="0" applyAlignment="1" applyBorder="1" applyFill="1" applyFont="1">
      <alignment shrinkToFit="0" wrapText="1"/>
    </xf>
    <xf borderId="14" fillId="4" fontId="6" numFmtId="49" xfId="0" applyAlignment="1" applyBorder="1" applyFill="1" applyFont="1" applyNumberFormat="1">
      <alignment horizontal="center"/>
    </xf>
    <xf borderId="17" fillId="4" fontId="6" numFmtId="0" xfId="0" applyAlignment="1" applyBorder="1" applyFill="1" applyFont="1">
      <alignment shrinkToFit="0" wrapText="1"/>
    </xf>
    <xf borderId="17" fillId="4" fontId="6" numFmtId="164" xfId="0" applyAlignment="1" applyBorder="1" applyFill="1" applyFont="1" applyNumberFormat="1">
      <alignment shrinkToFit="0" wrapText="1"/>
    </xf>
    <xf borderId="14" fillId="4" fontId="6" numFmtId="16" xfId="0" applyAlignment="1" applyBorder="1" applyFill="1" applyFont="1" applyNumberFormat="1">
      <alignment horizontal="center"/>
    </xf>
    <xf borderId="17" fillId="4" fontId="6" numFmtId="0" xfId="0" applyBorder="1" applyFill="1" applyFont="1"/>
    <xf borderId="17" fillId="4" fontId="6" numFmtId="164" xfId="0" applyAlignment="1" applyBorder="1" applyFill="1" applyFont="1" applyNumberFormat="1">
      <alignment horizontal="center" shrinkToFit="0" wrapText="1"/>
    </xf>
    <xf borderId="17" fillId="5" fontId="6" numFmtId="16" xfId="0" applyAlignment="1" applyBorder="1" applyFill="1" applyFont="1" applyNumberFormat="1">
      <alignment horizontal="center"/>
    </xf>
    <xf borderId="17" fillId="4" fontId="6" numFmtId="0" xfId="0" applyAlignment="1" applyBorder="1" applyFill="1" applyFont="1">
      <alignment horizontal="center"/>
    </xf>
    <xf borderId="21" fillId="0" fontId="3" numFmtId="0" xfId="0" applyBorder="1" applyFont="1"/>
    <xf borderId="22" fillId="3" fontId="8" numFmtId="164" xfId="0" applyAlignment="1" applyBorder="1" applyFill="1" applyFont="1" applyNumberFormat="1">
      <alignment horizontal="right" shrinkToFit="0" vertical="center" wrapText="1"/>
    </xf>
    <xf borderId="17" fillId="4" fontId="9" numFmtId="11" xfId="0" applyAlignment="1" applyBorder="1" applyFill="1" applyFont="1" applyNumberFormat="1">
      <alignment horizontal="center" shrinkToFit="0" wrapText="1"/>
    </xf>
    <xf borderId="17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left"/>
    </xf>
    <xf borderId="17" fillId="2" fontId="6" numFmtId="0" xfId="0" applyAlignment="1" applyBorder="1" applyFill="1" applyFont="1">
      <alignment horizontal="right" shrinkToFit="0" wrapText="1"/>
    </xf>
    <xf borderId="18" fillId="4" fontId="6" numFmtId="0" xfId="0" applyAlignment="1" applyBorder="1" applyFill="1" applyFont="1">
      <alignment horizontal="center"/>
    </xf>
    <xf borderId="17" fillId="0" fontId="6" numFmtId="164" xfId="0" applyAlignment="1" applyBorder="1" applyFont="1" applyNumberFormat="1">
      <alignment horizontal="right" shrinkToFit="0" wrapText="1"/>
    </xf>
    <xf borderId="23" fillId="4" fontId="6" numFmtId="164" xfId="0" applyAlignment="1" applyBorder="1" applyFill="1" applyFont="1" applyNumberFormat="1">
      <alignment horizontal="right"/>
    </xf>
    <xf borderId="18" fillId="4" fontId="6" numFmtId="164" xfId="0" applyAlignment="1" applyBorder="1" applyFill="1" applyFont="1" applyNumberFormat="1">
      <alignment horizontal="right"/>
    </xf>
    <xf borderId="24" fillId="4" fontId="6" numFmtId="164" xfId="0" applyAlignment="1" applyBorder="1" applyFill="1" applyFont="1" applyNumberFormat="1">
      <alignment horizontal="right"/>
    </xf>
    <xf borderId="17" fillId="2" fontId="6" numFmtId="164" xfId="0" applyAlignment="1" applyBorder="1" applyFill="1" applyFont="1" applyNumberFormat="1">
      <alignment horizontal="right" shrinkToFit="0" wrapText="1"/>
    </xf>
    <xf borderId="19" fillId="2" fontId="6" numFmtId="164" xfId="0" applyAlignment="1" applyBorder="1" applyFill="1" applyFont="1" applyNumberFormat="1">
      <alignment horizontal="center" shrinkToFit="0" wrapText="1"/>
    </xf>
    <xf borderId="25" fillId="2" fontId="8" numFmtId="0" xfId="0" applyAlignment="1" applyBorder="1" applyFill="1" applyFont="1">
      <alignment horizontal="center" shrinkToFit="0" wrapText="1"/>
    </xf>
    <xf borderId="26" fillId="0" fontId="3" numFmtId="0" xfId="0" applyBorder="1" applyFont="1"/>
    <xf borderId="27" fillId="0" fontId="3" numFmtId="0" xfId="0" applyBorder="1" applyFont="1"/>
    <xf borderId="0" fillId="0" fontId="6" numFmtId="0" xfId="0" applyAlignment="1" applyFont="1">
      <alignment horizontal="center"/>
    </xf>
    <xf borderId="17" fillId="2" fontId="8" numFmtId="0" xfId="0" applyAlignment="1" applyBorder="1" applyFill="1" applyFont="1">
      <alignment horizontal="right" shrinkToFit="0" wrapText="1"/>
    </xf>
    <xf borderId="28" fillId="2" fontId="6" numFmtId="0" xfId="0" applyAlignment="1" applyBorder="1" applyFill="1" applyFont="1">
      <alignment horizontal="center" shrinkToFit="0" wrapText="1"/>
    </xf>
    <xf borderId="17" fillId="2" fontId="8" numFmtId="164" xfId="0" applyAlignment="1" applyBorder="1" applyFill="1" applyFont="1" applyNumberFormat="1">
      <alignment horizontal="right" shrinkToFit="0" wrapText="1"/>
    </xf>
    <xf borderId="18" fillId="4" fontId="6" numFmtId="1" xfId="0" applyAlignment="1" applyBorder="1" applyFill="1" applyFont="1" applyNumberFormat="1">
      <alignment horizontal="center"/>
    </xf>
    <xf borderId="19" fillId="2" fontId="8" numFmtId="164" xfId="0" applyAlignment="1" applyBorder="1" applyFill="1" applyFont="1" applyNumberFormat="1">
      <alignment horizontal="right" shrinkToFit="0" wrapText="1"/>
    </xf>
    <xf borderId="29" fillId="0" fontId="3" numFmtId="0" xfId="0" applyBorder="1" applyFont="1"/>
    <xf borderId="30" fillId="2" fontId="8" numFmtId="0" xfId="0" applyAlignment="1" applyBorder="1" applyFill="1" applyFont="1">
      <alignment horizontal="right" shrinkToFit="0" wrapText="1"/>
    </xf>
    <xf borderId="31" fillId="2" fontId="8" numFmtId="0" xfId="0" applyAlignment="1" applyBorder="1" applyFill="1" applyFont="1">
      <alignment horizontal="right" shrinkToFit="0" wrapText="1"/>
    </xf>
    <xf borderId="17" fillId="2" fontId="13" numFmtId="164" xfId="0" applyAlignment="1" applyBorder="1" applyFill="1" applyFont="1" applyNumberFormat="1">
      <alignment horizontal="right" shrinkToFit="0" wrapText="1"/>
    </xf>
    <xf borderId="0" fillId="0" fontId="11" numFmtId="0" xfId="0" applyFont="1"/>
    <xf borderId="32" fillId="5" fontId="4" numFmtId="0" xfId="0" applyAlignment="1" applyBorder="1" applyFill="1" applyFont="1">
      <alignment shrinkToFit="0" wrapText="1"/>
    </xf>
    <xf borderId="33" fillId="0" fontId="3" numFmtId="0" xfId="0" applyBorder="1" applyFont="1"/>
    <xf borderId="34" fillId="0" fontId="3" numFmtId="0" xfId="0" applyBorder="1" applyFont="1"/>
    <xf borderId="35" fillId="2" fontId="8" numFmtId="0" xfId="0" applyAlignment="1" applyBorder="1" applyFill="1" applyFont="1">
      <alignment horizontal="center" shrinkToFit="0" wrapText="1"/>
    </xf>
    <xf borderId="36" fillId="0" fontId="3" numFmtId="0" xfId="0" applyBorder="1" applyFont="1"/>
    <xf borderId="37" fillId="0" fontId="3" numFmtId="0" xfId="0" applyBorder="1" applyFont="1"/>
    <xf borderId="38" fillId="2" fontId="14" numFmtId="0" xfId="0" applyAlignment="1" applyBorder="1" applyFill="1" applyFont="1">
      <alignment shrinkToFit="0" wrapText="1"/>
    </xf>
    <xf borderId="38" fillId="2" fontId="14" numFmtId="0" xfId="0" applyAlignment="1" applyBorder="1" applyFill="1" applyFont="1">
      <alignment horizontal="right" shrinkToFit="0" wrapText="1"/>
    </xf>
    <xf borderId="39" fillId="2" fontId="14" numFmtId="164" xfId="0" applyAlignment="1" applyBorder="1" applyFill="1" applyFont="1" applyNumberFormat="1">
      <alignment horizontal="right" shrinkToFit="0" wrapText="1"/>
    </xf>
    <xf borderId="35" fillId="2" fontId="8" numFmtId="164" xfId="0" applyAlignment="1" applyBorder="1" applyFill="1" applyFont="1" applyNumberFormat="1">
      <alignment horizontal="center" shrinkToFit="0" wrapText="1"/>
    </xf>
    <xf borderId="4" fillId="2" fontId="14" numFmtId="0" xfId="0" applyAlignment="1" applyBorder="1" applyFill="1" applyFont="1">
      <alignment horizontal="center" shrinkToFit="0" wrapText="1"/>
    </xf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17" fillId="4" fontId="15" numFmtId="0" xfId="0" applyAlignment="1" applyBorder="1" applyFill="1" applyFont="1">
      <alignment shrinkToFit="0" wrapText="1"/>
    </xf>
    <xf borderId="43" fillId="2" fontId="8" numFmtId="0" xfId="0" applyAlignment="1" applyBorder="1" applyFill="1" applyFont="1">
      <alignment horizontal="center" shrinkToFit="0" wrapText="1"/>
    </xf>
    <xf borderId="0" fillId="0" fontId="6" numFmtId="164" xfId="0" applyAlignment="1" applyFont="1" applyNumberFormat="1">
      <alignment horizontal="right"/>
    </xf>
    <xf borderId="17" fillId="4" fontId="6" numFmtId="0" xfId="0" applyAlignment="1" applyBorder="1" applyFill="1" applyFont="1">
      <alignment horizontal="left"/>
    </xf>
    <xf borderId="17" fillId="4" fontId="6" numFmtId="11" xfId="0" applyAlignment="1" applyBorder="1" applyFill="1" applyFont="1" applyNumberFormat="1">
      <alignment horizontal="center"/>
    </xf>
    <xf borderId="18" fillId="4" fontId="6" numFmtId="11" xfId="0" applyAlignment="1" applyBorder="1" applyFill="1" applyFont="1" applyNumberFormat="1">
      <alignment horizontal="center"/>
    </xf>
    <xf borderId="44" fillId="0" fontId="6" numFmtId="0" xfId="0" applyAlignment="1" applyBorder="1" applyFont="1">
      <alignment horizontal="center"/>
    </xf>
    <xf borderId="44" fillId="0" fontId="6" numFmtId="164" xfId="0" applyAlignment="1" applyBorder="1" applyFont="1" applyNumberFormat="1">
      <alignment horizontal="right"/>
    </xf>
    <xf borderId="18" fillId="4" fontId="6" numFmtId="164" xfId="0" applyAlignment="1" applyBorder="1" applyFill="1" applyFont="1" applyNumberFormat="1">
      <alignment horizontal="right" shrinkToFit="0" wrapText="1"/>
    </xf>
    <xf borderId="16" fillId="4" fontId="6" numFmtId="0" xfId="0" applyAlignment="1" applyBorder="1" applyFill="1" applyFont="1">
      <alignment horizontal="center" shrinkToFit="0" wrapText="1"/>
    </xf>
    <xf borderId="18" fillId="5" fontId="6" numFmtId="16" xfId="0" applyAlignment="1" applyBorder="1" applyFill="1" applyFont="1" applyNumberFormat="1">
      <alignment horizontal="center"/>
    </xf>
    <xf borderId="14" fillId="4" fontId="6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2" fillId="0" fontId="6" numFmtId="0" xfId="0" applyAlignment="1" applyBorder="1" applyFont="1">
      <alignment horizontal="center" shrinkToFit="0" wrapText="1"/>
    </xf>
    <xf borderId="2" fillId="0" fontId="6" numFmtId="1" xfId="0" applyAlignment="1" applyBorder="1" applyFont="1" applyNumberFormat="1">
      <alignment horizontal="center" shrinkToFit="0" wrapText="1"/>
    </xf>
    <xf borderId="17" fillId="4" fontId="9" numFmtId="0" xfId="0" applyAlignment="1" applyBorder="1" applyFill="1" applyFont="1">
      <alignment horizontal="center" shrinkToFit="0" vertical="center" wrapText="1"/>
    </xf>
    <xf borderId="44" fillId="0" fontId="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18" fillId="4" fontId="6" numFmtId="0" xfId="0" applyAlignment="1" applyBorder="1" applyFill="1" applyFont="1">
      <alignment horizontal="center" shrinkToFit="0" wrapText="1"/>
    </xf>
    <xf borderId="18" fillId="4" fontId="9" numFmtId="16" xfId="0" applyAlignment="1" applyBorder="1" applyFill="1" applyFont="1" applyNumberFormat="1">
      <alignment horizontal="center" shrinkToFit="0" wrapText="1"/>
    </xf>
    <xf borderId="18" fillId="4" fontId="9" numFmtId="0" xfId="0" applyAlignment="1" applyBorder="1" applyFill="1" applyFont="1">
      <alignment horizontal="center" shrinkToFit="0" wrapText="1"/>
    </xf>
    <xf borderId="20" fillId="4" fontId="6" numFmtId="0" xfId="0" applyAlignment="1" applyBorder="1" applyFill="1" applyFont="1">
      <alignment horizontal="center" vertical="center"/>
    </xf>
    <xf borderId="18" fillId="4" fontId="6" numFmtId="0" xfId="0" applyAlignment="1" applyBorder="1" applyFill="1" applyFont="1">
      <alignment horizontal="right" shrinkToFit="0" wrapText="1"/>
    </xf>
    <xf borderId="17" fillId="4" fontId="17" numFmtId="0" xfId="0" applyAlignment="1" applyBorder="1" applyFill="1" applyFont="1">
      <alignment horizontal="center" vertical="center"/>
    </xf>
    <xf borderId="17" fillId="4" fontId="1" numFmtId="0" xfId="0" applyBorder="1" applyFill="1" applyFont="1"/>
    <xf borderId="17" fillId="4" fontId="6" numFmtId="0" xfId="0" applyAlignment="1" applyBorder="1" applyFill="1" applyFont="1">
      <alignment horizontal="center" vertical="center"/>
    </xf>
    <xf borderId="17" fillId="0" fontId="6" numFmtId="49" xfId="0" applyAlignment="1" applyBorder="1" applyFont="1" applyNumberFormat="1">
      <alignment horizontal="center"/>
    </xf>
    <xf borderId="17" fillId="4" fontId="17" numFmtId="0" xfId="0" applyAlignment="1" applyBorder="1" applyFill="1" applyFont="1">
      <alignment horizontal="center" shrinkToFit="0" vertical="center" wrapText="1"/>
    </xf>
    <xf borderId="17" fillId="4" fontId="6" numFmtId="164" xfId="0" applyAlignment="1" applyBorder="1" applyFill="1" applyFont="1" applyNumberFormat="1">
      <alignment horizontal="center" shrinkToFit="0" vertical="center" wrapText="1"/>
    </xf>
    <xf borderId="23" fillId="4" fontId="6" numFmtId="164" xfId="0" applyAlignment="1" applyBorder="1" applyFill="1" applyFont="1" applyNumberFormat="1">
      <alignment horizontal="center" shrinkToFit="0" wrapText="1"/>
    </xf>
    <xf borderId="17" fillId="4" fontId="1" numFmtId="164" xfId="0" applyBorder="1" applyFill="1" applyFont="1" applyNumberFormat="1"/>
    <xf borderId="20" fillId="4" fontId="17" numFmtId="0" xfId="0" applyAlignment="1" applyBorder="1" applyFill="1" applyFont="1">
      <alignment horizontal="center" vertical="center"/>
    </xf>
    <xf borderId="17" fillId="4" fontId="17" numFmtId="0" xfId="0" applyBorder="1" applyFill="1" applyFont="1"/>
    <xf borderId="22" fillId="4" fontId="17" numFmtId="0" xfId="0" applyBorder="1" applyFill="1" applyFont="1"/>
    <xf borderId="17" fillId="0" fontId="6" numFmtId="1" xfId="0" applyAlignment="1" applyBorder="1" applyFont="1" applyNumberFormat="1">
      <alignment horizontal="center" vertical="center"/>
    </xf>
    <xf borderId="20" fillId="4" fontId="17" numFmtId="0" xfId="0" applyBorder="1" applyFill="1" applyFont="1"/>
    <xf borderId="17" fillId="0" fontId="6" numFmtId="14" xfId="0" applyAlignment="1" applyBorder="1" applyFont="1" applyNumberFormat="1">
      <alignment horizontal="center"/>
    </xf>
    <xf borderId="18" fillId="2" fontId="6" numFmtId="0" xfId="0" applyAlignment="1" applyBorder="1" applyFill="1" applyFont="1">
      <alignment horizontal="center" shrinkToFit="0" wrapText="1"/>
    </xf>
    <xf borderId="23" fillId="2" fontId="6" numFmtId="164" xfId="0" applyAlignment="1" applyBorder="1" applyFill="1" applyFont="1" applyNumberFormat="1">
      <alignment horizontal="right" shrinkToFit="0" wrapText="1"/>
    </xf>
    <xf borderId="27" fillId="0" fontId="6" numFmtId="0" xfId="0" applyAlignment="1" applyBorder="1" applyFont="1">
      <alignment horizontal="center" shrinkToFit="0" wrapText="1"/>
    </xf>
    <xf borderId="18" fillId="4" fontId="9" numFmtId="0" xfId="0" applyAlignment="1" applyBorder="1" applyFill="1" applyFont="1">
      <alignment horizontal="center" shrinkToFit="0" vertical="center" wrapText="1"/>
    </xf>
    <xf borderId="44" fillId="0" fontId="6" numFmtId="14" xfId="0" applyAlignment="1" applyBorder="1" applyFont="1" applyNumberFormat="1">
      <alignment horizontal="center" vertical="center"/>
    </xf>
    <xf borderId="18" fillId="4" fontId="9" numFmtId="1" xfId="0" applyAlignment="1" applyBorder="1" applyFill="1" applyFont="1" applyNumberFormat="1">
      <alignment horizontal="center" shrinkToFit="0" vertical="center" wrapText="1"/>
    </xf>
    <xf borderId="44" fillId="0" fontId="6" numFmtId="0" xfId="0" applyAlignment="1" applyBorder="1" applyFont="1">
      <alignment shrinkToFit="0" vertical="center" wrapText="1"/>
    </xf>
    <xf borderId="14" fillId="4" fontId="9" numFmtId="1" xfId="0" applyAlignment="1" applyBorder="1" applyFill="1" applyFont="1" applyNumberFormat="1">
      <alignment horizontal="center" shrinkToFit="0" vertical="center" wrapText="1"/>
    </xf>
    <xf borderId="0" fillId="0" fontId="17" numFmtId="0" xfId="0" applyFont="1"/>
    <xf borderId="0" fillId="0" fontId="17" numFmtId="164" xfId="0" applyFont="1" applyNumberFormat="1"/>
    <xf borderId="0" fillId="0" fontId="8" numFmtId="49" xfId="0" applyAlignment="1" applyFont="1" applyNumberFormat="1">
      <alignment horizontal="center"/>
    </xf>
    <xf borderId="17" fillId="0" fontId="17" numFmtId="0" xfId="0" applyBorder="1" applyFont="1"/>
    <xf borderId="17" fillId="0" fontId="18" numFmtId="164" xfId="0" applyBorder="1" applyFont="1" applyNumberFormat="1"/>
    <xf borderId="17" fillId="0" fontId="17" numFmtId="164" xfId="0" applyBorder="1" applyFont="1" applyNumberFormat="1"/>
    <xf borderId="45" fillId="0" fontId="17" numFmtId="164" xfId="0" applyAlignment="1" applyBorder="1" applyFont="1" applyNumberFormat="1">
      <alignment horizontal="center"/>
    </xf>
    <xf borderId="22" fillId="4" fontId="9" numFmtId="1" xfId="0" applyAlignment="1" applyBorder="1" applyFill="1" applyFont="1" applyNumberFormat="1">
      <alignment horizontal="center" shrinkToFit="0" vertical="center" wrapText="1"/>
    </xf>
    <xf borderId="17" fillId="0" fontId="6" numFmtId="1" xfId="0" applyAlignment="1" applyBorder="1" applyFont="1" applyNumberFormat="1">
      <alignment horizontal="center"/>
    </xf>
    <xf borderId="17" fillId="0" fontId="6" numFmtId="164" xfId="0" applyAlignment="1" applyBorder="1" applyFont="1" applyNumberFormat="1">
      <alignment horizontal="center" shrinkToFit="0" wrapText="1"/>
    </xf>
    <xf borderId="0" fillId="0" fontId="19" numFmtId="0" xfId="0" applyFont="1"/>
    <xf borderId="0" fillId="0" fontId="19" numFmtId="164" xfId="0" applyFont="1" applyNumberFormat="1"/>
    <xf borderId="17" fillId="2" fontId="6" numFmtId="164" xfId="0" applyAlignment="1" applyBorder="1" applyFill="1" applyFont="1" applyNumberFormat="1">
      <alignment horizontal="center" shrinkToFit="0" wrapText="1"/>
    </xf>
    <xf borderId="45" fillId="0" fontId="17" numFmtId="0" xfId="0" applyAlignment="1" applyBorder="1" applyFont="1">
      <alignment horizontal="center"/>
    </xf>
    <xf borderId="45" fillId="0" fontId="20" numFmtId="0" xfId="0" applyAlignment="1" applyBorder="1" applyFont="1">
      <alignment horizontal="center"/>
    </xf>
    <xf borderId="17" fillId="0" fontId="20" numFmtId="164" xfId="0" applyBorder="1" applyFont="1" applyNumberFormat="1"/>
    <xf borderId="46" fillId="0" fontId="20" numFmtId="0" xfId="0" applyAlignment="1" applyBorder="1" applyFont="1">
      <alignment horizontal="center" shrinkToFit="0" wrapText="1"/>
    </xf>
    <xf borderId="47" fillId="0" fontId="3" numFmtId="0" xfId="0" applyBorder="1" applyFont="1"/>
    <xf borderId="44" fillId="0" fontId="20" numFmtId="9" xfId="0" applyAlignment="1" applyBorder="1" applyFont="1" applyNumberFormat="1">
      <alignment horizontal="center"/>
    </xf>
    <xf borderId="48" fillId="0" fontId="3" numFmtId="0" xfId="0" applyBorder="1" applyFont="1"/>
    <xf borderId="49" fillId="0" fontId="3" numFmtId="0" xfId="0" applyBorder="1" applyFont="1"/>
    <xf borderId="17" fillId="0" fontId="11" numFmtId="0" xfId="0" applyAlignment="1" applyBorder="1" applyFont="1">
      <alignment horizontal="center"/>
    </xf>
    <xf borderId="17" fillId="4" fontId="9" numFmtId="1" xfId="0" applyAlignment="1" applyBorder="1" applyFill="1" applyFont="1" applyNumberFormat="1">
      <alignment horizontal="center" shrinkToFit="0" vertical="center" wrapText="1"/>
    </xf>
    <xf borderId="17" fillId="0" fontId="6" numFmtId="0" xfId="0" applyAlignment="1" applyBorder="1" applyFont="1">
      <alignment horizontal="center" vertical="center"/>
    </xf>
    <xf borderId="17" fillId="4" fontId="6" numFmtId="0" xfId="0" applyAlignment="1" applyBorder="1" applyFill="1" applyFont="1">
      <alignment horizontal="center" shrinkToFit="0" vertical="center" wrapText="1"/>
    </xf>
    <xf borderId="17" fillId="0" fontId="6" numFmtId="164" xfId="0" applyAlignment="1" applyBorder="1" applyFont="1" applyNumberFormat="1">
      <alignment horizontal="right" vertical="center"/>
    </xf>
    <xf borderId="23" fillId="4" fontId="6" numFmtId="0" xfId="0" applyAlignment="1" applyBorder="1" applyFill="1" applyFont="1">
      <alignment horizontal="center" shrinkToFit="0" vertical="center" wrapText="1"/>
    </xf>
    <xf borderId="23" fillId="4" fontId="6" numFmtId="164" xfId="0" applyAlignment="1" applyBorder="1" applyFill="1" applyFont="1" applyNumberFormat="1">
      <alignment horizontal="center" shrinkToFit="0" vertical="center" wrapText="1"/>
    </xf>
    <xf borderId="17" fillId="2" fontId="6" numFmtId="0" xfId="0" applyAlignment="1" applyBorder="1" applyFill="1" applyFont="1">
      <alignment horizontal="center" shrinkToFit="0" vertical="center" wrapText="1"/>
    </xf>
    <xf borderId="17" fillId="2" fontId="6" numFmtId="164" xfId="0" applyAlignment="1" applyBorder="1" applyFill="1" applyFont="1" applyNumberFormat="1">
      <alignment horizontal="center" shrinkToFit="0" vertical="center" wrapText="1"/>
    </xf>
    <xf borderId="23" fillId="2" fontId="6" numFmtId="164" xfId="0" applyAlignment="1" applyBorder="1" applyFill="1" applyFont="1" applyNumberFormat="1">
      <alignment horizontal="right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45" fillId="0" fontId="6" numFmtId="164" xfId="0" applyAlignment="1" applyBorder="1" applyFont="1" applyNumberFormat="1">
      <alignment horizontal="right" shrinkToFit="0" vertical="center" wrapText="1"/>
    </xf>
    <xf borderId="17" fillId="2" fontId="6" numFmtId="164" xfId="0" applyAlignment="1" applyBorder="1" applyFill="1" applyFont="1" applyNumberFormat="1">
      <alignment horizontal="right" shrinkToFit="0" vertical="center" wrapText="1"/>
    </xf>
    <xf borderId="31" fillId="4" fontId="6" numFmtId="0" xfId="0" applyAlignment="1" applyBorder="1" applyFill="1" applyFont="1">
      <alignment horizontal="center" shrinkToFit="0" wrapText="1"/>
    </xf>
    <xf borderId="28" fillId="4" fontId="6" numFmtId="0" xfId="0" applyAlignment="1" applyBorder="1" applyFill="1" applyFont="1">
      <alignment horizontal="center" shrinkToFit="0" wrapText="1"/>
    </xf>
    <xf borderId="18" fillId="4" fontId="9" numFmtId="1" xfId="0" applyAlignment="1" applyBorder="1" applyFill="1" applyFont="1" applyNumberFormat="1">
      <alignment horizontal="center" shrinkToFit="0" wrapText="1"/>
    </xf>
    <xf borderId="18" fillId="4" fontId="6" numFmtId="0" xfId="0" applyAlignment="1" applyBorder="1" applyFill="1" applyFont="1">
      <alignment shrinkToFit="0" wrapText="1"/>
    </xf>
    <xf borderId="24" fillId="4" fontId="6" numFmtId="164" xfId="0" applyAlignment="1" applyBorder="1" applyFill="1" applyFont="1" applyNumberFormat="1">
      <alignment shrinkToFit="0" wrapText="1"/>
    </xf>
    <xf borderId="0" fillId="0" fontId="7" numFmtId="0" xfId="0" applyAlignment="1" applyFont="1">
      <alignment shrinkToFit="0" wrapText="1"/>
    </xf>
    <xf borderId="39" fillId="2" fontId="14" numFmtId="0" xfId="0" applyAlignment="1" applyBorder="1" applyFill="1" applyFont="1">
      <alignment horizontal="right" shrinkToFit="0" wrapText="1"/>
    </xf>
    <xf borderId="17" fillId="4" fontId="6" numFmtId="3" xfId="0" applyAlignment="1" applyBorder="1" applyFill="1" applyFont="1" applyNumberFormat="1">
      <alignment horizontal="right" shrinkToFit="0" wrapText="1"/>
    </xf>
    <xf borderId="44" fillId="0" fontId="6" numFmtId="49" xfId="0" applyAlignment="1" applyBorder="1" applyFont="1" applyNumberFormat="1">
      <alignment horizontal="center"/>
    </xf>
    <xf borderId="17" fillId="0" fontId="21" numFmtId="1" xfId="0" applyAlignment="1" applyBorder="1" applyFont="1" applyNumberFormat="1">
      <alignment vertical="center"/>
    </xf>
    <xf borderId="17" fillId="0" fontId="22" numFmtId="1" xfId="0" applyAlignment="1" applyBorder="1" applyFont="1" applyNumberFormat="1">
      <alignment vertical="center"/>
    </xf>
    <xf borderId="17" fillId="4" fontId="11" numFmtId="0" xfId="0" applyBorder="1" applyFill="1" applyFont="1"/>
    <xf borderId="17" fillId="4" fontId="6" numFmtId="1" xfId="0" applyAlignment="1" applyBorder="1" applyFill="1" applyFont="1" applyNumberFormat="1">
      <alignment horizontal="center" vertical="center"/>
    </xf>
    <xf borderId="31" fillId="4" fontId="6" numFmtId="164" xfId="0" applyAlignment="1" applyBorder="1" applyFill="1" applyFont="1" applyNumberFormat="1">
      <alignment horizontal="right"/>
    </xf>
    <xf borderId="17" fillId="4" fontId="6" numFmtId="16" xfId="0" applyAlignment="1" applyBorder="1" applyFill="1" applyFont="1" applyNumberFormat="1">
      <alignment horizontal="center" vertical="center"/>
    </xf>
    <xf borderId="17" fillId="4" fontId="6" numFmtId="0" xfId="0" applyAlignment="1" applyBorder="1" applyFill="1" applyFont="1">
      <alignment horizontal="right" shrinkToFit="0" vertical="center" wrapText="1"/>
    </xf>
    <xf borderId="31" fillId="4" fontId="6" numFmtId="164" xfId="0" applyAlignment="1" applyBorder="1" applyFill="1" applyFont="1" applyNumberFormat="1">
      <alignment horizontal="center" vertical="center"/>
    </xf>
    <xf borderId="17" fillId="4" fontId="6" numFmtId="164" xfId="0" applyAlignment="1" applyBorder="1" applyFill="1" applyFont="1" applyNumberFormat="1">
      <alignment horizontal="center" vertical="center"/>
    </xf>
    <xf borderId="19" fillId="4" fontId="6" numFmtId="164" xfId="0" applyAlignment="1" applyBorder="1" applyFill="1" applyFont="1" applyNumberFormat="1">
      <alignment horizontal="center" shrinkToFit="0" vertical="center" wrapText="1"/>
    </xf>
    <xf borderId="27" fillId="0" fontId="22" numFmtId="1" xfId="0" applyAlignment="1" applyBorder="1" applyFont="1" applyNumberFormat="1">
      <alignment vertical="center"/>
    </xf>
    <xf borderId="28" fillId="4" fontId="6" numFmtId="164" xfId="0" applyAlignment="1" applyBorder="1" applyFill="1" applyFont="1" applyNumberFormat="1">
      <alignment horizontal="right"/>
    </xf>
    <xf borderId="17" fillId="0" fontId="23" numFmtId="3" xfId="0" applyAlignment="1" applyBorder="1" applyFont="1" applyNumberFormat="1">
      <alignment shrinkToFit="0" vertical="center" wrapText="1"/>
    </xf>
    <xf borderId="13" fillId="0" fontId="6" numFmtId="1" xfId="0" applyAlignment="1" applyBorder="1" applyFont="1" applyNumberFormat="1">
      <alignment horizontal="center" vertical="center"/>
    </xf>
    <xf borderId="22" fillId="4" fontId="9" numFmtId="0" xfId="0" applyAlignment="1" applyBorder="1" applyFill="1" applyFont="1">
      <alignment horizontal="center" shrinkToFit="0" wrapText="1"/>
    </xf>
    <xf borderId="17" fillId="0" fontId="24" numFmtId="1" xfId="0" applyAlignment="1" applyBorder="1" applyFont="1" applyNumberFormat="1">
      <alignment horizontal="center" vertical="center"/>
    </xf>
    <xf borderId="17" fillId="2" fontId="25" numFmtId="164" xfId="0" applyAlignment="1" applyBorder="1" applyFill="1" applyFont="1" applyNumberFormat="1">
      <alignment horizontal="right" shrinkToFit="0" wrapText="1"/>
    </xf>
    <xf borderId="0" fillId="0" fontId="26" numFmtId="0" xfId="0" applyAlignment="1" applyFont="1">
      <alignment readingOrder="0"/>
    </xf>
    <xf borderId="17" fillId="4" fontId="6" numFmtId="3" xfId="0" applyAlignment="1" applyBorder="1" applyFill="1" applyFont="1" applyNumberFormat="1">
      <alignment horizontal="right"/>
    </xf>
    <xf borderId="17" fillId="4" fontId="6" numFmtId="164" xfId="0" applyAlignment="1" applyBorder="1" applyFill="1" applyFont="1" applyNumberFormat="1">
      <alignment horizontal="right" shrinkToFit="0" vertical="center" wrapText="1"/>
    </xf>
    <xf quotePrefix="1" borderId="17" fillId="4" fontId="9" numFmtId="165" xfId="0" applyAlignment="1" applyBorder="1" applyFill="1" applyFont="1" applyNumberFormat="1">
      <alignment horizontal="center" shrinkToFit="0" wrapText="1"/>
    </xf>
    <xf borderId="17" fillId="2" fontId="24" numFmtId="164" xfId="0" applyAlignment="1" applyBorder="1" applyFill="1" applyFont="1" applyNumberFormat="1">
      <alignment horizontal="right" shrinkToFit="0" wrapText="1"/>
    </xf>
    <xf borderId="44" fillId="4" fontId="24" numFmtId="0" xfId="0" applyAlignment="1" applyBorder="1" applyFill="1" applyFont="1">
      <alignment horizontal="center" shrinkToFit="0" vertical="center" wrapText="1"/>
    </xf>
    <xf borderId="50" fillId="0" fontId="3" numFmtId="0" xfId="0" applyBorder="1" applyFont="1"/>
    <xf borderId="17" fillId="4" fontId="9" numFmtId="165" xfId="0" applyAlignment="1" applyBorder="1" applyFill="1" applyFont="1" applyNumberFormat="1">
      <alignment horizontal="center" shrinkToFit="0" wrapText="1"/>
    </xf>
    <xf borderId="17" fillId="4" fontId="21" numFmtId="1" xfId="0" applyAlignment="1" applyBorder="1" applyFill="1" applyFont="1" applyNumberFormat="1">
      <alignment vertical="center"/>
    </xf>
    <xf borderId="17" fillId="4" fontId="22" numFmtId="1" xfId="0" applyAlignment="1" applyBorder="1" applyFill="1" applyFont="1" applyNumberFormat="1">
      <alignment vertical="center"/>
    </xf>
    <xf borderId="22" fillId="4" fontId="6" numFmtId="1" xfId="0" applyAlignment="1" applyBorder="1" applyFill="1" applyFont="1" applyNumberFormat="1">
      <alignment horizontal="center" vertical="center"/>
    </xf>
    <xf borderId="17" fillId="4" fontId="6" numFmtId="14" xfId="0" applyAlignment="1" applyBorder="1" applyFill="1" applyFont="1" applyNumberFormat="1">
      <alignment horizontal="center"/>
    </xf>
    <xf borderId="20" fillId="4" fontId="6" numFmtId="164" xfId="0" applyBorder="1" applyFill="1" applyFont="1" applyNumberFormat="1"/>
    <xf borderId="17" fillId="4" fontId="1" numFmtId="0" xfId="0" applyAlignment="1" applyBorder="1" applyFill="1" applyFont="1">
      <alignment horizontal="center"/>
    </xf>
    <xf borderId="17" fillId="0" fontId="1" numFmtId="0" xfId="0" applyAlignment="1" applyBorder="1" applyFont="1">
      <alignment horizontal="right"/>
    </xf>
    <xf borderId="17" fillId="0" fontId="1" numFmtId="164" xfId="0" applyAlignment="1" applyBorder="1" applyFont="1" applyNumberFormat="1">
      <alignment horizontal="right"/>
    </xf>
    <xf borderId="17" fillId="0" fontId="1" numFmtId="164" xfId="0" applyBorder="1" applyFont="1" applyNumberFormat="1"/>
    <xf borderId="17" fillId="4" fontId="6" numFmtId="14" xfId="0" applyAlignment="1" applyBorder="1" applyFill="1" applyFont="1" applyNumberFormat="1">
      <alignment horizontal="center" vertical="center"/>
    </xf>
    <xf borderId="20" fillId="4" fontId="16" numFmtId="0" xfId="0" applyAlignment="1" applyBorder="1" applyFill="1" applyFont="1">
      <alignment horizontal="center" vertical="center"/>
    </xf>
    <xf borderId="17" fillId="0" fontId="17" numFmtId="0" xfId="0" applyAlignment="1" applyBorder="1" applyFont="1">
      <alignment horizontal="right"/>
    </xf>
    <xf borderId="17" fillId="0" fontId="17" numFmtId="164" xfId="0" applyAlignment="1" applyBorder="1" applyFont="1" applyNumberFormat="1">
      <alignment horizontal="right"/>
    </xf>
    <xf borderId="17" fillId="0" fontId="6" numFmtId="0" xfId="0" applyAlignment="1" applyBorder="1" applyFont="1">
      <alignment horizontal="right"/>
    </xf>
    <xf borderId="17" fillId="0" fontId="6" numFmtId="164" xfId="0" applyBorder="1" applyFont="1" applyNumberFormat="1"/>
    <xf borderId="25" fillId="4" fontId="8" numFmtId="0" xfId="0" applyAlignment="1" applyBorder="1" applyFill="1" applyFont="1">
      <alignment horizontal="center" shrinkToFit="0" wrapText="1"/>
    </xf>
    <xf borderId="0" fillId="0" fontId="6" numFmtId="0" xfId="0" applyFont="1"/>
    <xf borderId="51" fillId="3" fontId="8" numFmtId="164" xfId="0" applyAlignment="1" applyBorder="1" applyFill="1" applyFont="1" applyNumberFormat="1">
      <alignment horizontal="center" shrinkToFit="0" vertical="center" wrapText="1"/>
    </xf>
    <xf borderId="44" fillId="6" fontId="8" numFmtId="0" xfId="0" applyAlignment="1" applyBorder="1" applyFill="1" applyFont="1">
      <alignment horizontal="center" shrinkToFit="0" vertical="center" wrapText="1"/>
    </xf>
    <xf borderId="52" fillId="0" fontId="3" numFmtId="0" xfId="0" applyBorder="1" applyFont="1"/>
    <xf borderId="17" fillId="4" fontId="6" numFmtId="164" xfId="0" applyBorder="1" applyFill="1" applyFont="1" applyNumberFormat="1"/>
    <xf borderId="20" fillId="4" fontId="6" numFmtId="164" xfId="0" applyAlignment="1" applyBorder="1" applyFill="1" applyFont="1" applyNumberFormat="1">
      <alignment horizontal="center"/>
    </xf>
    <xf borderId="53" fillId="4" fontId="6" numFmtId="164" xfId="0" applyAlignment="1" applyBorder="1" applyFill="1" applyFont="1" applyNumberFormat="1">
      <alignment horizontal="center" shrinkToFit="0" vertical="center" wrapText="1"/>
    </xf>
    <xf borderId="54" fillId="0" fontId="3" numFmtId="0" xfId="0" applyBorder="1" applyFont="1"/>
    <xf borderId="20" fillId="4" fontId="11" numFmtId="164" xfId="0" applyBorder="1" applyFill="1" applyFont="1" applyNumberFormat="1"/>
    <xf borderId="20" fillId="4" fontId="11" numFmtId="166" xfId="0" applyBorder="1" applyFill="1" applyFont="1" applyNumberFormat="1"/>
    <xf borderId="55" fillId="4" fontId="24" numFmtId="0" xfId="0" applyAlignment="1" applyBorder="1" applyFill="1" applyFont="1">
      <alignment horizontal="center" vertical="center"/>
    </xf>
    <xf borderId="17" fillId="4" fontId="6" numFmtId="1" xfId="0" applyAlignment="1" applyBorder="1" applyFill="1" applyFont="1" applyNumberFormat="1">
      <alignment horizontal="center"/>
    </xf>
    <xf borderId="56" fillId="0" fontId="3" numFmtId="0" xfId="0" applyBorder="1" applyFont="1"/>
    <xf borderId="57" fillId="0" fontId="3" numFmtId="0" xfId="0" applyBorder="1" applyFont="1"/>
    <xf borderId="55" fillId="4" fontId="24" numFmtId="0" xfId="0" applyAlignment="1" applyBorder="1" applyFill="1" applyFont="1">
      <alignment horizontal="center" shrinkToFit="0" vertical="center" wrapText="1"/>
    </xf>
    <xf borderId="31" fillId="4" fontId="6" numFmtId="164" xfId="0" applyAlignment="1" applyBorder="1" applyFill="1" applyFont="1" applyNumberFormat="1">
      <alignment horizontal="center"/>
    </xf>
    <xf borderId="27" fillId="0" fontId="6" numFmtId="164" xfId="0" applyBorder="1" applyFont="1" applyNumberFormat="1"/>
    <xf borderId="31" fillId="4" fontId="6" numFmtId="0" xfId="0" applyAlignment="1" applyBorder="1" applyFill="1" applyFont="1">
      <alignment horizontal="right" shrinkToFit="0" vertical="center" wrapText="1"/>
    </xf>
    <xf borderId="20" fillId="4" fontId="6" numFmtId="0" xfId="0" applyBorder="1" applyFill="1" applyFont="1"/>
    <xf borderId="17" fillId="0" fontId="6" numFmtId="14" xfId="0" applyAlignment="1" applyBorder="1" applyFont="1" applyNumberFormat="1">
      <alignment horizontal="center" shrinkToFit="0" wrapText="1"/>
    </xf>
    <xf borderId="27" fillId="0" fontId="6" numFmtId="164" xfId="0" applyAlignment="1" applyBorder="1" applyFont="1" applyNumberFormat="1">
      <alignment horizontal="center"/>
    </xf>
    <xf borderId="17" fillId="4" fontId="6" numFmtId="164" xfId="0" applyAlignment="1" applyBorder="1" applyFill="1" applyFont="1" applyNumberFormat="1">
      <alignment horizontal="center"/>
    </xf>
    <xf borderId="20" fillId="4" fontId="27" numFmtId="164" xfId="0" applyBorder="1" applyFill="1" applyFont="1" applyNumberFormat="1"/>
    <xf borderId="0" fillId="0" fontId="1" numFmtId="166" xfId="0" applyFont="1" applyNumberFormat="1"/>
    <xf borderId="50" fillId="4" fontId="24" numFmtId="0" xfId="0" applyAlignment="1" applyBorder="1" applyFill="1" applyFont="1">
      <alignment horizontal="center" shrinkToFit="0" vertical="center" wrapText="1"/>
    </xf>
    <xf borderId="17" fillId="4" fontId="6" numFmtId="0" xfId="0" applyAlignment="1" applyBorder="1" applyFill="1" applyFont="1">
      <alignment horizontal="center" readingOrder="0" shrinkToFit="0" vertical="center" wrapText="1"/>
    </xf>
    <xf borderId="17" fillId="4" fontId="9" numFmtId="0" xfId="0" applyAlignment="1" applyBorder="1" applyFill="1" applyFont="1">
      <alignment horizontal="center" readingOrder="0" shrinkToFit="0" wrapText="1"/>
    </xf>
    <xf borderId="17" fillId="4" fontId="9" numFmtId="1" xfId="0" applyAlignment="1" applyBorder="1" applyFill="1" applyFont="1" applyNumberFormat="1">
      <alignment horizontal="center" readingOrder="0" shrinkToFit="0" wrapText="1"/>
    </xf>
    <xf borderId="18" fillId="4" fontId="24" numFmtId="0" xfId="0" applyAlignment="1" applyBorder="1" applyFill="1" applyFont="1">
      <alignment horizontal="center" shrinkToFit="0" vertical="center" wrapText="1"/>
    </xf>
    <xf borderId="17" fillId="4" fontId="6" numFmtId="0" xfId="0" applyAlignment="1" applyBorder="1" applyFill="1" applyFont="1">
      <alignment horizontal="center" readingOrder="0" shrinkToFit="0" wrapText="1"/>
    </xf>
    <xf borderId="17" fillId="4" fontId="6" numFmtId="0" xfId="0" applyAlignment="1" applyBorder="1" applyFill="1" applyFont="1">
      <alignment horizontal="right" readingOrder="0" shrinkToFit="0" vertical="center" wrapText="1"/>
    </xf>
    <xf borderId="17" fillId="4" fontId="6" numFmtId="164" xfId="0" applyAlignment="1" applyBorder="1" applyFill="1" applyFont="1" applyNumberFormat="1">
      <alignment horizontal="right" readingOrder="0"/>
    </xf>
    <xf borderId="17" fillId="0" fontId="6" numFmtId="164" xfId="0" applyAlignment="1" applyBorder="1" applyFont="1" applyNumberFormat="1">
      <alignment horizontal="right" readingOrder="0"/>
    </xf>
    <xf borderId="31" fillId="4" fontId="25" numFmtId="0" xfId="0" applyAlignment="1" applyBorder="1" applyFill="1" applyFont="1">
      <alignment horizontal="center" shrinkToFit="0" wrapText="1"/>
    </xf>
    <xf borderId="0" fillId="4" fontId="6" numFmtId="0" xfId="0" applyAlignment="1" applyFill="1" applyFont="1">
      <alignment horizontal="center"/>
    </xf>
    <xf borderId="23" fillId="4" fontId="14" numFmtId="164" xfId="0" applyAlignment="1" applyBorder="1" applyFill="1" applyFont="1" applyNumberFormat="1">
      <alignment horizontal="center" shrinkToFit="0" wrapText="1"/>
    </xf>
    <xf borderId="17" fillId="0" fontId="13" numFmtId="164" xfId="0" applyBorder="1" applyFont="1" applyNumberFormat="1"/>
    <xf borderId="17" fillId="4" fontId="6" numFmtId="164" xfId="0" applyAlignment="1" applyBorder="1" applyFill="1" applyFont="1" applyNumberFormat="1">
      <alignment readingOrder="0"/>
    </xf>
    <xf borderId="20" fillId="2" fontId="24" numFmtId="164" xfId="0" applyAlignment="1" applyBorder="1" applyFill="1" applyFont="1" applyNumberFormat="1">
      <alignment horizontal="right" shrinkToFit="0" wrapText="1"/>
    </xf>
    <xf borderId="20" fillId="2" fontId="8" numFmtId="164" xfId="0" applyAlignment="1" applyBorder="1" applyFill="1" applyFont="1" applyNumberFormat="1">
      <alignment horizontal="right" shrinkToFit="0" wrapText="1"/>
    </xf>
    <xf borderId="50" fillId="4" fontId="24" numFmtId="0" xfId="0" applyAlignment="1" applyBorder="1" applyFill="1" applyFont="1">
      <alignment horizontal="center" readingOrder="0" shrinkToFit="0" vertical="center" wrapText="1"/>
    </xf>
    <xf borderId="23" fillId="4" fontId="6" numFmtId="164" xfId="0" applyAlignment="1" applyBorder="1" applyFill="1" applyFont="1" applyNumberFormat="1">
      <alignment horizontal="right" readingOrder="0"/>
    </xf>
    <xf borderId="20" fillId="2" fontId="13" numFmtId="164" xfId="0" applyAlignment="1" applyBorder="1" applyFill="1" applyFont="1" applyNumberFormat="1">
      <alignment horizontal="right" shrinkToFit="0" wrapText="1"/>
    </xf>
    <xf borderId="58" fillId="0" fontId="3" numFmtId="0" xfId="0" applyBorder="1" applyFont="1"/>
    <xf borderId="59" fillId="4" fontId="24" numFmtId="0" xfId="0" applyAlignment="1" applyBorder="1" applyFill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right"/>
    </xf>
    <xf borderId="17" fillId="4" fontId="6" numFmtId="164" xfId="0" applyAlignment="1" applyBorder="1" applyFill="1" applyFont="1" applyNumberFormat="1">
      <alignment shrinkToFit="0" vertical="center" wrapText="1"/>
    </xf>
    <xf borderId="44" fillId="4" fontId="24" numFmtId="0" xfId="0" applyAlignment="1" applyBorder="1" applyFill="1" applyFont="1">
      <alignment horizontal="center" readingOrder="0" shrinkToFit="0" vertical="center" wrapText="1"/>
    </xf>
    <xf borderId="60" fillId="4" fontId="24" numFmtId="0" xfId="0" applyAlignment="1" applyBorder="1" applyFill="1" applyFont="1">
      <alignment horizontal="center" vertical="center"/>
    </xf>
    <xf borderId="17" fillId="4" fontId="6" numFmtId="0" xfId="0" applyAlignment="1" applyBorder="1" applyFill="1" applyFont="1">
      <alignment readingOrder="0" shrinkToFit="0" wrapText="1"/>
    </xf>
    <xf borderId="17" fillId="4" fontId="6" numFmtId="164" xfId="0" applyAlignment="1" applyBorder="1" applyFill="1" applyFont="1" applyNumberFormat="1">
      <alignment horizontal="right" readingOrder="0" shrinkToFit="0" wrapText="1"/>
    </xf>
    <xf borderId="17" fillId="4" fontId="9" numFmtId="16" xfId="0" applyAlignment="1" applyBorder="1" applyFill="1" applyFont="1" applyNumberFormat="1">
      <alignment horizontal="center" readingOrder="0" shrinkToFit="0" wrapText="1"/>
    </xf>
    <xf borderId="17" fillId="0" fontId="6" numFmtId="0" xfId="0" applyAlignment="1" applyBorder="1" applyFont="1">
      <alignment horizontal="center" readingOrder="0" shrinkToFit="0" wrapText="1"/>
    </xf>
    <xf quotePrefix="1" borderId="17" fillId="4" fontId="9" numFmtId="0" xfId="0" applyAlignment="1" applyBorder="1" applyFill="1" applyFont="1">
      <alignment horizontal="center" readingOrder="0" shrinkToFit="0" wrapText="1"/>
    </xf>
    <xf borderId="17" fillId="4" fontId="6" numFmtId="3" xfId="0" applyAlignment="1" applyBorder="1" applyFill="1" applyFont="1" applyNumberFormat="1">
      <alignment horizontal="right" readingOrder="0"/>
    </xf>
    <xf borderId="31" fillId="4" fontId="6" numFmtId="0" xfId="0" applyAlignment="1" applyBorder="1" applyFill="1" applyFont="1">
      <alignment horizontal="right" readingOrder="0" shrinkToFit="0" vertical="center" wrapText="1"/>
    </xf>
    <xf borderId="0" fillId="0" fontId="1" numFmtId="0" xfId="0" applyAlignment="1" applyFont="1">
      <alignment horizontal="right" readingOrder="0"/>
    </xf>
    <xf borderId="0" fillId="0" fontId="1" numFmtId="167" xfId="0" applyAlignment="1" applyFont="1" applyNumberFormat="1">
      <alignment horizontal="right"/>
    </xf>
    <xf borderId="1" fillId="2" fontId="2" numFmtId="0" xfId="0" applyAlignment="1" applyBorder="1" applyFill="1" applyFont="1">
      <alignment horizontal="center" readingOrder="0" shrinkToFit="0" wrapText="1"/>
    </xf>
    <xf borderId="8" fillId="3" fontId="8" numFmtId="164" xfId="0" applyAlignment="1" applyBorder="1" applyFill="1" applyFont="1" applyNumberFormat="1">
      <alignment horizontal="center" readingOrder="0" shrinkToFit="0" vertical="center" wrapText="1"/>
    </xf>
    <xf borderId="17" fillId="4" fontId="9" numFmtId="168" xfId="0" applyAlignment="1" applyBorder="1" applyFill="1" applyFont="1" applyNumberFormat="1">
      <alignment horizontal="center" readingOrder="0" shrinkToFit="0" wrapText="1"/>
    </xf>
    <xf borderId="50" fillId="4" fontId="9" numFmtId="0" xfId="0" applyAlignment="1" applyBorder="1" applyFill="1" applyFont="1">
      <alignment horizontal="center" shrinkToFit="0" wrapText="1"/>
    </xf>
    <xf borderId="50" fillId="4" fontId="9" numFmtId="0" xfId="0" applyAlignment="1" applyBorder="1" applyFill="1" applyFont="1">
      <alignment horizontal="center" readingOrder="0" shrinkToFit="0" wrapText="1"/>
    </xf>
    <xf borderId="13" fillId="4" fontId="9" numFmtId="0" xfId="0" applyAlignment="1" applyBorder="1" applyFill="1" applyFont="1">
      <alignment horizontal="center" readingOrder="0" shrinkToFit="0" wrapText="1"/>
    </xf>
    <xf borderId="13" fillId="4" fontId="9" numFmtId="1" xfId="0" applyAlignment="1" applyBorder="1" applyFill="1" applyFont="1" applyNumberFormat="1">
      <alignment horizontal="center" readingOrder="0" shrinkToFit="0" wrapText="1"/>
    </xf>
    <xf borderId="50" fillId="4" fontId="6" numFmtId="0" xfId="0" applyAlignment="1" applyBorder="1" applyFill="1" applyFont="1">
      <alignment horizontal="center" readingOrder="0" shrinkToFit="0" wrapText="1"/>
    </xf>
    <xf borderId="50" fillId="4" fontId="6" numFmtId="0" xfId="0" applyAlignment="1" applyBorder="1" applyFill="1" applyFont="1">
      <alignment horizontal="right" readingOrder="0" shrinkToFit="0" vertical="center" wrapText="1"/>
    </xf>
    <xf borderId="17" fillId="0" fontId="6" numFmtId="3" xfId="0" applyAlignment="1" applyBorder="1" applyFont="1" applyNumberFormat="1">
      <alignment readingOrder="0"/>
    </xf>
    <xf borderId="50" fillId="4" fontId="6" numFmtId="164" xfId="0" applyAlignment="1" applyBorder="1" applyFill="1" applyFont="1" applyNumberFormat="1">
      <alignment horizontal="right" readingOrder="0"/>
    </xf>
    <xf borderId="50" fillId="4" fontId="6" numFmtId="164" xfId="0" applyBorder="1" applyFill="1" applyFont="1" applyNumberFormat="1"/>
    <xf borderId="50" fillId="0" fontId="6" numFmtId="164" xfId="0" applyAlignment="1" applyBorder="1" applyFont="1" applyNumberFormat="1">
      <alignment horizontal="right"/>
    </xf>
    <xf borderId="48" fillId="4" fontId="6" numFmtId="164" xfId="0" applyAlignment="1" applyBorder="1" applyFill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44" fillId="3" fontId="8" numFmtId="0" xfId="0" applyAlignment="1" applyBorder="1" applyFill="1" applyFont="1">
      <alignment horizontal="center" shrinkToFit="0" vertical="center" wrapText="1"/>
    </xf>
    <xf borderId="44" fillId="3" fontId="8" numFmtId="1" xfId="0" applyAlignment="1" applyBorder="1" applyFill="1" applyFont="1" applyNumberFormat="1">
      <alignment horizontal="center" shrinkToFit="0" vertical="center" wrapText="1"/>
    </xf>
    <xf borderId="44" fillId="3" fontId="8" numFmtId="0" xfId="0" applyAlignment="1" applyBorder="1" applyFill="1" applyFont="1">
      <alignment horizontal="center" readingOrder="0" shrinkToFit="0" vertical="center" wrapText="1"/>
    </xf>
    <xf borderId="44" fillId="3" fontId="8" numFmtId="164" xfId="0" applyAlignment="1" applyBorder="1" applyFill="1" applyFont="1" applyNumberFormat="1">
      <alignment horizontal="center" shrinkToFit="0" vertical="center" wrapText="1"/>
    </xf>
    <xf borderId="44" fillId="3" fontId="8" numFmtId="164" xfId="0" applyAlignment="1" applyBorder="1" applyFill="1" applyFont="1" applyNumberFormat="1">
      <alignment horizontal="center" readingOrder="0" shrinkToFit="0" vertical="center" wrapText="1"/>
    </xf>
    <xf borderId="50" fillId="4" fontId="6" numFmtId="0" xfId="0" applyAlignment="1" applyBorder="1" applyFill="1" applyFont="1">
      <alignment horizontal="center" readingOrder="0" shrinkToFit="0" vertical="center" wrapText="1"/>
    </xf>
    <xf borderId="48" fillId="4" fontId="6" numFmtId="164" xfId="0" applyAlignment="1" applyBorder="1" applyFill="1" applyFont="1" applyNumberFormat="1">
      <alignment horizontal="center" readingOrder="0" shrinkToFit="0" wrapText="1"/>
    </xf>
    <xf borderId="17" fillId="0" fontId="6" numFmtId="164" xfId="0" applyAlignment="1" applyBorder="1" applyFont="1" applyNumberFormat="1">
      <alignment readingOrder="0"/>
    </xf>
    <xf borderId="45" fillId="0" fontId="6" numFmtId="164" xfId="0" applyAlignment="1" applyBorder="1" applyFont="1" applyNumberFormat="1">
      <alignment horizontal="right" readingOrder="0"/>
    </xf>
    <xf borderId="45" fillId="0" fontId="6" numFmtId="164" xfId="0" applyAlignment="1" applyBorder="1" applyFont="1" applyNumberFormat="1">
      <alignment horizontal="right"/>
    </xf>
    <xf borderId="45" fillId="4" fontId="6" numFmtId="164" xfId="0" applyAlignment="1" applyBorder="1" applyFill="1" applyFont="1" applyNumberFormat="1">
      <alignment shrinkToFit="0" vertical="center" wrapText="1"/>
    </xf>
    <xf borderId="17" fillId="4" fontId="6" numFmtId="164" xfId="0" applyAlignment="1" applyBorder="1" applyFill="1" applyFont="1" applyNumberFormat="1">
      <alignment horizontal="center" readingOrder="0" shrinkToFit="0" wrapText="0"/>
    </xf>
    <xf borderId="26" fillId="0" fontId="6" numFmtId="164" xfId="0" applyAlignment="1" applyBorder="1" applyFont="1" applyNumberFormat="1">
      <alignment horizontal="right" readingOrder="0"/>
    </xf>
    <xf borderId="26" fillId="0" fontId="6" numFmtId="164" xfId="0" applyAlignment="1" applyBorder="1" applyFont="1" applyNumberFormat="1">
      <alignment horizontal="right"/>
    </xf>
    <xf borderId="44" fillId="3" fontId="8" numFmtId="164" xfId="0" applyAlignment="1" applyBorder="1" applyFill="1" applyFont="1" applyNumberFormat="1">
      <alignment horizontal="right" shrinkToFit="0" vertical="center" wrapText="1"/>
    </xf>
    <xf borderId="51" fillId="3" fontId="8" numFmtId="164" xfId="0" applyAlignment="1" applyBorder="1" applyFill="1" applyFont="1" applyNumberFormat="1">
      <alignment horizontal="center" readingOrder="0" shrinkToFit="0" vertical="center" wrapText="1"/>
    </xf>
    <xf borderId="44" fillId="4" fontId="9" numFmtId="0" xfId="0" applyAlignment="1" applyBorder="1" applyFill="1" applyFont="1">
      <alignment horizontal="center" readingOrder="0" shrinkToFit="0" wrapText="1"/>
    </xf>
    <xf borderId="0" fillId="2" fontId="16" numFmtId="49" xfId="0" applyAlignment="1" applyFill="1" applyFont="1" applyNumberFormat="1">
      <alignment horizontal="center" readingOrder="0"/>
    </xf>
    <xf borderId="44" fillId="4" fontId="6" numFmtId="0" xfId="0" applyAlignment="1" applyBorder="1" applyFill="1" applyFont="1">
      <alignment horizontal="center" readingOrder="0" shrinkToFit="0" wrapText="1"/>
    </xf>
    <xf borderId="45" fillId="4" fontId="6" numFmtId="164" xfId="0" applyAlignment="1" applyBorder="1" applyFill="1" applyFont="1" applyNumberFormat="1">
      <alignment horizontal="right" readingOrder="0"/>
    </xf>
    <xf borderId="46" fillId="0" fontId="6" numFmtId="164" xfId="0" applyAlignment="1" applyBorder="1" applyFont="1" applyNumberFormat="1">
      <alignment horizontal="right" readingOrder="0"/>
    </xf>
    <xf borderId="17" fillId="2" fontId="8" numFmtId="0" xfId="0" applyAlignment="1" applyBorder="1" applyFill="1" applyFont="1">
      <alignment horizontal="center" shrinkToFit="0" wrapText="1"/>
    </xf>
    <xf borderId="61" fillId="0" fontId="6" numFmtId="164" xfId="0" applyAlignment="1" applyBorder="1" applyFont="1" applyNumberFormat="1">
      <alignment horizontal="right" readingOrder="0"/>
    </xf>
    <xf borderId="0" fillId="0" fontId="26" numFmtId="0" xfId="0" applyAlignment="1" applyFont="1">
      <alignment horizontal="center"/>
    </xf>
    <xf borderId="13" fillId="4" fontId="24" numFmtId="0" xfId="0" applyAlignment="1" applyBorder="1" applyFill="1" applyFont="1">
      <alignment horizontal="center" readingOrder="0" shrinkToFit="0" vertical="center" wrapText="1"/>
    </xf>
    <xf borderId="0" fillId="0" fontId="26" numFmtId="3" xfId="0" applyAlignment="1" applyFont="1" applyNumberFormat="1">
      <alignment readingOrder="0"/>
    </xf>
    <xf borderId="0" fillId="0" fontId="26" numFmtId="3" xfId="0" applyFont="1" applyNumberFormat="1"/>
    <xf borderId="50" fillId="5" fontId="24" numFmtId="0" xfId="0" applyAlignment="1" applyBorder="1" applyFill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readingOrder="0" shrinkToFit="0" vertical="center" wrapText="1"/>
    </xf>
    <xf borderId="17" fillId="5" fontId="9" numFmtId="16" xfId="0" applyAlignment="1" applyBorder="1" applyFill="1" applyFont="1" applyNumberFormat="1">
      <alignment horizontal="center" readingOrder="0" shrinkToFit="0" wrapText="1"/>
    </xf>
    <xf borderId="17" fillId="5" fontId="9" numFmtId="0" xfId="0" applyAlignment="1" applyBorder="1" applyFill="1" applyFont="1">
      <alignment horizontal="center" shrinkToFit="0" wrapText="1"/>
    </xf>
    <xf borderId="17" fillId="5" fontId="9" numFmtId="0" xfId="0" applyAlignment="1" applyBorder="1" applyFill="1" applyFont="1">
      <alignment horizontal="center" readingOrder="0" shrinkToFit="0" wrapText="1"/>
    </xf>
    <xf borderId="17" fillId="5" fontId="9" numFmtId="1" xfId="0" applyAlignment="1" applyBorder="1" applyFill="1" applyFont="1" applyNumberFormat="1">
      <alignment horizontal="center" readingOrder="0" shrinkToFit="0" wrapText="1"/>
    </xf>
    <xf borderId="17" fillId="5" fontId="6" numFmtId="0" xfId="0" applyAlignment="1" applyBorder="1" applyFill="1" applyFont="1">
      <alignment horizontal="center" readingOrder="0" shrinkToFit="0" wrapText="1"/>
    </xf>
    <xf borderId="50" fillId="5" fontId="9" numFmtId="0" xfId="0" applyAlignment="1" applyBorder="1" applyFill="1" applyFont="1">
      <alignment horizontal="center" readingOrder="0" shrinkToFit="0" wrapText="1"/>
    </xf>
    <xf borderId="17" fillId="5" fontId="6" numFmtId="164" xfId="0" applyAlignment="1" applyBorder="1" applyFill="1" applyFont="1" applyNumberFormat="1">
      <alignment horizontal="right" readingOrder="0"/>
    </xf>
    <xf borderId="45" fillId="5" fontId="6" numFmtId="164" xfId="0" applyAlignment="1" applyBorder="1" applyFill="1" applyFont="1" applyNumberFormat="1">
      <alignment horizontal="right"/>
    </xf>
    <xf borderId="17" fillId="5" fontId="6" numFmtId="164" xfId="0" applyBorder="1" applyFill="1" applyFont="1" applyNumberFormat="1"/>
    <xf borderId="17" fillId="5" fontId="6" numFmtId="164" xfId="0" applyAlignment="1" applyBorder="1" applyFill="1" applyFont="1" applyNumberFormat="1">
      <alignment horizontal="right"/>
    </xf>
    <xf borderId="23" fillId="5" fontId="6" numFmtId="164" xfId="0" applyAlignment="1" applyBorder="1" applyFill="1" applyFont="1" applyNumberFormat="1">
      <alignment horizontal="center" shrinkToFit="0" wrapText="1"/>
    </xf>
    <xf borderId="17" fillId="5" fontId="6" numFmtId="164" xfId="0" applyAlignment="1" applyBorder="1" applyFill="1" applyFont="1" applyNumberFormat="1">
      <alignment horizontal="center" readingOrder="0" shrinkToFit="0" wrapText="0"/>
    </xf>
    <xf borderId="26" fillId="5" fontId="6" numFmtId="164" xfId="0" applyAlignment="1" applyBorder="1" applyFill="1" applyFont="1" applyNumberFormat="1">
      <alignment horizontal="right" readingOrder="0"/>
    </xf>
    <xf borderId="17" fillId="5" fontId="6" numFmtId="164" xfId="0" applyAlignment="1" applyBorder="1" applyFill="1" applyFont="1" applyNumberFormat="1">
      <alignment readingOrder="0"/>
    </xf>
    <xf borderId="45" fillId="5" fontId="6" numFmtId="164" xfId="0" applyAlignment="1" applyBorder="1" applyFill="1" applyFont="1" applyNumberFormat="1">
      <alignment horizontal="center" readingOrder="0" shrinkToFit="0" wrapText="0"/>
    </xf>
    <xf borderId="50" fillId="7" fontId="24" numFmtId="0" xfId="0" applyAlignment="1" applyBorder="1" applyFill="1" applyFont="1">
      <alignment horizontal="center" readingOrder="0" shrinkToFit="0" vertical="center" wrapText="1"/>
    </xf>
    <xf borderId="17" fillId="7" fontId="6" numFmtId="0" xfId="0" applyAlignment="1" applyBorder="1" applyFill="1" applyFont="1">
      <alignment horizontal="center" readingOrder="0" shrinkToFit="0" vertical="center" wrapText="1"/>
    </xf>
    <xf borderId="17" fillId="7" fontId="9" numFmtId="0" xfId="0" applyAlignment="1" applyBorder="1" applyFill="1" applyFont="1">
      <alignment horizontal="center" readingOrder="0" shrinkToFit="0" wrapText="1"/>
    </xf>
    <xf borderId="17" fillId="7" fontId="9" numFmtId="0" xfId="0" applyAlignment="1" applyBorder="1" applyFill="1" applyFont="1">
      <alignment horizontal="center" shrinkToFit="0" wrapText="1"/>
    </xf>
    <xf borderId="17" fillId="7" fontId="9" numFmtId="1" xfId="0" applyAlignment="1" applyBorder="1" applyFill="1" applyFont="1" applyNumberFormat="1">
      <alignment horizontal="center" readingOrder="0" shrinkToFit="0" wrapText="1"/>
    </xf>
    <xf borderId="17" fillId="7" fontId="6" numFmtId="0" xfId="0" applyAlignment="1" applyBorder="1" applyFill="1" applyFont="1">
      <alignment horizontal="center" readingOrder="0" shrinkToFit="0" wrapText="1"/>
    </xf>
    <xf borderId="23" fillId="7" fontId="6" numFmtId="164" xfId="0" applyAlignment="1" applyBorder="1" applyFill="1" applyFont="1" applyNumberFormat="1">
      <alignment horizontal="right" readingOrder="0"/>
    </xf>
    <xf borderId="45" fillId="7" fontId="6" numFmtId="164" xfId="0" applyAlignment="1" applyBorder="1" applyFill="1" applyFont="1" applyNumberFormat="1">
      <alignment horizontal="right"/>
    </xf>
    <xf borderId="17" fillId="7" fontId="6" numFmtId="164" xfId="0" applyAlignment="1" applyBorder="1" applyFill="1" applyFont="1" applyNumberFormat="1">
      <alignment horizontal="right" readingOrder="0"/>
    </xf>
    <xf borderId="17" fillId="7" fontId="6" numFmtId="164" xfId="0" applyAlignment="1" applyBorder="1" applyFill="1" applyFont="1" applyNumberFormat="1">
      <alignment readingOrder="0"/>
    </xf>
    <xf borderId="17" fillId="7" fontId="6" numFmtId="164" xfId="0" applyBorder="1" applyFill="1" applyFont="1" applyNumberFormat="1"/>
    <xf borderId="17" fillId="7" fontId="6" numFmtId="164" xfId="0" applyAlignment="1" applyBorder="1" applyFill="1" applyFont="1" applyNumberFormat="1">
      <alignment horizontal="right"/>
    </xf>
    <xf borderId="23" fillId="7" fontId="6" numFmtId="164" xfId="0" applyAlignment="1" applyBorder="1" applyFill="1" applyFont="1" applyNumberFormat="1">
      <alignment horizontal="center" shrinkToFit="0" wrapText="1"/>
    </xf>
    <xf borderId="44" fillId="7" fontId="9" numFmtId="0" xfId="0" applyAlignment="1" applyBorder="1" applyFill="1" applyFont="1">
      <alignment horizontal="center" readingOrder="0" shrinkToFit="0" wrapText="1"/>
    </xf>
    <xf borderId="45" fillId="7" fontId="6" numFmtId="164" xfId="0" applyAlignment="1" applyBorder="1" applyFill="1" applyFont="1" applyNumberFormat="1">
      <alignment horizontal="right" readingOrder="0"/>
    </xf>
    <xf borderId="17" fillId="7" fontId="9" numFmtId="16" xfId="0" applyAlignment="1" applyBorder="1" applyFill="1" applyFont="1" applyNumberFormat="1">
      <alignment horizontal="center" readingOrder="0" shrinkToFit="0" wrapText="1"/>
    </xf>
    <xf borderId="17" fillId="7" fontId="9" numFmtId="1" xfId="0" applyAlignment="1" applyBorder="1" applyFill="1" applyFont="1" applyNumberFormat="1">
      <alignment horizontal="center" shrinkToFit="0" wrapText="1"/>
    </xf>
    <xf borderId="0" fillId="7" fontId="9" numFmtId="0" xfId="0" applyAlignment="1" applyFill="1" applyFont="1">
      <alignment horizontal="center" readingOrder="0" shrinkToFit="0" wrapText="1"/>
    </xf>
    <xf borderId="17" fillId="4" fontId="9" numFmtId="11" xfId="0" applyAlignment="1" applyBorder="1" applyFill="1" applyFont="1" applyNumberFormat="1">
      <alignment horizontal="center" readingOrder="0" shrinkToFit="0" wrapText="1"/>
    </xf>
    <xf borderId="0" fillId="0" fontId="28" numFmtId="0" xfId="0" applyAlignment="1" applyFont="1">
      <alignment horizontal="center" readingOrder="0"/>
    </xf>
    <xf borderId="13" fillId="7" fontId="24" numFmtId="0" xfId="0" applyAlignment="1" applyBorder="1" applyFill="1" applyFont="1">
      <alignment horizontal="center" readingOrder="0" shrinkToFit="0" vertical="center" wrapText="1"/>
    </xf>
    <xf borderId="27" fillId="4" fontId="6" numFmtId="164" xfId="0" applyAlignment="1" applyBorder="1" applyFill="1" applyFont="1" applyNumberFormat="1">
      <alignment horizontal="right"/>
    </xf>
    <xf borderId="27" fillId="0" fontId="6" numFmtId="164" xfId="0" applyAlignment="1" applyBorder="1" applyFont="1" applyNumberFormat="1">
      <alignment horizontal="right"/>
    </xf>
    <xf borderId="31" fillId="4" fontId="6" numFmtId="0" xfId="0" applyAlignment="1" applyBorder="1" applyFill="1" applyFont="1">
      <alignment horizontal="center" shrinkToFit="0" vertical="center" wrapText="1"/>
    </xf>
    <xf borderId="31" fillId="4" fontId="6" numFmtId="0" xfId="0" applyAlignment="1" applyBorder="1" applyFill="1" applyFont="1">
      <alignment horizontal="center" readingOrder="0" shrinkToFit="0" vertical="center" wrapText="1"/>
    </xf>
    <xf borderId="62" fillId="2" fontId="8" numFmtId="0" xfId="0" applyAlignment="1" applyBorder="1" applyFill="1" applyFont="1">
      <alignment horizontal="center" shrinkToFit="0" wrapText="1"/>
    </xf>
    <xf borderId="63" fillId="0" fontId="3" numFmtId="0" xfId="0" applyBorder="1" applyFont="1"/>
    <xf borderId="44" fillId="2" fontId="8" numFmtId="0" xfId="0" applyAlignment="1" applyBorder="1" applyFill="1" applyFont="1">
      <alignment horizontal="center" shrinkToFit="0" wrapText="1"/>
    </xf>
    <xf borderId="44" fillId="2" fontId="8" numFmtId="0" xfId="0" applyAlignment="1" applyBorder="1" applyFill="1" applyFont="1">
      <alignment horizontal="right" shrinkToFit="0" wrapText="1"/>
    </xf>
    <xf borderId="44" fillId="2" fontId="8" numFmtId="164" xfId="0" applyAlignment="1" applyBorder="1" applyFill="1" applyFont="1" applyNumberFormat="1">
      <alignment horizontal="right" shrinkToFit="0" wrapText="1"/>
    </xf>
    <xf borderId="44" fillId="2" fontId="13" numFmtId="164" xfId="0" applyAlignment="1" applyBorder="1" applyFill="1" applyFont="1" applyNumberFormat="1">
      <alignment horizontal="right" shrinkToFit="0" wrapText="1"/>
    </xf>
    <xf borderId="33" fillId="5" fontId="4" numFmtId="0" xfId="0" applyAlignment="1" applyBorder="1" applyFill="1" applyFont="1">
      <alignment shrinkToFit="0" wrapText="1"/>
    </xf>
    <xf borderId="27" fillId="0" fontId="6" numFmtId="0" xfId="0" applyBorder="1" applyFont="1"/>
    <xf borderId="0" fillId="8" fontId="29" numFmtId="169" xfId="0" applyAlignment="1" applyFill="1" applyFont="1" applyNumberFormat="1">
      <alignment horizontal="right" readingOrder="0" shrinkToFit="0" vertical="bottom" wrapText="0"/>
    </xf>
    <xf borderId="0" fillId="8" fontId="29" numFmtId="170" xfId="0" applyAlignment="1" applyFill="1" applyFont="1" applyNumberFormat="1">
      <alignment horizontal="right" readingOrder="0" shrinkToFit="0" vertical="bottom" wrapText="0"/>
    </xf>
    <xf borderId="0" fillId="8" fontId="29" numFmtId="0" xfId="0" applyAlignment="1" applyFill="1" applyFont="1">
      <alignment horizontal="right" readingOrder="0" shrinkToFit="0" vertical="bottom" wrapText="0"/>
    </xf>
    <xf borderId="0" fillId="9" fontId="30" numFmtId="3" xfId="0" applyAlignment="1" applyFill="1" applyFont="1" applyNumberFormat="1">
      <alignment horizontal="right" readingOrder="0" shrinkToFit="0" vertical="bottom" wrapText="0"/>
    </xf>
    <xf borderId="17" fillId="2" fontId="6" numFmtId="0" xfId="0" applyAlignment="1" applyBorder="1" applyFill="1" applyFont="1">
      <alignment horizontal="center" readingOrder="0" shrinkToFit="0" vertical="center" wrapText="1"/>
    </xf>
    <xf borderId="17" fillId="2" fontId="9" numFmtId="16" xfId="0" applyAlignment="1" applyBorder="1" applyFill="1" applyFont="1" applyNumberFormat="1">
      <alignment horizontal="center" readingOrder="0" shrinkToFit="0" wrapText="1"/>
    </xf>
    <xf borderId="17" fillId="2" fontId="9" numFmtId="0" xfId="0" applyAlignment="1" applyBorder="1" applyFill="1" applyFont="1">
      <alignment horizontal="center" readingOrder="0" shrinkToFit="0" wrapText="1"/>
    </xf>
    <xf borderId="17" fillId="2" fontId="9" numFmtId="1" xfId="0" applyAlignment="1" applyBorder="1" applyFill="1" applyFont="1" applyNumberFormat="1">
      <alignment horizontal="center" readingOrder="0" shrinkToFit="0" wrapText="1"/>
    </xf>
    <xf borderId="17" fillId="2" fontId="16" numFmtId="49" xfId="0" applyAlignment="1" applyBorder="1" applyFill="1" applyFont="1" applyNumberFormat="1">
      <alignment horizontal="center" readingOrder="0"/>
    </xf>
    <xf borderId="17" fillId="2" fontId="6" numFmtId="0" xfId="0" applyAlignment="1" applyBorder="1" applyFill="1" applyFont="1">
      <alignment horizontal="center" readingOrder="0" shrinkToFit="0" wrapText="1"/>
    </xf>
    <xf borderId="45" fillId="2" fontId="6" numFmtId="164" xfId="0" applyAlignment="1" applyBorder="1" applyFill="1" applyFont="1" applyNumberFormat="1">
      <alignment horizontal="right" readingOrder="0"/>
    </xf>
    <xf borderId="46" fillId="2" fontId="6" numFmtId="164" xfId="0" applyAlignment="1" applyBorder="1" applyFill="1" applyFont="1" applyNumberFormat="1">
      <alignment horizontal="right" readingOrder="0"/>
    </xf>
    <xf borderId="17" fillId="2" fontId="6" numFmtId="164" xfId="0" applyAlignment="1" applyBorder="1" applyFill="1" applyFont="1" applyNumberFormat="1">
      <alignment horizontal="right" readingOrder="0"/>
    </xf>
    <xf borderId="17" fillId="2" fontId="6" numFmtId="164" xfId="0" applyAlignment="1" applyBorder="1" applyFill="1" applyFont="1" applyNumberFormat="1">
      <alignment readingOrder="0"/>
    </xf>
    <xf borderId="17" fillId="2" fontId="6" numFmtId="164" xfId="0" applyBorder="1" applyFill="1" applyFont="1" applyNumberFormat="1"/>
    <xf borderId="23" fillId="2" fontId="6" numFmtId="164" xfId="0" applyAlignment="1" applyBorder="1" applyFill="1" applyFont="1" applyNumberFormat="1">
      <alignment horizontal="center" shrinkToFit="0" wrapText="1"/>
    </xf>
    <xf borderId="50" fillId="2" fontId="24" numFmtId="0" xfId="0" applyAlignment="1" applyBorder="1" applyFill="1" applyFont="1">
      <alignment horizontal="center" readingOrder="0" shrinkToFit="0" vertical="center" wrapText="1"/>
    </xf>
    <xf borderId="17" fillId="2" fontId="9" numFmtId="0" xfId="0" applyAlignment="1" applyBorder="1" applyFill="1" applyFont="1">
      <alignment horizontal="center" shrinkToFit="0" wrapText="1"/>
    </xf>
    <xf borderId="45" fillId="2" fontId="6" numFmtId="164" xfId="0" applyAlignment="1" applyBorder="1" applyFill="1" applyFont="1" applyNumberFormat="1">
      <alignment horizontal="right"/>
    </xf>
    <xf borderId="17" fillId="2" fontId="6" numFmtId="164" xfId="0" applyAlignment="1" applyBorder="1" applyFill="1" applyFont="1" applyNumberFormat="1">
      <alignment horizontal="right"/>
    </xf>
    <xf borderId="17" fillId="2" fontId="6" numFmtId="164" xfId="0" applyAlignment="1" applyBorder="1" applyFill="1" applyFont="1" applyNumberFormat="1">
      <alignment horizontal="center" readingOrder="0" shrinkToFit="0" wrapText="0"/>
    </xf>
    <xf borderId="26" fillId="2" fontId="6" numFmtId="164" xfId="0" applyAlignment="1" applyBorder="1" applyFill="1" applyFont="1" applyNumberFormat="1">
      <alignment horizontal="right" readingOrder="0"/>
    </xf>
    <xf borderId="23" fillId="2" fontId="6" numFmtId="164" xfId="0" applyAlignment="1" applyBorder="1" applyFill="1" applyFont="1" applyNumberFormat="1">
      <alignment horizontal="right" readingOrder="0"/>
    </xf>
    <xf borderId="44" fillId="2" fontId="9" numFmtId="0" xfId="0" applyAlignment="1" applyBorder="1" applyFill="1" applyFont="1">
      <alignment horizontal="center" readingOrder="0" shrinkToFit="0" wrapText="1"/>
    </xf>
    <xf borderId="17" fillId="2" fontId="9" numFmtId="1" xfId="0" applyAlignment="1" applyBorder="1" applyFill="1" applyFont="1" applyNumberFormat="1">
      <alignment horizontal="center" shrinkToFit="0" wrapText="1"/>
    </xf>
    <xf borderId="0" fillId="2" fontId="9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76200</xdr:rowOff>
    </xdr:from>
    <xdr:ext cx="2152650" cy="409575"/>
    <xdr:pic>
      <xdr:nvPicPr>
        <xdr:cNvPr descr="10 điều cần biết khi gửi hàng qua GHN (Giaohangnhanh) - Nhanh.v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76200</xdr:rowOff>
    </xdr:from>
    <xdr:ext cx="3048000" cy="438150"/>
    <xdr:pic>
      <xdr:nvPicPr>
        <xdr:cNvPr descr="10 điều cần biết khi gửi hàng qua GHN (Giaohangnhanh) - Nhanh.v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104775</xdr:rowOff>
    </xdr:from>
    <xdr:ext cx="2809875" cy="371475"/>
    <xdr:pic>
      <xdr:nvPicPr>
        <xdr:cNvPr descr="10 điều cần biết khi gửi hàng qua GHN (Giaohangnhanh) - Nhanh.v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20764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104775</xdr:rowOff>
    </xdr:from>
    <xdr:ext cx="2952750" cy="295275"/>
    <xdr:pic>
      <xdr:nvPicPr>
        <xdr:cNvPr descr="10 điều cần biết khi gửi hàng qua GHN (Giaohangnhanh) - Nhanh.v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76450" cy="2390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104775</xdr:rowOff>
    </xdr:from>
    <xdr:ext cx="2952750" cy="409575"/>
    <xdr:pic>
      <xdr:nvPicPr>
        <xdr:cNvPr descr="10 điều cần biết khi gửi hàng qua GHN (Giaohangnhanh) - Nhanh.v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307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307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7165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17907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17907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ú Nguyễn Thị Kiều" id="{6781264f-bea5-479a-a37f-4973d0141e4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3" dT="2026-09-09T07:39:04.00" personId="{6781264f-bea5-479a-a37f-4973d0141e46}" id="{bc8ceb2b-38ea-420c-811c-5c0444781552}" done="0">
    <x18tc:text xml:space="preserve">Tiếp nhận: 2tr/ Tách hồ sơ: 1tr/ Xem trước: 1tr/ giám sát: 4tr (2tr theo bảng giá nhưng lô này nhiều mục thu thêm 2tr)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71"/>
    <col customWidth="1" min="3" max="3" width="11.43"/>
    <col customWidth="1" min="4" max="4" width="19.71"/>
    <col customWidth="1" min="5" max="5" width="17.29"/>
    <col customWidth="1" min="6" max="6" width="12.86"/>
    <col customWidth="1" min="7" max="7" width="11.14"/>
    <col customWidth="1" min="8" max="8" width="23.43"/>
    <col customWidth="1" min="9" max="9" width="9.71"/>
    <col customWidth="1" min="10" max="10" width="14.43"/>
    <col customWidth="1" min="11" max="11" width="14.29"/>
    <col customWidth="1" min="12" max="12" width="7.29"/>
    <col customWidth="1" min="13" max="13" width="12.43"/>
    <col customWidth="1" min="14" max="17" width="11.14"/>
    <col customWidth="1" min="18" max="18" width="16.71"/>
    <col customWidth="1" min="19" max="19" width="15.86"/>
    <col customWidth="1" min="20" max="20" width="9.71"/>
    <col customWidth="1" min="21" max="21" width="8.71"/>
    <col customWidth="1" min="22" max="22" width="20.0"/>
    <col customWidth="1" min="23" max="23" width="22.86"/>
    <col customWidth="1" min="24" max="26" width="8.71"/>
  </cols>
  <sheetData>
    <row r="1" ht="14.25" customHeight="1"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4"/>
    </row>
    <row r="2" ht="14.25" customHeight="1">
      <c r="A2" s="5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ht="17.2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ht="14.25" customHeight="1">
      <c r="A6" s="11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ht="14.25" customHeight="1">
      <c r="A7" s="11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ht="14.25" customHeight="1">
      <c r="A8" s="11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ht="14.25" customHeight="1">
      <c r="A9" s="11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ht="14.25" customHeight="1">
      <c r="A10" s="11"/>
      <c r="B10" s="12"/>
      <c r="C10" s="12"/>
      <c r="D10" s="12"/>
      <c r="E10" s="12"/>
      <c r="F10" s="12"/>
      <c r="G10" s="12"/>
      <c r="H10" s="12"/>
      <c r="I10" s="13"/>
      <c r="J10" s="13"/>
      <c r="K10" s="13"/>
      <c r="L10" s="15"/>
      <c r="M10" s="15"/>
      <c r="N10" s="15"/>
      <c r="O10" s="15"/>
      <c r="P10" s="15"/>
      <c r="Q10" s="15"/>
      <c r="R10" s="15"/>
      <c r="S10" s="15"/>
      <c r="T10" s="16"/>
    </row>
    <row r="11" ht="18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ht="29.25" customHeight="1">
      <c r="A12" s="20" t="s">
        <v>12</v>
      </c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  <c r="G12" s="21" t="s">
        <v>18</v>
      </c>
      <c r="H12" s="21" t="s">
        <v>19</v>
      </c>
      <c r="I12" s="22" t="s">
        <v>20</v>
      </c>
      <c r="J12" s="22" t="s">
        <v>21</v>
      </c>
      <c r="K12" s="22" t="s">
        <v>22</v>
      </c>
      <c r="L12" s="23" t="s">
        <v>24</v>
      </c>
      <c r="M12" s="23" t="s">
        <v>25</v>
      </c>
      <c r="N12" s="23" t="s">
        <v>26</v>
      </c>
      <c r="O12" s="23" t="s">
        <v>28</v>
      </c>
      <c r="P12" s="26" t="s">
        <v>29</v>
      </c>
      <c r="Q12" s="26" t="s">
        <v>65</v>
      </c>
      <c r="R12" s="23" t="s">
        <v>32</v>
      </c>
      <c r="S12" s="23" t="s">
        <v>33</v>
      </c>
      <c r="T12" s="27" t="s">
        <v>34</v>
      </c>
    </row>
    <row r="13" ht="27.0" hidden="1" customHeight="1">
      <c r="A13" s="6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67"/>
      <c r="Q13" s="67" t="s">
        <v>35</v>
      </c>
      <c r="R13" s="30"/>
      <c r="S13" s="30"/>
      <c r="T13" s="33"/>
    </row>
    <row r="14" ht="14.25" hidden="1" customHeight="1">
      <c r="A14" s="34">
        <v>1.0</v>
      </c>
      <c r="B14" s="35">
        <v>45905.0</v>
      </c>
      <c r="C14" s="35">
        <v>45906.0</v>
      </c>
      <c r="D14" s="35" t="s">
        <v>38</v>
      </c>
      <c r="E14" s="69" t="s">
        <v>69</v>
      </c>
      <c r="F14" s="65" t="s">
        <v>53</v>
      </c>
      <c r="G14" s="39" t="s">
        <v>42</v>
      </c>
      <c r="H14" s="70" t="s">
        <v>44</v>
      </c>
      <c r="I14" s="71">
        <v>1.0</v>
      </c>
      <c r="J14" s="45">
        <v>9600000.0</v>
      </c>
      <c r="K14" s="45">
        <v>7300000.0</v>
      </c>
      <c r="L14" s="43"/>
      <c r="M14" s="73"/>
      <c r="N14" s="74"/>
      <c r="O14" s="73"/>
      <c r="P14" s="73"/>
      <c r="Q14" s="73"/>
      <c r="R14" s="73">
        <f t="shared" ref="R14:R85" si="1">J14+M14+O14+Q14</f>
        <v>9600000</v>
      </c>
      <c r="S14" s="77">
        <f t="shared" ref="S14:S85" si="2">K14+M14+O14+Q14</f>
        <v>7300000</v>
      </c>
      <c r="T14" s="78"/>
      <c r="V14" s="82"/>
      <c r="W14" s="82"/>
    </row>
    <row r="15" ht="14.25" hidden="1" customHeight="1">
      <c r="A15" s="34">
        <f t="shared" ref="A15:A106" si="3">A14+1</f>
        <v>2</v>
      </c>
      <c r="B15" s="35">
        <v>45906.0</v>
      </c>
      <c r="C15" s="35">
        <v>45906.0</v>
      </c>
      <c r="D15" s="35" t="s">
        <v>38</v>
      </c>
      <c r="E15" s="69" t="s">
        <v>75</v>
      </c>
      <c r="F15" s="65" t="s">
        <v>77</v>
      </c>
      <c r="G15" s="39" t="s">
        <v>42</v>
      </c>
      <c r="H15" s="70" t="s">
        <v>56</v>
      </c>
      <c r="I15" s="71">
        <v>1.0</v>
      </c>
      <c r="J15" s="45">
        <v>6300000.0</v>
      </c>
      <c r="K15" s="45">
        <v>6300000.0</v>
      </c>
      <c r="L15" s="43"/>
      <c r="M15" s="73"/>
      <c r="N15" s="74"/>
      <c r="O15" s="73"/>
      <c r="P15" s="73"/>
      <c r="Q15" s="73"/>
      <c r="R15" s="73">
        <f t="shared" si="1"/>
        <v>6300000</v>
      </c>
      <c r="S15" s="77">
        <f t="shared" si="2"/>
        <v>6300000</v>
      </c>
      <c r="T15" s="78"/>
      <c r="V15" s="82"/>
      <c r="W15" s="82"/>
    </row>
    <row r="16" ht="14.25" hidden="1" customHeight="1">
      <c r="A16" s="34">
        <f t="shared" si="3"/>
        <v>3</v>
      </c>
      <c r="B16" s="35">
        <v>45907.0</v>
      </c>
      <c r="C16" s="35">
        <v>45908.0</v>
      </c>
      <c r="D16" s="35" t="s">
        <v>38</v>
      </c>
      <c r="E16" s="69" t="s">
        <v>75</v>
      </c>
      <c r="F16" s="65" t="s">
        <v>85</v>
      </c>
      <c r="G16" s="39" t="s">
        <v>42</v>
      </c>
      <c r="H16" s="70" t="s">
        <v>44</v>
      </c>
      <c r="I16" s="71">
        <v>1.0</v>
      </c>
      <c r="J16" s="45">
        <v>7500000.0</v>
      </c>
      <c r="K16" s="45">
        <v>7300000.0</v>
      </c>
      <c r="L16" s="43">
        <v>1.0</v>
      </c>
      <c r="M16" s="73">
        <v>1000000.0</v>
      </c>
      <c r="N16" s="74"/>
      <c r="O16" s="73"/>
      <c r="P16" s="73"/>
      <c r="Q16" s="73"/>
      <c r="R16" s="73">
        <f t="shared" si="1"/>
        <v>8500000</v>
      </c>
      <c r="S16" s="77">
        <f t="shared" si="2"/>
        <v>8300000</v>
      </c>
      <c r="T16" s="78"/>
    </row>
    <row r="17" ht="14.25" hidden="1" customHeight="1">
      <c r="A17" s="34">
        <f t="shared" si="3"/>
        <v>4</v>
      </c>
      <c r="B17" s="35">
        <v>45907.0</v>
      </c>
      <c r="C17" s="35">
        <v>45908.0</v>
      </c>
      <c r="D17" s="35" t="s">
        <v>38</v>
      </c>
      <c r="E17" s="69" t="s">
        <v>75</v>
      </c>
      <c r="F17" s="65" t="s">
        <v>87</v>
      </c>
      <c r="G17" s="39" t="s">
        <v>42</v>
      </c>
      <c r="H17" s="70" t="s">
        <v>44</v>
      </c>
      <c r="I17" s="71">
        <v>1.0</v>
      </c>
      <c r="J17" s="45">
        <v>7500000.0</v>
      </c>
      <c r="K17" s="45">
        <v>7300000.0</v>
      </c>
      <c r="L17" s="43"/>
      <c r="M17" s="73"/>
      <c r="N17" s="74"/>
      <c r="O17" s="73"/>
      <c r="P17" s="73"/>
      <c r="Q17" s="73"/>
      <c r="R17" s="73">
        <f t="shared" si="1"/>
        <v>7500000</v>
      </c>
      <c r="S17" s="77">
        <f t="shared" si="2"/>
        <v>7300000</v>
      </c>
      <c r="T17" s="78"/>
    </row>
    <row r="18" ht="14.25" hidden="1" customHeight="1">
      <c r="A18" s="34">
        <f t="shared" si="3"/>
        <v>5</v>
      </c>
      <c r="B18" s="35">
        <v>45907.0</v>
      </c>
      <c r="C18" s="35">
        <v>45908.0</v>
      </c>
      <c r="D18" s="35" t="s">
        <v>38</v>
      </c>
      <c r="E18" s="69" t="s">
        <v>75</v>
      </c>
      <c r="F18" s="65" t="s">
        <v>93</v>
      </c>
      <c r="G18" s="39" t="s">
        <v>42</v>
      </c>
      <c r="H18" s="70" t="s">
        <v>44</v>
      </c>
      <c r="I18" s="71">
        <v>1.0</v>
      </c>
      <c r="J18" s="45">
        <v>7500000.0</v>
      </c>
      <c r="K18" s="45">
        <v>7300000.0</v>
      </c>
      <c r="L18" s="43">
        <v>1.0</v>
      </c>
      <c r="M18" s="73">
        <v>1000000.0</v>
      </c>
      <c r="N18" s="74"/>
      <c r="O18" s="73"/>
      <c r="P18" s="73"/>
      <c r="Q18" s="73"/>
      <c r="R18" s="73">
        <f t="shared" si="1"/>
        <v>8500000</v>
      </c>
      <c r="S18" s="77">
        <f t="shared" si="2"/>
        <v>8300000</v>
      </c>
      <c r="T18" s="78"/>
    </row>
    <row r="19" ht="14.25" hidden="1" customHeight="1">
      <c r="A19" s="34">
        <f t="shared" si="3"/>
        <v>6</v>
      </c>
      <c r="B19" s="35">
        <v>45908.0</v>
      </c>
      <c r="C19" s="35">
        <v>45909.0</v>
      </c>
      <c r="D19" s="35" t="s">
        <v>38</v>
      </c>
      <c r="E19" s="69" t="s">
        <v>95</v>
      </c>
      <c r="F19" s="65" t="s">
        <v>96</v>
      </c>
      <c r="G19" s="39" t="s">
        <v>42</v>
      </c>
      <c r="H19" s="70" t="s">
        <v>44</v>
      </c>
      <c r="I19" s="71">
        <v>1.0</v>
      </c>
      <c r="J19" s="45">
        <v>8000000.0</v>
      </c>
      <c r="K19" s="45">
        <v>7300000.0</v>
      </c>
      <c r="L19" s="43"/>
      <c r="M19" s="73"/>
      <c r="N19" s="74"/>
      <c r="O19" s="73"/>
      <c r="P19" s="73"/>
      <c r="Q19" s="73"/>
      <c r="R19" s="73">
        <f t="shared" si="1"/>
        <v>8000000</v>
      </c>
      <c r="S19" s="77">
        <f t="shared" si="2"/>
        <v>7300000</v>
      </c>
      <c r="T19" s="78"/>
    </row>
    <row r="20" ht="14.25" hidden="1" customHeight="1">
      <c r="A20" s="34">
        <f t="shared" si="3"/>
        <v>7</v>
      </c>
      <c r="B20" s="35">
        <v>45909.0</v>
      </c>
      <c r="C20" s="35">
        <v>45909.0</v>
      </c>
      <c r="D20" s="35" t="s">
        <v>38</v>
      </c>
      <c r="E20" s="69" t="s">
        <v>98</v>
      </c>
      <c r="F20" s="65" t="s">
        <v>99</v>
      </c>
      <c r="G20" s="39" t="s">
        <v>42</v>
      </c>
      <c r="H20" s="70" t="s">
        <v>44</v>
      </c>
      <c r="I20" s="71">
        <v>1.0</v>
      </c>
      <c r="J20" s="45">
        <v>7500000.0</v>
      </c>
      <c r="K20" s="45">
        <v>7300000.0</v>
      </c>
      <c r="L20" s="43"/>
      <c r="M20" s="73"/>
      <c r="N20" s="74"/>
      <c r="O20" s="73"/>
      <c r="P20" s="73"/>
      <c r="Q20" s="73"/>
      <c r="R20" s="73">
        <f t="shared" si="1"/>
        <v>7500000</v>
      </c>
      <c r="S20" s="77">
        <f t="shared" si="2"/>
        <v>7300000</v>
      </c>
      <c r="T20" s="78"/>
    </row>
    <row r="21" ht="14.25" hidden="1" customHeight="1">
      <c r="A21" s="34">
        <f t="shared" si="3"/>
        <v>8</v>
      </c>
      <c r="B21" s="35">
        <v>45909.0</v>
      </c>
      <c r="C21" s="35">
        <v>45910.0</v>
      </c>
      <c r="D21" s="35" t="s">
        <v>38</v>
      </c>
      <c r="E21" s="69" t="s">
        <v>95</v>
      </c>
      <c r="F21" s="65" t="s">
        <v>101</v>
      </c>
      <c r="G21" s="39" t="s">
        <v>42</v>
      </c>
      <c r="H21" s="70" t="s">
        <v>44</v>
      </c>
      <c r="I21" s="71">
        <v>1.0</v>
      </c>
      <c r="J21" s="45">
        <v>8000000.0</v>
      </c>
      <c r="K21" s="45">
        <v>7300000.0</v>
      </c>
      <c r="L21" s="43"/>
      <c r="M21" s="73"/>
      <c r="N21" s="74"/>
      <c r="O21" s="73"/>
      <c r="P21" s="73"/>
      <c r="Q21" s="73"/>
      <c r="R21" s="73">
        <f t="shared" si="1"/>
        <v>8000000</v>
      </c>
      <c r="S21" s="77">
        <f t="shared" si="2"/>
        <v>7300000</v>
      </c>
      <c r="T21" s="78"/>
    </row>
    <row r="22" ht="14.25" hidden="1" customHeight="1">
      <c r="A22" s="34">
        <f t="shared" si="3"/>
        <v>9</v>
      </c>
      <c r="B22" s="35">
        <v>45910.0</v>
      </c>
      <c r="C22" s="35">
        <v>45911.0</v>
      </c>
      <c r="D22" s="35" t="s">
        <v>102</v>
      </c>
      <c r="E22" s="69" t="s">
        <v>95</v>
      </c>
      <c r="F22" s="65" t="s">
        <v>103</v>
      </c>
      <c r="G22" s="39" t="s">
        <v>42</v>
      </c>
      <c r="H22" s="70" t="s">
        <v>104</v>
      </c>
      <c r="I22" s="71">
        <v>1.0</v>
      </c>
      <c r="J22" s="45">
        <v>1.12E7</v>
      </c>
      <c r="K22" s="45">
        <v>1.2E7</v>
      </c>
      <c r="L22" s="43"/>
      <c r="M22" s="73"/>
      <c r="N22" s="74"/>
      <c r="O22" s="73"/>
      <c r="P22" s="73"/>
      <c r="Q22" s="73"/>
      <c r="R22" s="73">
        <f t="shared" si="1"/>
        <v>11200000</v>
      </c>
      <c r="S22" s="77">
        <f t="shared" si="2"/>
        <v>12000000</v>
      </c>
      <c r="T22" s="78"/>
    </row>
    <row r="23" ht="14.25" hidden="1" customHeight="1">
      <c r="A23" s="34">
        <f t="shared" si="3"/>
        <v>10</v>
      </c>
      <c r="B23" s="35">
        <v>45910.0</v>
      </c>
      <c r="C23" s="35">
        <v>45911.0</v>
      </c>
      <c r="D23" s="35" t="s">
        <v>38</v>
      </c>
      <c r="E23" s="69" t="s">
        <v>75</v>
      </c>
      <c r="F23" s="65" t="s">
        <v>107</v>
      </c>
      <c r="G23" s="39" t="s">
        <v>42</v>
      </c>
      <c r="H23" s="70" t="s">
        <v>44</v>
      </c>
      <c r="I23" s="71">
        <v>1.0</v>
      </c>
      <c r="J23" s="45">
        <v>7500000.0</v>
      </c>
      <c r="K23" s="45">
        <v>7300000.0</v>
      </c>
      <c r="L23" s="43"/>
      <c r="M23" s="73"/>
      <c r="N23" s="74"/>
      <c r="O23" s="73"/>
      <c r="P23" s="73"/>
      <c r="Q23" s="73"/>
      <c r="R23" s="73">
        <f t="shared" si="1"/>
        <v>7500000</v>
      </c>
      <c r="S23" s="77">
        <f t="shared" si="2"/>
        <v>7300000</v>
      </c>
      <c r="T23" s="78"/>
    </row>
    <row r="24" ht="14.25" hidden="1" customHeight="1">
      <c r="A24" s="34">
        <f t="shared" si="3"/>
        <v>11</v>
      </c>
      <c r="B24" s="35">
        <v>45910.0</v>
      </c>
      <c r="C24" s="35">
        <v>45911.0</v>
      </c>
      <c r="D24" s="35" t="s">
        <v>38</v>
      </c>
      <c r="E24" s="69" t="s">
        <v>52</v>
      </c>
      <c r="F24" s="65" t="s">
        <v>109</v>
      </c>
      <c r="G24" s="39" t="s">
        <v>42</v>
      </c>
      <c r="H24" s="70" t="s">
        <v>56</v>
      </c>
      <c r="I24" s="71">
        <v>1.0</v>
      </c>
      <c r="J24" s="45">
        <v>6300000.0</v>
      </c>
      <c r="K24" s="45">
        <v>6300000.0</v>
      </c>
      <c r="L24" s="43"/>
      <c r="M24" s="73"/>
      <c r="N24" s="74"/>
      <c r="O24" s="73"/>
      <c r="P24" s="73"/>
      <c r="Q24" s="73"/>
      <c r="R24" s="73">
        <f t="shared" si="1"/>
        <v>6300000</v>
      </c>
      <c r="S24" s="77">
        <f t="shared" si="2"/>
        <v>6300000</v>
      </c>
      <c r="T24" s="78"/>
    </row>
    <row r="25" ht="14.25" hidden="1" customHeight="1">
      <c r="A25" s="34">
        <f t="shared" si="3"/>
        <v>12</v>
      </c>
      <c r="B25" s="35">
        <v>45910.0</v>
      </c>
      <c r="C25" s="35">
        <v>45911.0</v>
      </c>
      <c r="D25" s="35" t="s">
        <v>38</v>
      </c>
      <c r="E25" s="69" t="s">
        <v>63</v>
      </c>
      <c r="F25" s="65" t="s">
        <v>111</v>
      </c>
      <c r="G25" s="39" t="s">
        <v>42</v>
      </c>
      <c r="H25" s="70" t="s">
        <v>44</v>
      </c>
      <c r="I25" s="71">
        <v>1.0</v>
      </c>
      <c r="J25" s="45">
        <v>7400000.0</v>
      </c>
      <c r="K25" s="45">
        <v>7300000.0</v>
      </c>
      <c r="L25" s="43"/>
      <c r="M25" s="73"/>
      <c r="N25" s="74"/>
      <c r="O25" s="73"/>
      <c r="P25" s="73"/>
      <c r="Q25" s="73"/>
      <c r="R25" s="73">
        <f t="shared" si="1"/>
        <v>7400000</v>
      </c>
      <c r="S25" s="77">
        <f t="shared" si="2"/>
        <v>7300000</v>
      </c>
      <c r="T25" s="78"/>
    </row>
    <row r="26" ht="14.25" hidden="1" customHeight="1">
      <c r="A26" s="34">
        <f t="shared" si="3"/>
        <v>13</v>
      </c>
      <c r="B26" s="35">
        <v>45910.0</v>
      </c>
      <c r="C26" s="35">
        <v>45911.0</v>
      </c>
      <c r="D26" s="35" t="s">
        <v>38</v>
      </c>
      <c r="E26" s="69" t="s">
        <v>63</v>
      </c>
      <c r="F26" s="65" t="s">
        <v>70</v>
      </c>
      <c r="G26" s="39" t="s">
        <v>42</v>
      </c>
      <c r="H26" s="70" t="s">
        <v>44</v>
      </c>
      <c r="I26" s="71">
        <v>1.0</v>
      </c>
      <c r="J26" s="45">
        <v>7400000.0</v>
      </c>
      <c r="K26" s="45">
        <v>7300000.0</v>
      </c>
      <c r="L26" s="43"/>
      <c r="M26" s="73"/>
      <c r="N26" s="74"/>
      <c r="O26" s="73"/>
      <c r="P26" s="73"/>
      <c r="Q26" s="73"/>
      <c r="R26" s="73">
        <f t="shared" si="1"/>
        <v>7400000</v>
      </c>
      <c r="S26" s="77">
        <f t="shared" si="2"/>
        <v>7300000</v>
      </c>
      <c r="T26" s="78"/>
    </row>
    <row r="27" ht="14.25" hidden="1" customHeight="1">
      <c r="A27" s="34">
        <f t="shared" si="3"/>
        <v>14</v>
      </c>
      <c r="B27" s="35">
        <v>45911.0</v>
      </c>
      <c r="C27" s="35">
        <v>45912.0</v>
      </c>
      <c r="D27" s="35" t="s">
        <v>38</v>
      </c>
      <c r="E27" s="69" t="s">
        <v>75</v>
      </c>
      <c r="F27" s="65" t="s">
        <v>87</v>
      </c>
      <c r="G27" s="39" t="s">
        <v>42</v>
      </c>
      <c r="H27" s="70" t="s">
        <v>44</v>
      </c>
      <c r="I27" s="71">
        <v>1.0</v>
      </c>
      <c r="J27" s="45">
        <v>7500000.0</v>
      </c>
      <c r="K27" s="45">
        <v>7300000.0</v>
      </c>
      <c r="L27" s="43"/>
      <c r="M27" s="73"/>
      <c r="N27" s="74"/>
      <c r="O27" s="73"/>
      <c r="P27" s="73"/>
      <c r="Q27" s="73"/>
      <c r="R27" s="73">
        <f t="shared" si="1"/>
        <v>7500000</v>
      </c>
      <c r="S27" s="77">
        <f t="shared" si="2"/>
        <v>7300000</v>
      </c>
      <c r="T27" s="78"/>
    </row>
    <row r="28" ht="14.25" hidden="1" customHeight="1">
      <c r="A28" s="34">
        <f t="shared" si="3"/>
        <v>15</v>
      </c>
      <c r="B28" s="35">
        <v>45911.0</v>
      </c>
      <c r="C28" s="35">
        <v>45912.0</v>
      </c>
      <c r="D28" s="35" t="s">
        <v>38</v>
      </c>
      <c r="E28" s="69" t="s">
        <v>52</v>
      </c>
      <c r="F28" s="65" t="s">
        <v>53</v>
      </c>
      <c r="G28" s="39" t="s">
        <v>42</v>
      </c>
      <c r="H28" s="70" t="s">
        <v>56</v>
      </c>
      <c r="I28" s="71">
        <v>1.0</v>
      </c>
      <c r="J28" s="109">
        <v>6300000.0</v>
      </c>
      <c r="K28" s="45">
        <v>6300000.0</v>
      </c>
      <c r="L28" s="43"/>
      <c r="M28" s="73"/>
      <c r="N28" s="74"/>
      <c r="O28" s="73"/>
      <c r="P28" s="73"/>
      <c r="Q28" s="73"/>
      <c r="R28" s="73">
        <f t="shared" si="1"/>
        <v>6300000</v>
      </c>
      <c r="S28" s="77">
        <f t="shared" si="2"/>
        <v>6300000</v>
      </c>
      <c r="T28" s="78"/>
    </row>
    <row r="29" ht="14.25" hidden="1" customHeight="1">
      <c r="A29" s="34">
        <f t="shared" si="3"/>
        <v>16</v>
      </c>
      <c r="B29" s="35">
        <v>45911.0</v>
      </c>
      <c r="C29" s="35">
        <v>45912.0</v>
      </c>
      <c r="D29" s="35" t="s">
        <v>38</v>
      </c>
      <c r="E29" s="69" t="s">
        <v>63</v>
      </c>
      <c r="F29" s="65" t="s">
        <v>70</v>
      </c>
      <c r="G29" s="39" t="s">
        <v>42</v>
      </c>
      <c r="H29" s="70" t="s">
        <v>44</v>
      </c>
      <c r="I29" s="71">
        <v>1.0</v>
      </c>
      <c r="J29" s="45">
        <v>7400000.0</v>
      </c>
      <c r="K29" s="45">
        <v>7300000.0</v>
      </c>
      <c r="L29" s="43"/>
      <c r="M29" s="73"/>
      <c r="N29" s="74"/>
      <c r="O29" s="73"/>
      <c r="P29" s="73"/>
      <c r="Q29" s="73"/>
      <c r="R29" s="73">
        <f t="shared" si="1"/>
        <v>7400000</v>
      </c>
      <c r="S29" s="77">
        <f t="shared" si="2"/>
        <v>7300000</v>
      </c>
      <c r="T29" s="78"/>
    </row>
    <row r="30" ht="14.25" hidden="1" customHeight="1">
      <c r="A30" s="34">
        <f t="shared" si="3"/>
        <v>17</v>
      </c>
      <c r="B30" s="35">
        <v>45911.0</v>
      </c>
      <c r="C30" s="35">
        <v>45912.0</v>
      </c>
      <c r="D30" s="35" t="s">
        <v>38</v>
      </c>
      <c r="E30" s="69" t="s">
        <v>95</v>
      </c>
      <c r="F30" s="65" t="s">
        <v>119</v>
      </c>
      <c r="G30" s="39" t="s">
        <v>42</v>
      </c>
      <c r="H30" s="70" t="s">
        <v>56</v>
      </c>
      <c r="I30" s="71">
        <v>1.0</v>
      </c>
      <c r="J30" s="45">
        <v>6500000.0</v>
      </c>
      <c r="K30" s="45">
        <v>6300000.0</v>
      </c>
      <c r="L30" s="43"/>
      <c r="M30" s="73"/>
      <c r="N30" s="74"/>
      <c r="O30" s="73"/>
      <c r="P30" s="73"/>
      <c r="Q30" s="73"/>
      <c r="R30" s="73">
        <f t="shared" si="1"/>
        <v>6500000</v>
      </c>
      <c r="S30" s="77">
        <f t="shared" si="2"/>
        <v>6300000</v>
      </c>
      <c r="T30" s="78"/>
    </row>
    <row r="31" ht="14.25" hidden="1" customHeight="1">
      <c r="A31" s="34">
        <f t="shared" si="3"/>
        <v>18</v>
      </c>
      <c r="B31" s="35">
        <v>45912.0</v>
      </c>
      <c r="C31" s="35">
        <v>45912.0</v>
      </c>
      <c r="D31" s="35" t="s">
        <v>38</v>
      </c>
      <c r="E31" s="69" t="s">
        <v>63</v>
      </c>
      <c r="F31" s="65" t="s">
        <v>120</v>
      </c>
      <c r="G31" s="39" t="s">
        <v>42</v>
      </c>
      <c r="H31" s="70" t="s">
        <v>44</v>
      </c>
      <c r="I31" s="71">
        <v>1.0</v>
      </c>
      <c r="J31" s="45">
        <v>7400000.0</v>
      </c>
      <c r="K31" s="45">
        <v>7300000.0</v>
      </c>
      <c r="L31" s="43"/>
      <c r="M31" s="73"/>
      <c r="N31" s="74"/>
      <c r="O31" s="73"/>
      <c r="P31" s="73"/>
      <c r="Q31" s="73"/>
      <c r="R31" s="73">
        <f t="shared" si="1"/>
        <v>7400000</v>
      </c>
      <c r="S31" s="77">
        <f t="shared" si="2"/>
        <v>7300000</v>
      </c>
      <c r="T31" s="78"/>
    </row>
    <row r="32" ht="14.25" hidden="1" customHeight="1">
      <c r="A32" s="34">
        <f t="shared" si="3"/>
        <v>19</v>
      </c>
      <c r="B32" s="35">
        <v>45912.0</v>
      </c>
      <c r="C32" s="35">
        <v>45913.0</v>
      </c>
      <c r="D32" s="35" t="s">
        <v>38</v>
      </c>
      <c r="E32" s="69" t="s">
        <v>63</v>
      </c>
      <c r="F32" s="65" t="s">
        <v>121</v>
      </c>
      <c r="G32" s="39" t="s">
        <v>42</v>
      </c>
      <c r="H32" s="70" t="s">
        <v>44</v>
      </c>
      <c r="I32" s="71">
        <v>1.0</v>
      </c>
      <c r="J32" s="45">
        <v>7400000.0</v>
      </c>
      <c r="K32" s="45">
        <v>7300000.0</v>
      </c>
      <c r="L32" s="43"/>
      <c r="M32" s="73"/>
      <c r="N32" s="74"/>
      <c r="O32" s="73"/>
      <c r="P32" s="73"/>
      <c r="Q32" s="73"/>
      <c r="R32" s="73">
        <f t="shared" si="1"/>
        <v>7400000</v>
      </c>
      <c r="S32" s="77">
        <f t="shared" si="2"/>
        <v>7300000</v>
      </c>
      <c r="T32" s="78"/>
    </row>
    <row r="33" ht="14.25" hidden="1" customHeight="1">
      <c r="A33" s="34">
        <f t="shared" si="3"/>
        <v>20</v>
      </c>
      <c r="B33" s="35">
        <v>45912.0</v>
      </c>
      <c r="C33" s="35">
        <v>45913.0</v>
      </c>
      <c r="D33" s="35" t="s">
        <v>38</v>
      </c>
      <c r="E33" s="69" t="s">
        <v>75</v>
      </c>
      <c r="F33" s="65" t="s">
        <v>97</v>
      </c>
      <c r="G33" s="39" t="s">
        <v>42</v>
      </c>
      <c r="H33" s="70" t="s">
        <v>56</v>
      </c>
      <c r="I33" s="71">
        <v>1.0</v>
      </c>
      <c r="J33" s="109">
        <v>6300000.0</v>
      </c>
      <c r="K33" s="45">
        <v>6300000.0</v>
      </c>
      <c r="L33" s="43"/>
      <c r="M33" s="73"/>
      <c r="N33" s="74"/>
      <c r="O33" s="73"/>
      <c r="P33" s="73"/>
      <c r="Q33" s="73"/>
      <c r="R33" s="73">
        <f t="shared" si="1"/>
        <v>6300000</v>
      </c>
      <c r="S33" s="77">
        <f t="shared" si="2"/>
        <v>6300000</v>
      </c>
      <c r="T33" s="78"/>
    </row>
    <row r="34" ht="14.25" hidden="1" customHeight="1">
      <c r="A34" s="34">
        <f t="shared" si="3"/>
        <v>21</v>
      </c>
      <c r="B34" s="35">
        <v>45912.0</v>
      </c>
      <c r="C34" s="35">
        <v>45913.0</v>
      </c>
      <c r="D34" s="35" t="s">
        <v>38</v>
      </c>
      <c r="E34" s="69" t="s">
        <v>75</v>
      </c>
      <c r="F34" s="65" t="s">
        <v>99</v>
      </c>
      <c r="G34" s="39" t="s">
        <v>42</v>
      </c>
      <c r="H34" s="70" t="s">
        <v>56</v>
      </c>
      <c r="I34" s="71">
        <v>1.0</v>
      </c>
      <c r="J34" s="109">
        <v>6300000.0</v>
      </c>
      <c r="K34" s="45">
        <v>6300000.0</v>
      </c>
      <c r="L34" s="43"/>
      <c r="M34" s="73"/>
      <c r="N34" s="74"/>
      <c r="O34" s="73"/>
      <c r="P34" s="73"/>
      <c r="Q34" s="73"/>
      <c r="R34" s="73">
        <f t="shared" si="1"/>
        <v>6300000</v>
      </c>
      <c r="S34" s="77">
        <f t="shared" si="2"/>
        <v>6300000</v>
      </c>
      <c r="T34" s="78"/>
    </row>
    <row r="35" ht="14.25" hidden="1" customHeight="1">
      <c r="A35" s="34">
        <f t="shared" si="3"/>
        <v>22</v>
      </c>
      <c r="B35" s="35">
        <v>45912.0</v>
      </c>
      <c r="C35" s="35">
        <v>45913.0</v>
      </c>
      <c r="D35" s="35" t="s">
        <v>38</v>
      </c>
      <c r="E35" s="69" t="s">
        <v>75</v>
      </c>
      <c r="F35" s="111" t="s">
        <v>122</v>
      </c>
      <c r="G35" s="39" t="s">
        <v>42</v>
      </c>
      <c r="H35" s="70" t="s">
        <v>44</v>
      </c>
      <c r="I35" s="71">
        <v>1.0</v>
      </c>
      <c r="J35" s="45">
        <v>7500000.0</v>
      </c>
      <c r="K35" s="45">
        <v>7300000.0</v>
      </c>
      <c r="L35" s="43">
        <v>1.0</v>
      </c>
      <c r="M35" s="73">
        <v>1000000.0</v>
      </c>
      <c r="N35" s="74"/>
      <c r="O35" s="73"/>
      <c r="P35" s="73"/>
      <c r="Q35" s="73"/>
      <c r="R35" s="73">
        <f t="shared" si="1"/>
        <v>8500000</v>
      </c>
      <c r="S35" s="77">
        <f t="shared" si="2"/>
        <v>8300000</v>
      </c>
      <c r="T35" s="78"/>
    </row>
    <row r="36" ht="14.25" hidden="1" customHeight="1">
      <c r="A36" s="34">
        <f t="shared" si="3"/>
        <v>23</v>
      </c>
      <c r="B36" s="35">
        <v>45913.0</v>
      </c>
      <c r="C36" s="35">
        <v>45913.0</v>
      </c>
      <c r="D36" s="35" t="s">
        <v>38</v>
      </c>
      <c r="E36" s="69" t="s">
        <v>63</v>
      </c>
      <c r="F36" s="111" t="s">
        <v>64</v>
      </c>
      <c r="G36" s="39" t="s">
        <v>42</v>
      </c>
      <c r="H36" s="70" t="s">
        <v>44</v>
      </c>
      <c r="I36" s="71">
        <v>1.0</v>
      </c>
      <c r="J36" s="45">
        <v>7400000.0</v>
      </c>
      <c r="K36" s="45">
        <v>7300000.0</v>
      </c>
      <c r="L36" s="43"/>
      <c r="M36" s="73"/>
      <c r="N36" s="74"/>
      <c r="O36" s="73"/>
      <c r="P36" s="73"/>
      <c r="Q36" s="73"/>
      <c r="R36" s="73">
        <f t="shared" si="1"/>
        <v>7400000</v>
      </c>
      <c r="S36" s="77">
        <f t="shared" si="2"/>
        <v>7300000</v>
      </c>
      <c r="T36" s="78"/>
    </row>
    <row r="37" ht="14.25" hidden="1" customHeight="1">
      <c r="A37" s="34">
        <f t="shared" si="3"/>
        <v>24</v>
      </c>
      <c r="B37" s="35">
        <v>45913.0</v>
      </c>
      <c r="C37" s="35">
        <v>45913.0</v>
      </c>
      <c r="D37" s="35" t="s">
        <v>38</v>
      </c>
      <c r="E37" s="69" t="s">
        <v>63</v>
      </c>
      <c r="F37" s="111" t="s">
        <v>62</v>
      </c>
      <c r="G37" s="39" t="s">
        <v>42</v>
      </c>
      <c r="H37" s="70" t="s">
        <v>44</v>
      </c>
      <c r="I37" s="71">
        <v>1.0</v>
      </c>
      <c r="J37" s="45">
        <v>7400000.0</v>
      </c>
      <c r="K37" s="45">
        <v>7300000.0</v>
      </c>
      <c r="L37" s="43"/>
      <c r="M37" s="73"/>
      <c r="N37" s="74"/>
      <c r="O37" s="73"/>
      <c r="P37" s="73"/>
      <c r="Q37" s="73"/>
      <c r="R37" s="73">
        <f t="shared" si="1"/>
        <v>7400000</v>
      </c>
      <c r="S37" s="77">
        <f t="shared" si="2"/>
        <v>7300000</v>
      </c>
      <c r="T37" s="78"/>
    </row>
    <row r="38" ht="14.25" hidden="1" customHeight="1">
      <c r="A38" s="34">
        <f t="shared" si="3"/>
        <v>25</v>
      </c>
      <c r="B38" s="35">
        <v>45914.0</v>
      </c>
      <c r="C38" s="35">
        <v>45915.0</v>
      </c>
      <c r="D38" s="35" t="s">
        <v>38</v>
      </c>
      <c r="E38" s="69" t="s">
        <v>63</v>
      </c>
      <c r="F38" s="111" t="s">
        <v>64</v>
      </c>
      <c r="G38" s="39" t="s">
        <v>42</v>
      </c>
      <c r="H38" s="70" t="s">
        <v>44</v>
      </c>
      <c r="I38" s="71">
        <v>1.0</v>
      </c>
      <c r="J38" s="45">
        <v>7400000.0</v>
      </c>
      <c r="K38" s="45">
        <v>7300000.0</v>
      </c>
      <c r="L38" s="43">
        <v>1.0</v>
      </c>
      <c r="M38" s="73">
        <v>1000000.0</v>
      </c>
      <c r="N38" s="74"/>
      <c r="O38" s="73"/>
      <c r="P38" s="73"/>
      <c r="Q38" s="73"/>
      <c r="R38" s="73">
        <f t="shared" si="1"/>
        <v>8400000</v>
      </c>
      <c r="S38" s="77">
        <f t="shared" si="2"/>
        <v>8300000</v>
      </c>
      <c r="T38" s="78"/>
    </row>
    <row r="39" ht="14.25" hidden="1" customHeight="1">
      <c r="A39" s="34">
        <f t="shared" si="3"/>
        <v>26</v>
      </c>
      <c r="B39" s="35">
        <v>45914.0</v>
      </c>
      <c r="C39" s="35">
        <v>45916.0</v>
      </c>
      <c r="D39" s="35" t="s">
        <v>38</v>
      </c>
      <c r="E39" s="69" t="s">
        <v>52</v>
      </c>
      <c r="F39" s="65" t="s">
        <v>53</v>
      </c>
      <c r="G39" s="39" t="s">
        <v>42</v>
      </c>
      <c r="H39" s="70" t="s">
        <v>44</v>
      </c>
      <c r="I39" s="71">
        <v>1.0</v>
      </c>
      <c r="J39" s="45">
        <v>7400000.0</v>
      </c>
      <c r="K39" s="45">
        <v>7300000.0</v>
      </c>
      <c r="L39" s="47">
        <v>2.0</v>
      </c>
      <c r="M39" s="73">
        <v>2000000.0</v>
      </c>
      <c r="N39" s="75">
        <v>1.0</v>
      </c>
      <c r="O39" s="73">
        <v>500000.0</v>
      </c>
      <c r="P39" s="73"/>
      <c r="Q39" s="73"/>
      <c r="R39" s="73">
        <f t="shared" si="1"/>
        <v>9900000</v>
      </c>
      <c r="S39" s="77">
        <f t="shared" si="2"/>
        <v>9800000</v>
      </c>
      <c r="T39" s="78"/>
    </row>
    <row r="40" ht="14.25" hidden="1" customHeight="1">
      <c r="A40" s="34">
        <f t="shared" si="3"/>
        <v>27</v>
      </c>
      <c r="B40" s="35">
        <v>45915.0</v>
      </c>
      <c r="C40" s="35">
        <v>45915.0</v>
      </c>
      <c r="D40" s="35" t="s">
        <v>38</v>
      </c>
      <c r="E40" s="69" t="s">
        <v>75</v>
      </c>
      <c r="F40" s="65" t="s">
        <v>99</v>
      </c>
      <c r="G40" s="39" t="s">
        <v>42</v>
      </c>
      <c r="H40" s="70" t="s">
        <v>44</v>
      </c>
      <c r="I40" s="71">
        <v>1.0</v>
      </c>
      <c r="J40" s="45">
        <v>7500000.0</v>
      </c>
      <c r="K40" s="45">
        <v>7300000.0</v>
      </c>
      <c r="L40" s="43"/>
      <c r="M40" s="73"/>
      <c r="N40" s="43"/>
      <c r="O40" s="73"/>
      <c r="P40" s="73"/>
      <c r="Q40" s="73"/>
      <c r="R40" s="73">
        <f t="shared" si="1"/>
        <v>7500000</v>
      </c>
      <c r="S40" s="77">
        <f t="shared" si="2"/>
        <v>7300000</v>
      </c>
      <c r="T40" s="78"/>
    </row>
    <row r="41" ht="14.25" hidden="1" customHeight="1">
      <c r="A41" s="34">
        <f t="shared" si="3"/>
        <v>28</v>
      </c>
      <c r="B41" s="35">
        <v>45915.0</v>
      </c>
      <c r="C41" s="35">
        <v>45916.0</v>
      </c>
      <c r="D41" s="35" t="s">
        <v>38</v>
      </c>
      <c r="E41" s="69" t="s">
        <v>63</v>
      </c>
      <c r="F41" s="111" t="s">
        <v>123</v>
      </c>
      <c r="G41" s="39" t="s">
        <v>42</v>
      </c>
      <c r="H41" s="70" t="s">
        <v>44</v>
      </c>
      <c r="I41" s="71">
        <v>1.0</v>
      </c>
      <c r="J41" s="45">
        <v>7400000.0</v>
      </c>
      <c r="K41" s="45">
        <v>7300000.0</v>
      </c>
      <c r="L41" s="43"/>
      <c r="M41" s="73"/>
      <c r="N41" s="74"/>
      <c r="O41" s="73"/>
      <c r="P41" s="73"/>
      <c r="Q41" s="73"/>
      <c r="R41" s="73">
        <f t="shared" si="1"/>
        <v>7400000</v>
      </c>
      <c r="S41" s="77">
        <f t="shared" si="2"/>
        <v>7300000</v>
      </c>
      <c r="T41" s="78"/>
    </row>
    <row r="42" ht="14.25" hidden="1" customHeight="1">
      <c r="A42" s="34">
        <f t="shared" si="3"/>
        <v>29</v>
      </c>
      <c r="B42" s="35">
        <v>45915.0</v>
      </c>
      <c r="C42" s="35">
        <v>45916.0</v>
      </c>
      <c r="D42" s="35" t="s">
        <v>38</v>
      </c>
      <c r="E42" s="69" t="s">
        <v>63</v>
      </c>
      <c r="F42" s="111" t="s">
        <v>124</v>
      </c>
      <c r="G42" s="39" t="s">
        <v>42</v>
      </c>
      <c r="H42" s="70" t="s">
        <v>44</v>
      </c>
      <c r="I42" s="71">
        <v>1.0</v>
      </c>
      <c r="J42" s="45">
        <v>7400000.0</v>
      </c>
      <c r="K42" s="45">
        <v>7300000.0</v>
      </c>
      <c r="L42" s="43"/>
      <c r="M42" s="73"/>
      <c r="N42" s="74"/>
      <c r="O42" s="73"/>
      <c r="P42" s="73"/>
      <c r="Q42" s="73"/>
      <c r="R42" s="73">
        <f t="shared" si="1"/>
        <v>7400000</v>
      </c>
      <c r="S42" s="77">
        <f t="shared" si="2"/>
        <v>7300000</v>
      </c>
      <c r="T42" s="78"/>
    </row>
    <row r="43" ht="14.25" hidden="1" customHeight="1">
      <c r="A43" s="34">
        <f t="shared" si="3"/>
        <v>30</v>
      </c>
      <c r="B43" s="35">
        <v>45916.0</v>
      </c>
      <c r="C43" s="35">
        <v>45917.0</v>
      </c>
      <c r="D43" s="35" t="s">
        <v>38</v>
      </c>
      <c r="E43" s="69" t="s">
        <v>63</v>
      </c>
      <c r="F43" s="111" t="s">
        <v>125</v>
      </c>
      <c r="G43" s="39" t="s">
        <v>42</v>
      </c>
      <c r="H43" s="70" t="s">
        <v>44</v>
      </c>
      <c r="I43" s="71">
        <v>1.0</v>
      </c>
      <c r="J43" s="45">
        <v>7400000.0</v>
      </c>
      <c r="K43" s="45">
        <v>7300000.0</v>
      </c>
      <c r="L43" s="43"/>
      <c r="M43" s="73"/>
      <c r="N43" s="74"/>
      <c r="O43" s="73"/>
      <c r="P43" s="73"/>
      <c r="Q43" s="73"/>
      <c r="R43" s="73">
        <f t="shared" si="1"/>
        <v>7400000</v>
      </c>
      <c r="S43" s="77">
        <f t="shared" si="2"/>
        <v>7300000</v>
      </c>
      <c r="T43" s="78"/>
    </row>
    <row r="44" ht="14.25" hidden="1" customHeight="1">
      <c r="A44" s="34">
        <f t="shared" si="3"/>
        <v>31</v>
      </c>
      <c r="B44" s="35">
        <v>45916.0</v>
      </c>
      <c r="C44" s="35">
        <v>45917.0</v>
      </c>
      <c r="D44" s="35" t="s">
        <v>38</v>
      </c>
      <c r="E44" s="69" t="s">
        <v>52</v>
      </c>
      <c r="F44" s="65" t="s">
        <v>109</v>
      </c>
      <c r="G44" s="39" t="s">
        <v>42</v>
      </c>
      <c r="H44" s="70" t="s">
        <v>44</v>
      </c>
      <c r="I44" s="71">
        <v>1.0</v>
      </c>
      <c r="J44" s="45">
        <v>7400000.0</v>
      </c>
      <c r="K44" s="45">
        <v>7300000.0</v>
      </c>
      <c r="L44" s="43"/>
      <c r="M44" s="73"/>
      <c r="N44" s="74"/>
      <c r="O44" s="73"/>
      <c r="P44" s="73"/>
      <c r="Q44" s="73"/>
      <c r="R44" s="73">
        <f t="shared" si="1"/>
        <v>7400000</v>
      </c>
      <c r="S44" s="77">
        <f t="shared" si="2"/>
        <v>7300000</v>
      </c>
      <c r="T44" s="78"/>
    </row>
    <row r="45" ht="14.25" hidden="1" customHeight="1">
      <c r="A45" s="34">
        <f t="shared" si="3"/>
        <v>32</v>
      </c>
      <c r="B45" s="35">
        <v>45916.0</v>
      </c>
      <c r="C45" s="35">
        <v>45917.0</v>
      </c>
      <c r="D45" s="35" t="s">
        <v>38</v>
      </c>
      <c r="E45" s="69" t="s">
        <v>63</v>
      </c>
      <c r="F45" s="65" t="s">
        <v>126</v>
      </c>
      <c r="G45" s="39" t="s">
        <v>42</v>
      </c>
      <c r="H45" s="70" t="s">
        <v>44</v>
      </c>
      <c r="I45" s="71">
        <v>1.0</v>
      </c>
      <c r="J45" s="45">
        <v>7400000.0</v>
      </c>
      <c r="K45" s="45">
        <v>7300000.0</v>
      </c>
      <c r="L45" s="43"/>
      <c r="M45" s="73"/>
      <c r="N45" s="74"/>
      <c r="O45" s="73"/>
      <c r="P45" s="73"/>
      <c r="Q45" s="73"/>
      <c r="R45" s="73">
        <f t="shared" si="1"/>
        <v>7400000</v>
      </c>
      <c r="S45" s="77">
        <f t="shared" si="2"/>
        <v>7300000</v>
      </c>
      <c r="T45" s="78"/>
    </row>
    <row r="46" ht="14.25" hidden="1" customHeight="1">
      <c r="A46" s="34">
        <f t="shared" si="3"/>
        <v>33</v>
      </c>
      <c r="B46" s="36">
        <v>45917.0</v>
      </c>
      <c r="C46" s="36">
        <v>45918.0</v>
      </c>
      <c r="D46" s="35" t="s">
        <v>38</v>
      </c>
      <c r="E46" s="69" t="s">
        <v>63</v>
      </c>
      <c r="F46" s="72" t="s">
        <v>72</v>
      </c>
      <c r="G46" s="39" t="s">
        <v>42</v>
      </c>
      <c r="H46" s="70" t="s">
        <v>44</v>
      </c>
      <c r="I46" s="71">
        <v>1.0</v>
      </c>
      <c r="J46" s="45">
        <v>7400000.0</v>
      </c>
      <c r="K46" s="45">
        <v>7300000.0</v>
      </c>
      <c r="L46" s="75"/>
      <c r="M46" s="73"/>
      <c r="N46" s="76"/>
      <c r="O46" s="73"/>
      <c r="P46" s="73"/>
      <c r="Q46" s="73"/>
      <c r="R46" s="73">
        <f t="shared" si="1"/>
        <v>7400000</v>
      </c>
      <c r="S46" s="77">
        <f t="shared" si="2"/>
        <v>7300000</v>
      </c>
      <c r="T46" s="78"/>
    </row>
    <row r="47" ht="14.25" hidden="1" customHeight="1">
      <c r="A47" s="34">
        <f t="shared" si="3"/>
        <v>34</v>
      </c>
      <c r="B47" s="36">
        <v>45917.0</v>
      </c>
      <c r="C47" s="36">
        <v>45918.0</v>
      </c>
      <c r="D47" s="35" t="s">
        <v>38</v>
      </c>
      <c r="E47" s="69" t="s">
        <v>52</v>
      </c>
      <c r="F47" s="112" t="s">
        <v>58</v>
      </c>
      <c r="G47" s="39" t="s">
        <v>42</v>
      </c>
      <c r="H47" s="70" t="s">
        <v>44</v>
      </c>
      <c r="I47" s="71">
        <v>1.0</v>
      </c>
      <c r="J47" s="45">
        <v>7400000.0</v>
      </c>
      <c r="K47" s="45">
        <v>7300000.0</v>
      </c>
      <c r="L47" s="75"/>
      <c r="M47" s="73"/>
      <c r="N47" s="76"/>
      <c r="O47" s="73"/>
      <c r="P47" s="73"/>
      <c r="Q47" s="73"/>
      <c r="R47" s="73">
        <f t="shared" si="1"/>
        <v>7400000</v>
      </c>
      <c r="S47" s="77">
        <f t="shared" si="2"/>
        <v>7300000</v>
      </c>
      <c r="T47" s="78"/>
    </row>
    <row r="48" ht="14.25" hidden="1" customHeight="1">
      <c r="A48" s="34">
        <f t="shared" si="3"/>
        <v>35</v>
      </c>
      <c r="B48" s="36">
        <v>45917.0</v>
      </c>
      <c r="C48" s="36">
        <v>45918.0</v>
      </c>
      <c r="D48" s="35" t="s">
        <v>38</v>
      </c>
      <c r="E48" s="69" t="s">
        <v>63</v>
      </c>
      <c r="F48" s="72" t="s">
        <v>127</v>
      </c>
      <c r="G48" s="39" t="s">
        <v>128</v>
      </c>
      <c r="H48" s="70" t="s">
        <v>56</v>
      </c>
      <c r="I48" s="71">
        <v>1.0</v>
      </c>
      <c r="J48" s="109">
        <v>2300000.0</v>
      </c>
      <c r="K48" s="45">
        <v>2400000.0</v>
      </c>
      <c r="L48" s="75"/>
      <c r="M48" s="73"/>
      <c r="N48" s="76"/>
      <c r="O48" s="73"/>
      <c r="P48" s="73"/>
      <c r="Q48" s="73"/>
      <c r="R48" s="73">
        <f t="shared" si="1"/>
        <v>2300000</v>
      </c>
      <c r="S48" s="77">
        <f t="shared" si="2"/>
        <v>2400000</v>
      </c>
      <c r="T48" s="78"/>
    </row>
    <row r="49" ht="14.25" hidden="1" customHeight="1">
      <c r="A49" s="34">
        <f t="shared" si="3"/>
        <v>36</v>
      </c>
      <c r="B49" s="36">
        <v>45917.0</v>
      </c>
      <c r="C49" s="36">
        <v>45918.0</v>
      </c>
      <c r="D49" s="35" t="s">
        <v>38</v>
      </c>
      <c r="E49" s="69" t="s">
        <v>75</v>
      </c>
      <c r="F49" s="65" t="s">
        <v>97</v>
      </c>
      <c r="G49" s="39" t="s">
        <v>42</v>
      </c>
      <c r="H49" s="70" t="s">
        <v>56</v>
      </c>
      <c r="I49" s="71">
        <v>1.0</v>
      </c>
      <c r="J49" s="45">
        <v>6300000.0</v>
      </c>
      <c r="K49" s="45">
        <v>6300000.0</v>
      </c>
      <c r="L49" s="75"/>
      <c r="M49" s="73"/>
      <c r="N49" s="76"/>
      <c r="O49" s="73"/>
      <c r="P49" s="73"/>
      <c r="Q49" s="73"/>
      <c r="R49" s="73">
        <f t="shared" si="1"/>
        <v>6300000</v>
      </c>
      <c r="S49" s="77">
        <f t="shared" si="2"/>
        <v>6300000</v>
      </c>
      <c r="T49" s="78"/>
    </row>
    <row r="50" ht="14.25" hidden="1" customHeight="1">
      <c r="A50" s="34">
        <f t="shared" si="3"/>
        <v>37</v>
      </c>
      <c r="B50" s="36">
        <v>45917.0</v>
      </c>
      <c r="C50" s="36">
        <v>45918.0</v>
      </c>
      <c r="D50" s="35" t="s">
        <v>38</v>
      </c>
      <c r="E50" s="69" t="s">
        <v>52</v>
      </c>
      <c r="F50" s="72" t="s">
        <v>129</v>
      </c>
      <c r="G50" s="39" t="s">
        <v>42</v>
      </c>
      <c r="H50" s="70" t="s">
        <v>44</v>
      </c>
      <c r="I50" s="71">
        <v>1.0</v>
      </c>
      <c r="J50" s="45">
        <v>7400000.0</v>
      </c>
      <c r="K50" s="45">
        <v>7300000.0</v>
      </c>
      <c r="L50" s="75">
        <v>1.0</v>
      </c>
      <c r="M50" s="73">
        <v>1000000.0</v>
      </c>
      <c r="N50" s="75">
        <v>1.0</v>
      </c>
      <c r="O50" s="73">
        <v>500000.0</v>
      </c>
      <c r="P50" s="73"/>
      <c r="Q50" s="73"/>
      <c r="R50" s="73">
        <f t="shared" si="1"/>
        <v>8900000</v>
      </c>
      <c r="S50" s="77">
        <f t="shared" si="2"/>
        <v>8800000</v>
      </c>
      <c r="T50" s="78"/>
    </row>
    <row r="51" ht="14.25" hidden="1" customHeight="1">
      <c r="A51" s="34">
        <f t="shared" si="3"/>
        <v>38</v>
      </c>
      <c r="B51" s="36">
        <v>45918.0</v>
      </c>
      <c r="C51" s="36">
        <v>45918.0</v>
      </c>
      <c r="D51" s="35" t="s">
        <v>38</v>
      </c>
      <c r="E51" s="69" t="s">
        <v>52</v>
      </c>
      <c r="F51" s="112" t="s">
        <v>58</v>
      </c>
      <c r="G51" s="39" t="s">
        <v>42</v>
      </c>
      <c r="H51" s="70" t="s">
        <v>56</v>
      </c>
      <c r="I51" s="71">
        <v>1.0</v>
      </c>
      <c r="J51" s="109">
        <v>6300000.0</v>
      </c>
      <c r="K51" s="45">
        <v>6300000.0</v>
      </c>
      <c r="L51" s="75"/>
      <c r="M51" s="73"/>
      <c r="N51" s="76"/>
      <c r="O51" s="73"/>
      <c r="P51" s="73"/>
      <c r="Q51" s="73"/>
      <c r="R51" s="73">
        <f t="shared" si="1"/>
        <v>6300000</v>
      </c>
      <c r="S51" s="77">
        <f t="shared" si="2"/>
        <v>6300000</v>
      </c>
      <c r="T51" s="78"/>
    </row>
    <row r="52" ht="14.25" hidden="1" customHeight="1">
      <c r="A52" s="34">
        <f t="shared" si="3"/>
        <v>39</v>
      </c>
      <c r="B52" s="36">
        <v>45919.0</v>
      </c>
      <c r="C52" s="36">
        <v>45920.0</v>
      </c>
      <c r="D52" s="35" t="s">
        <v>38</v>
      </c>
      <c r="E52" s="69" t="s">
        <v>63</v>
      </c>
      <c r="F52" s="65" t="s">
        <v>111</v>
      </c>
      <c r="G52" s="39" t="s">
        <v>42</v>
      </c>
      <c r="H52" s="70" t="s">
        <v>44</v>
      </c>
      <c r="I52" s="71">
        <v>1.0</v>
      </c>
      <c r="J52" s="45">
        <v>7400000.0</v>
      </c>
      <c r="K52" s="45">
        <v>7300000.0</v>
      </c>
      <c r="L52" s="75"/>
      <c r="M52" s="73"/>
      <c r="N52" s="76"/>
      <c r="O52" s="73"/>
      <c r="P52" s="73"/>
      <c r="Q52" s="73"/>
      <c r="R52" s="73">
        <f t="shared" si="1"/>
        <v>7400000</v>
      </c>
      <c r="S52" s="77">
        <f t="shared" si="2"/>
        <v>7300000</v>
      </c>
      <c r="T52" s="78"/>
    </row>
    <row r="53" ht="14.25" hidden="1" customHeight="1">
      <c r="A53" s="34">
        <f t="shared" si="3"/>
        <v>40</v>
      </c>
      <c r="B53" s="36">
        <v>45919.0</v>
      </c>
      <c r="C53" s="36">
        <v>45920.0</v>
      </c>
      <c r="D53" s="35" t="s">
        <v>38</v>
      </c>
      <c r="E53" s="113" t="s">
        <v>75</v>
      </c>
      <c r="F53" s="65" t="s">
        <v>107</v>
      </c>
      <c r="G53" s="39" t="s">
        <v>42</v>
      </c>
      <c r="H53" s="70" t="s">
        <v>56</v>
      </c>
      <c r="I53" s="71">
        <v>1.0</v>
      </c>
      <c r="J53" s="109">
        <v>6300000.0</v>
      </c>
      <c r="K53" s="45">
        <v>6300000.0</v>
      </c>
      <c r="L53" s="75"/>
      <c r="M53" s="73"/>
      <c r="N53" s="76"/>
      <c r="O53" s="73"/>
      <c r="P53" s="73"/>
      <c r="Q53" s="73"/>
      <c r="R53" s="73">
        <f t="shared" si="1"/>
        <v>6300000</v>
      </c>
      <c r="S53" s="77">
        <f t="shared" si="2"/>
        <v>6300000</v>
      </c>
      <c r="T53" s="78"/>
    </row>
    <row r="54" ht="14.25" hidden="1" customHeight="1">
      <c r="A54" s="34">
        <f t="shared" si="3"/>
        <v>41</v>
      </c>
      <c r="B54" s="36">
        <v>45919.0</v>
      </c>
      <c r="C54" s="36">
        <v>45920.0</v>
      </c>
      <c r="D54" s="35" t="s">
        <v>38</v>
      </c>
      <c r="E54" s="113" t="s">
        <v>95</v>
      </c>
      <c r="F54" s="65" t="s">
        <v>130</v>
      </c>
      <c r="G54" s="39" t="s">
        <v>42</v>
      </c>
      <c r="H54" s="70" t="s">
        <v>56</v>
      </c>
      <c r="I54" s="71">
        <v>1.0</v>
      </c>
      <c r="J54" s="114">
        <v>6500000.0</v>
      </c>
      <c r="K54" s="45">
        <v>6300000.0</v>
      </c>
      <c r="L54" s="75"/>
      <c r="M54" s="73"/>
      <c r="N54" s="76"/>
      <c r="O54" s="73"/>
      <c r="P54" s="73"/>
      <c r="Q54" s="73"/>
      <c r="R54" s="73">
        <f t="shared" si="1"/>
        <v>6500000</v>
      </c>
      <c r="S54" s="77">
        <f t="shared" si="2"/>
        <v>6300000</v>
      </c>
      <c r="T54" s="78"/>
    </row>
    <row r="55" ht="14.25" hidden="1" customHeight="1">
      <c r="A55" s="34">
        <f t="shared" si="3"/>
        <v>42</v>
      </c>
      <c r="B55" s="36">
        <v>45919.0</v>
      </c>
      <c r="C55" s="36">
        <v>45920.0</v>
      </c>
      <c r="D55" s="35" t="s">
        <v>38</v>
      </c>
      <c r="E55" s="113" t="s">
        <v>95</v>
      </c>
      <c r="F55" s="65" t="s">
        <v>131</v>
      </c>
      <c r="G55" s="39" t="s">
        <v>42</v>
      </c>
      <c r="H55" s="70" t="s">
        <v>44</v>
      </c>
      <c r="I55" s="71">
        <v>1.0</v>
      </c>
      <c r="J55" s="45">
        <v>8000000.0</v>
      </c>
      <c r="K55" s="45">
        <v>7300000.0</v>
      </c>
      <c r="L55" s="75">
        <v>1.0</v>
      </c>
      <c r="M55" s="73">
        <v>1000000.0</v>
      </c>
      <c r="N55" s="75">
        <v>1.0</v>
      </c>
      <c r="O55" s="73">
        <v>500000.0</v>
      </c>
      <c r="P55" s="73"/>
      <c r="Q55" s="73"/>
      <c r="R55" s="73">
        <f t="shared" si="1"/>
        <v>9500000</v>
      </c>
      <c r="S55" s="77">
        <f t="shared" si="2"/>
        <v>8800000</v>
      </c>
      <c r="T55" s="78"/>
    </row>
    <row r="56" ht="14.25" hidden="1" customHeight="1">
      <c r="A56" s="34">
        <f t="shared" si="3"/>
        <v>43</v>
      </c>
      <c r="B56" s="36">
        <v>45919.0</v>
      </c>
      <c r="C56" s="36">
        <v>45920.0</v>
      </c>
      <c r="D56" s="35" t="s">
        <v>38</v>
      </c>
      <c r="E56" s="113" t="s">
        <v>75</v>
      </c>
      <c r="F56" s="65" t="s">
        <v>97</v>
      </c>
      <c r="G56" s="39" t="s">
        <v>42</v>
      </c>
      <c r="H56" s="70" t="s">
        <v>44</v>
      </c>
      <c r="I56" s="71">
        <v>1.0</v>
      </c>
      <c r="J56" s="114">
        <v>7500000.0</v>
      </c>
      <c r="K56" s="45">
        <v>6300000.0</v>
      </c>
      <c r="L56" s="75"/>
      <c r="M56" s="73"/>
      <c r="N56" s="76"/>
      <c r="O56" s="73"/>
      <c r="P56" s="73"/>
      <c r="Q56" s="73"/>
      <c r="R56" s="73">
        <f t="shared" si="1"/>
        <v>7500000</v>
      </c>
      <c r="S56" s="77">
        <f t="shared" si="2"/>
        <v>6300000</v>
      </c>
      <c r="T56" s="78"/>
    </row>
    <row r="57" ht="14.25" hidden="1" customHeight="1">
      <c r="A57" s="34">
        <f t="shared" si="3"/>
        <v>44</v>
      </c>
      <c r="B57" s="36">
        <v>45919.0</v>
      </c>
      <c r="C57" s="36">
        <v>45921.0</v>
      </c>
      <c r="D57" s="35" t="s">
        <v>38</v>
      </c>
      <c r="E57" s="113" t="s">
        <v>75</v>
      </c>
      <c r="F57" s="72" t="s">
        <v>132</v>
      </c>
      <c r="G57" s="39" t="s">
        <v>42</v>
      </c>
      <c r="H57" s="70" t="s">
        <v>56</v>
      </c>
      <c r="I57" s="71">
        <v>1.0</v>
      </c>
      <c r="J57" s="114">
        <v>6300000.0</v>
      </c>
      <c r="K57" s="45">
        <v>6300000.0</v>
      </c>
      <c r="L57" s="75">
        <v>1.0</v>
      </c>
      <c r="M57" s="73">
        <v>1000000.0</v>
      </c>
      <c r="N57" s="76"/>
      <c r="O57" s="73"/>
      <c r="P57" s="73"/>
      <c r="Q57" s="73"/>
      <c r="R57" s="73">
        <f t="shared" si="1"/>
        <v>7300000</v>
      </c>
      <c r="S57" s="77">
        <f t="shared" si="2"/>
        <v>7300000</v>
      </c>
      <c r="T57" s="78"/>
    </row>
    <row r="58" ht="14.25" hidden="1" customHeight="1">
      <c r="A58" s="34">
        <f t="shared" si="3"/>
        <v>45</v>
      </c>
      <c r="B58" s="36">
        <v>45919.0</v>
      </c>
      <c r="C58" s="36">
        <v>45920.0</v>
      </c>
      <c r="D58" s="35" t="s">
        <v>38</v>
      </c>
      <c r="E58" s="113" t="s">
        <v>75</v>
      </c>
      <c r="F58" s="72" t="s">
        <v>133</v>
      </c>
      <c r="G58" s="39" t="s">
        <v>42</v>
      </c>
      <c r="H58" s="70" t="s">
        <v>56</v>
      </c>
      <c r="I58" s="71">
        <v>1.0</v>
      </c>
      <c r="J58" s="114">
        <v>6300000.0</v>
      </c>
      <c r="K58" s="45">
        <v>6300000.0</v>
      </c>
      <c r="L58" s="75">
        <v>1.0</v>
      </c>
      <c r="M58" s="73">
        <v>1000000.0</v>
      </c>
      <c r="N58" s="76"/>
      <c r="O58" s="73"/>
      <c r="P58" s="73"/>
      <c r="Q58" s="73"/>
      <c r="R58" s="73">
        <f t="shared" si="1"/>
        <v>7300000</v>
      </c>
      <c r="S58" s="77">
        <f t="shared" si="2"/>
        <v>7300000</v>
      </c>
      <c r="T58" s="78"/>
    </row>
    <row r="59" ht="14.25" hidden="1" customHeight="1">
      <c r="A59" s="34">
        <f t="shared" si="3"/>
        <v>46</v>
      </c>
      <c r="B59" s="36">
        <v>45919.0</v>
      </c>
      <c r="C59" s="36">
        <v>45920.0</v>
      </c>
      <c r="D59" s="35" t="s">
        <v>38</v>
      </c>
      <c r="E59" s="69" t="s">
        <v>52</v>
      </c>
      <c r="F59" s="112" t="s">
        <v>134</v>
      </c>
      <c r="G59" s="39" t="s">
        <v>42</v>
      </c>
      <c r="H59" s="70" t="s">
        <v>44</v>
      </c>
      <c r="I59" s="71">
        <v>1.0</v>
      </c>
      <c r="J59" s="45">
        <v>7400000.0</v>
      </c>
      <c r="K59" s="45">
        <v>7300000.0</v>
      </c>
      <c r="L59" s="75"/>
      <c r="M59" s="73"/>
      <c r="N59" s="76"/>
      <c r="O59" s="73"/>
      <c r="P59" s="73"/>
      <c r="Q59" s="73"/>
      <c r="R59" s="73">
        <f t="shared" si="1"/>
        <v>7400000</v>
      </c>
      <c r="S59" s="77">
        <f t="shared" si="2"/>
        <v>7300000</v>
      </c>
      <c r="T59" s="78"/>
    </row>
    <row r="60" ht="14.25" hidden="1" customHeight="1">
      <c r="A60" s="34">
        <f t="shared" si="3"/>
        <v>47</v>
      </c>
      <c r="B60" s="36">
        <v>45919.0</v>
      </c>
      <c r="C60" s="36">
        <v>45922.0</v>
      </c>
      <c r="D60" s="35" t="s">
        <v>38</v>
      </c>
      <c r="E60" s="69" t="s">
        <v>63</v>
      </c>
      <c r="F60" s="65" t="s">
        <v>77</v>
      </c>
      <c r="G60" s="39" t="s">
        <v>42</v>
      </c>
      <c r="H60" s="70" t="s">
        <v>44</v>
      </c>
      <c r="I60" s="71">
        <v>1.0</v>
      </c>
      <c r="J60" s="45">
        <v>7400000.0</v>
      </c>
      <c r="K60" s="45">
        <v>7300000.0</v>
      </c>
      <c r="L60" s="115">
        <v>3.0</v>
      </c>
      <c r="M60" s="73">
        <v>3500000.0</v>
      </c>
      <c r="N60" s="75">
        <v>1.0</v>
      </c>
      <c r="O60" s="73">
        <v>700000.0</v>
      </c>
      <c r="P60" s="73"/>
      <c r="Q60" s="73"/>
      <c r="R60" s="73">
        <f t="shared" si="1"/>
        <v>11600000</v>
      </c>
      <c r="S60" s="77">
        <f t="shared" si="2"/>
        <v>11500000</v>
      </c>
      <c r="T60" s="78"/>
    </row>
    <row r="61" ht="14.25" hidden="1" customHeight="1">
      <c r="A61" s="34">
        <f t="shared" si="3"/>
        <v>48</v>
      </c>
      <c r="B61" s="36">
        <v>45919.0</v>
      </c>
      <c r="C61" s="36">
        <v>45920.0</v>
      </c>
      <c r="D61" s="35" t="s">
        <v>38</v>
      </c>
      <c r="E61" s="69" t="s">
        <v>63</v>
      </c>
      <c r="F61" s="72" t="s">
        <v>59</v>
      </c>
      <c r="G61" s="39" t="s">
        <v>42</v>
      </c>
      <c r="H61" s="70" t="s">
        <v>56</v>
      </c>
      <c r="I61" s="71">
        <v>1.0</v>
      </c>
      <c r="J61" s="114">
        <v>6300000.0</v>
      </c>
      <c r="K61" s="45">
        <v>6300000.0</v>
      </c>
      <c r="L61" s="75"/>
      <c r="M61" s="73"/>
      <c r="N61" s="76"/>
      <c r="O61" s="73"/>
      <c r="P61" s="73"/>
      <c r="Q61" s="73"/>
      <c r="R61" s="73">
        <f t="shared" si="1"/>
        <v>6300000</v>
      </c>
      <c r="S61" s="77">
        <f t="shared" si="2"/>
        <v>6300000</v>
      </c>
      <c r="T61" s="78"/>
    </row>
    <row r="62" ht="14.25" hidden="1" customHeight="1">
      <c r="A62" s="34">
        <f t="shared" si="3"/>
        <v>49</v>
      </c>
      <c r="B62" s="36">
        <v>45919.0</v>
      </c>
      <c r="C62" s="36">
        <v>45920.0</v>
      </c>
      <c r="D62" s="35" t="s">
        <v>38</v>
      </c>
      <c r="E62" s="69" t="s">
        <v>63</v>
      </c>
      <c r="F62" s="72" t="s">
        <v>135</v>
      </c>
      <c r="G62" s="39" t="s">
        <v>42</v>
      </c>
      <c r="H62" s="70" t="s">
        <v>56</v>
      </c>
      <c r="I62" s="71">
        <v>1.0</v>
      </c>
      <c r="J62" s="45">
        <v>6300000.0</v>
      </c>
      <c r="K62" s="45">
        <v>6300000.0</v>
      </c>
      <c r="L62" s="75"/>
      <c r="M62" s="73"/>
      <c r="N62" s="76"/>
      <c r="O62" s="73"/>
      <c r="P62" s="73"/>
      <c r="Q62" s="73"/>
      <c r="R62" s="73">
        <f t="shared" si="1"/>
        <v>6300000</v>
      </c>
      <c r="S62" s="77">
        <f t="shared" si="2"/>
        <v>6300000</v>
      </c>
      <c r="T62" s="78"/>
    </row>
    <row r="63" ht="14.25" hidden="1" customHeight="1">
      <c r="A63" s="34">
        <f t="shared" si="3"/>
        <v>50</v>
      </c>
      <c r="B63" s="36">
        <v>45920.0</v>
      </c>
      <c r="C63" s="36">
        <v>45921.0</v>
      </c>
      <c r="D63" s="35" t="s">
        <v>38</v>
      </c>
      <c r="E63" s="69" t="s">
        <v>63</v>
      </c>
      <c r="F63" s="72" t="s">
        <v>136</v>
      </c>
      <c r="G63" s="39" t="s">
        <v>42</v>
      </c>
      <c r="H63" s="70" t="s">
        <v>44</v>
      </c>
      <c r="I63" s="71">
        <v>1.0</v>
      </c>
      <c r="J63" s="45">
        <v>7400000.0</v>
      </c>
      <c r="K63" s="45">
        <v>7300000.0</v>
      </c>
      <c r="L63" s="75"/>
      <c r="M63" s="73"/>
      <c r="N63" s="76"/>
      <c r="O63" s="73"/>
      <c r="P63" s="73"/>
      <c r="Q63" s="73"/>
      <c r="R63" s="73">
        <f t="shared" si="1"/>
        <v>7400000</v>
      </c>
      <c r="S63" s="77">
        <f t="shared" si="2"/>
        <v>7300000</v>
      </c>
      <c r="T63" s="78"/>
    </row>
    <row r="64" ht="14.25" hidden="1" customHeight="1">
      <c r="A64" s="34">
        <f t="shared" si="3"/>
        <v>51</v>
      </c>
      <c r="B64" s="36">
        <v>45920.0</v>
      </c>
      <c r="C64" s="36">
        <v>45921.0</v>
      </c>
      <c r="D64" s="35" t="s">
        <v>38</v>
      </c>
      <c r="E64" s="69" t="s">
        <v>63</v>
      </c>
      <c r="F64" s="72" t="s">
        <v>137</v>
      </c>
      <c r="G64" s="39" t="s">
        <v>42</v>
      </c>
      <c r="H64" s="70" t="s">
        <v>44</v>
      </c>
      <c r="I64" s="71">
        <v>1.0</v>
      </c>
      <c r="J64" s="45">
        <v>7400000.0</v>
      </c>
      <c r="K64" s="45">
        <v>7300000.0</v>
      </c>
      <c r="L64" s="75"/>
      <c r="M64" s="73"/>
      <c r="N64" s="76"/>
      <c r="O64" s="73"/>
      <c r="P64" s="73"/>
      <c r="Q64" s="73"/>
      <c r="R64" s="73">
        <f t="shared" si="1"/>
        <v>7400000</v>
      </c>
      <c r="S64" s="77">
        <f t="shared" si="2"/>
        <v>7300000</v>
      </c>
      <c r="T64" s="78"/>
    </row>
    <row r="65" ht="14.25" hidden="1" customHeight="1">
      <c r="A65" s="34">
        <f t="shared" si="3"/>
        <v>52</v>
      </c>
      <c r="B65" s="36">
        <v>45920.0</v>
      </c>
      <c r="C65" s="36">
        <v>45921.0</v>
      </c>
      <c r="D65" s="35" t="s">
        <v>38</v>
      </c>
      <c r="E65" s="69" t="s">
        <v>63</v>
      </c>
      <c r="F65" s="72" t="s">
        <v>138</v>
      </c>
      <c r="G65" s="39" t="s">
        <v>42</v>
      </c>
      <c r="H65" s="70" t="s">
        <v>44</v>
      </c>
      <c r="I65" s="71">
        <v>1.0</v>
      </c>
      <c r="J65" s="45">
        <v>7400000.0</v>
      </c>
      <c r="K65" s="45">
        <v>7300000.0</v>
      </c>
      <c r="L65" s="75"/>
      <c r="M65" s="73"/>
      <c r="N65" s="76"/>
      <c r="O65" s="73"/>
      <c r="P65" s="73"/>
      <c r="Q65" s="73"/>
      <c r="R65" s="73">
        <f t="shared" si="1"/>
        <v>7400000</v>
      </c>
      <c r="S65" s="77">
        <f t="shared" si="2"/>
        <v>7300000</v>
      </c>
      <c r="T65" s="78"/>
    </row>
    <row r="66" ht="14.25" hidden="1" customHeight="1">
      <c r="A66" s="34">
        <f t="shared" si="3"/>
        <v>53</v>
      </c>
      <c r="B66" s="36">
        <v>45920.0</v>
      </c>
      <c r="C66" s="36">
        <v>45920.0</v>
      </c>
      <c r="D66" s="35" t="s">
        <v>38</v>
      </c>
      <c r="E66" s="69" t="s">
        <v>75</v>
      </c>
      <c r="F66" s="72" t="s">
        <v>66</v>
      </c>
      <c r="G66" s="39" t="s">
        <v>42</v>
      </c>
      <c r="H66" s="70" t="s">
        <v>44</v>
      </c>
      <c r="I66" s="71">
        <v>1.0</v>
      </c>
      <c r="J66" s="114">
        <v>7500000.0</v>
      </c>
      <c r="K66" s="45">
        <v>7300000.0</v>
      </c>
      <c r="L66" s="75"/>
      <c r="M66" s="73"/>
      <c r="N66" s="76"/>
      <c r="O66" s="73"/>
      <c r="P66" s="73"/>
      <c r="Q66" s="73"/>
      <c r="R66" s="73">
        <f t="shared" si="1"/>
        <v>7500000</v>
      </c>
      <c r="S66" s="77">
        <f t="shared" si="2"/>
        <v>7300000</v>
      </c>
      <c r="T66" s="78"/>
    </row>
    <row r="67" ht="14.25" hidden="1" customHeight="1">
      <c r="A67" s="34">
        <f t="shared" si="3"/>
        <v>54</v>
      </c>
      <c r="B67" s="36">
        <v>45921.0</v>
      </c>
      <c r="C67" s="36">
        <v>45922.0</v>
      </c>
      <c r="D67" s="35" t="s">
        <v>38</v>
      </c>
      <c r="E67" s="69" t="s">
        <v>52</v>
      </c>
      <c r="F67" s="72" t="s">
        <v>129</v>
      </c>
      <c r="G67" s="39" t="s">
        <v>42</v>
      </c>
      <c r="H67" s="70" t="s">
        <v>44</v>
      </c>
      <c r="I67" s="71">
        <v>1.0</v>
      </c>
      <c r="J67" s="45">
        <v>7400000.0</v>
      </c>
      <c r="K67" s="45">
        <v>7300000.0</v>
      </c>
      <c r="L67" s="75">
        <v>1.0</v>
      </c>
      <c r="M67" s="73">
        <v>1000000.0</v>
      </c>
      <c r="N67" s="75">
        <v>1.0</v>
      </c>
      <c r="O67" s="73">
        <v>500000.0</v>
      </c>
      <c r="P67" s="73"/>
      <c r="Q67" s="73"/>
      <c r="R67" s="73">
        <f t="shared" si="1"/>
        <v>8900000</v>
      </c>
      <c r="S67" s="77">
        <f t="shared" si="2"/>
        <v>8800000</v>
      </c>
      <c r="T67" s="78"/>
    </row>
    <row r="68" ht="14.25" hidden="1" customHeight="1">
      <c r="A68" s="34">
        <f t="shared" si="3"/>
        <v>55</v>
      </c>
      <c r="B68" s="36">
        <v>45921.0</v>
      </c>
      <c r="C68" s="36">
        <v>45922.0</v>
      </c>
      <c r="D68" s="35" t="s">
        <v>38</v>
      </c>
      <c r="E68" s="69" t="s">
        <v>75</v>
      </c>
      <c r="F68" s="38" t="s">
        <v>50</v>
      </c>
      <c r="G68" s="39" t="s">
        <v>42</v>
      </c>
      <c r="H68" s="70" t="s">
        <v>44</v>
      </c>
      <c r="I68" s="71">
        <v>1.0</v>
      </c>
      <c r="J68" s="45">
        <v>7500000.0</v>
      </c>
      <c r="K68" s="45">
        <v>7300000.0</v>
      </c>
      <c r="L68" s="75">
        <v>1.0</v>
      </c>
      <c r="M68" s="73">
        <v>1000000.0</v>
      </c>
      <c r="N68" s="76"/>
      <c r="O68" s="73"/>
      <c r="P68" s="73"/>
      <c r="Q68" s="73"/>
      <c r="R68" s="73">
        <f t="shared" si="1"/>
        <v>8500000</v>
      </c>
      <c r="S68" s="77">
        <f t="shared" si="2"/>
        <v>8300000</v>
      </c>
      <c r="T68" s="78"/>
    </row>
    <row r="69" ht="14.25" hidden="1" customHeight="1">
      <c r="A69" s="34">
        <f t="shared" si="3"/>
        <v>56</v>
      </c>
      <c r="B69" s="36">
        <v>45921.0</v>
      </c>
      <c r="C69" s="36">
        <v>45923.0</v>
      </c>
      <c r="D69" s="35" t="s">
        <v>38</v>
      </c>
      <c r="E69" s="69" t="s">
        <v>75</v>
      </c>
      <c r="F69" s="65" t="s">
        <v>97</v>
      </c>
      <c r="G69" s="39" t="s">
        <v>42</v>
      </c>
      <c r="H69" s="70" t="s">
        <v>44</v>
      </c>
      <c r="I69" s="71">
        <v>1.0</v>
      </c>
      <c r="J69" s="45">
        <v>7500000.0</v>
      </c>
      <c r="K69" s="45">
        <v>7300000.0</v>
      </c>
      <c r="L69" s="75">
        <v>1.0</v>
      </c>
      <c r="M69" s="73">
        <v>1000000.0</v>
      </c>
      <c r="N69" s="75">
        <v>1.0</v>
      </c>
      <c r="O69" s="73">
        <v>500000.0</v>
      </c>
      <c r="P69" s="73"/>
      <c r="Q69" s="73"/>
      <c r="R69" s="73">
        <f t="shared" si="1"/>
        <v>9000000</v>
      </c>
      <c r="S69" s="77">
        <f t="shared" si="2"/>
        <v>8800000</v>
      </c>
      <c r="T69" s="78"/>
    </row>
    <row r="70" ht="14.25" hidden="1" customHeight="1">
      <c r="A70" s="34">
        <f t="shared" si="3"/>
        <v>57</v>
      </c>
      <c r="B70" s="36">
        <v>45921.0</v>
      </c>
      <c r="C70" s="36">
        <v>45922.0</v>
      </c>
      <c r="D70" s="35" t="s">
        <v>38</v>
      </c>
      <c r="E70" s="69" t="s">
        <v>63</v>
      </c>
      <c r="F70" s="65" t="s">
        <v>139</v>
      </c>
      <c r="G70" s="39" t="s">
        <v>42</v>
      </c>
      <c r="H70" s="70" t="s">
        <v>44</v>
      </c>
      <c r="I70" s="71">
        <v>1.0</v>
      </c>
      <c r="J70" s="45">
        <v>7400000.0</v>
      </c>
      <c r="K70" s="45">
        <v>7300000.0</v>
      </c>
      <c r="L70" s="75">
        <v>1.0</v>
      </c>
      <c r="M70" s="73">
        <v>1000000.0</v>
      </c>
      <c r="N70" s="76"/>
      <c r="O70" s="73"/>
      <c r="P70" s="73"/>
      <c r="Q70" s="73"/>
      <c r="R70" s="73">
        <f t="shared" si="1"/>
        <v>8400000</v>
      </c>
      <c r="S70" s="77">
        <f t="shared" si="2"/>
        <v>8300000</v>
      </c>
      <c r="T70" s="78"/>
    </row>
    <row r="71" ht="14.25" hidden="1" customHeight="1">
      <c r="A71" s="34">
        <f t="shared" si="3"/>
        <v>58</v>
      </c>
      <c r="B71" s="36">
        <v>45921.0</v>
      </c>
      <c r="C71" s="36">
        <v>45922.0</v>
      </c>
      <c r="D71" s="35" t="s">
        <v>38</v>
      </c>
      <c r="E71" s="69" t="s">
        <v>63</v>
      </c>
      <c r="F71" s="72" t="s">
        <v>138</v>
      </c>
      <c r="G71" s="39" t="s">
        <v>42</v>
      </c>
      <c r="H71" s="70" t="s">
        <v>44</v>
      </c>
      <c r="I71" s="71">
        <v>1.0</v>
      </c>
      <c r="J71" s="45">
        <v>7400000.0</v>
      </c>
      <c r="K71" s="45">
        <v>7300000.0</v>
      </c>
      <c r="L71" s="75"/>
      <c r="M71" s="73"/>
      <c r="N71" s="76"/>
      <c r="O71" s="73"/>
      <c r="P71" s="73"/>
      <c r="Q71" s="73"/>
      <c r="R71" s="73">
        <f t="shared" si="1"/>
        <v>7400000</v>
      </c>
      <c r="S71" s="77">
        <f t="shared" si="2"/>
        <v>7300000</v>
      </c>
      <c r="T71" s="78"/>
    </row>
    <row r="72" ht="14.25" hidden="1" customHeight="1">
      <c r="A72" s="34">
        <f t="shared" si="3"/>
        <v>59</v>
      </c>
      <c r="B72" s="36">
        <v>45922.0</v>
      </c>
      <c r="C72" s="36">
        <v>45923.0</v>
      </c>
      <c r="D72" s="35" t="s">
        <v>38</v>
      </c>
      <c r="E72" s="69" t="s">
        <v>63</v>
      </c>
      <c r="F72" s="38" t="s">
        <v>140</v>
      </c>
      <c r="G72" s="39" t="s">
        <v>42</v>
      </c>
      <c r="H72" s="70" t="s">
        <v>44</v>
      </c>
      <c r="I72" s="71">
        <v>1.0</v>
      </c>
      <c r="J72" s="45">
        <v>7400000.0</v>
      </c>
      <c r="K72" s="45">
        <v>7300000.0</v>
      </c>
      <c r="L72" s="75"/>
      <c r="M72" s="73"/>
      <c r="N72" s="76"/>
      <c r="O72" s="73"/>
      <c r="P72" s="73"/>
      <c r="Q72" s="73"/>
      <c r="R72" s="73">
        <f t="shared" si="1"/>
        <v>7400000</v>
      </c>
      <c r="S72" s="77">
        <f t="shared" si="2"/>
        <v>7300000</v>
      </c>
      <c r="T72" s="78"/>
    </row>
    <row r="73" ht="14.25" hidden="1" customHeight="1">
      <c r="A73" s="34">
        <f t="shared" si="3"/>
        <v>60</v>
      </c>
      <c r="B73" s="36">
        <v>45922.0</v>
      </c>
      <c r="C73" s="36">
        <v>45923.0</v>
      </c>
      <c r="D73" s="35" t="s">
        <v>38</v>
      </c>
      <c r="E73" s="69" t="s">
        <v>63</v>
      </c>
      <c r="F73" s="38" t="s">
        <v>141</v>
      </c>
      <c r="G73" s="39" t="s">
        <v>42</v>
      </c>
      <c r="H73" s="70" t="s">
        <v>44</v>
      </c>
      <c r="I73" s="71">
        <v>1.0</v>
      </c>
      <c r="J73" s="45">
        <v>7400000.0</v>
      </c>
      <c r="K73" s="45">
        <v>7300000.0</v>
      </c>
      <c r="L73" s="75"/>
      <c r="M73" s="73"/>
      <c r="N73" s="76"/>
      <c r="O73" s="73"/>
      <c r="P73" s="73"/>
      <c r="Q73" s="73"/>
      <c r="R73" s="73">
        <f t="shared" si="1"/>
        <v>7400000</v>
      </c>
      <c r="S73" s="77">
        <f t="shared" si="2"/>
        <v>7300000</v>
      </c>
      <c r="T73" s="78"/>
    </row>
    <row r="74" ht="14.25" hidden="1" customHeight="1">
      <c r="A74" s="34">
        <f t="shared" si="3"/>
        <v>61</v>
      </c>
      <c r="B74" s="36">
        <v>45922.0</v>
      </c>
      <c r="C74" s="36">
        <v>45924.0</v>
      </c>
      <c r="D74" s="35" t="s">
        <v>38</v>
      </c>
      <c r="E74" s="69" t="s">
        <v>63</v>
      </c>
      <c r="F74" s="38" t="s">
        <v>142</v>
      </c>
      <c r="G74" s="39" t="s">
        <v>42</v>
      </c>
      <c r="H74" s="70" t="s">
        <v>44</v>
      </c>
      <c r="I74" s="71">
        <v>1.0</v>
      </c>
      <c r="J74" s="45">
        <v>7400000.0</v>
      </c>
      <c r="K74" s="45">
        <v>7300000.0</v>
      </c>
      <c r="L74" s="75">
        <v>1.0</v>
      </c>
      <c r="M74" s="73">
        <v>1000000.0</v>
      </c>
      <c r="N74" s="75">
        <v>1.0</v>
      </c>
      <c r="O74" s="73">
        <v>500000.0</v>
      </c>
      <c r="P74" s="73"/>
      <c r="Q74" s="73"/>
      <c r="R74" s="73">
        <f t="shared" si="1"/>
        <v>8900000</v>
      </c>
      <c r="S74" s="77">
        <f t="shared" si="2"/>
        <v>8800000</v>
      </c>
      <c r="T74" s="78"/>
    </row>
    <row r="75" ht="14.25" hidden="1" customHeight="1">
      <c r="A75" s="34">
        <f t="shared" si="3"/>
        <v>62</v>
      </c>
      <c r="B75" s="36">
        <v>45922.0</v>
      </c>
      <c r="C75" s="36">
        <v>45923.0</v>
      </c>
      <c r="D75" s="35" t="s">
        <v>38</v>
      </c>
      <c r="E75" s="69" t="s">
        <v>63</v>
      </c>
      <c r="F75" s="38" t="s">
        <v>61</v>
      </c>
      <c r="G75" s="39" t="s">
        <v>42</v>
      </c>
      <c r="H75" s="70" t="s">
        <v>44</v>
      </c>
      <c r="I75" s="71">
        <v>1.0</v>
      </c>
      <c r="J75" s="45">
        <v>7400000.0</v>
      </c>
      <c r="K75" s="45">
        <v>7300000.0</v>
      </c>
      <c r="L75" s="75"/>
      <c r="M75" s="73"/>
      <c r="N75" s="76"/>
      <c r="O75" s="73"/>
      <c r="P75" s="73"/>
      <c r="Q75" s="73"/>
      <c r="R75" s="73">
        <f t="shared" si="1"/>
        <v>7400000</v>
      </c>
      <c r="S75" s="77">
        <f t="shared" si="2"/>
        <v>7300000</v>
      </c>
      <c r="T75" s="78"/>
    </row>
    <row r="76" ht="14.25" hidden="1" customHeight="1">
      <c r="A76" s="34">
        <f t="shared" si="3"/>
        <v>63</v>
      </c>
      <c r="B76" s="36">
        <v>45922.0</v>
      </c>
      <c r="C76" s="36">
        <v>45924.0</v>
      </c>
      <c r="D76" s="35" t="s">
        <v>38</v>
      </c>
      <c r="E76" s="69" t="s">
        <v>75</v>
      </c>
      <c r="F76" s="38" t="s">
        <v>114</v>
      </c>
      <c r="G76" s="39" t="s">
        <v>42</v>
      </c>
      <c r="H76" s="70" t="s">
        <v>44</v>
      </c>
      <c r="I76" s="71">
        <v>1.0</v>
      </c>
      <c r="J76" s="45">
        <v>7500000.0</v>
      </c>
      <c r="K76" s="45">
        <v>7300000.0</v>
      </c>
      <c r="L76" s="75">
        <v>1.0</v>
      </c>
      <c r="M76" s="73">
        <v>1000000.0</v>
      </c>
      <c r="N76" s="75">
        <v>1.0</v>
      </c>
      <c r="O76" s="73">
        <v>500000.0</v>
      </c>
      <c r="P76" s="73"/>
      <c r="Q76" s="73"/>
      <c r="R76" s="73">
        <f t="shared" si="1"/>
        <v>9000000</v>
      </c>
      <c r="S76" s="77">
        <f t="shared" si="2"/>
        <v>8800000</v>
      </c>
      <c r="T76" s="78"/>
    </row>
    <row r="77" ht="14.25" hidden="1" customHeight="1">
      <c r="A77" s="34">
        <f t="shared" si="3"/>
        <v>64</v>
      </c>
      <c r="B77" s="36">
        <v>45923.0</v>
      </c>
      <c r="C77" s="36">
        <v>45923.0</v>
      </c>
      <c r="D77" s="35" t="s">
        <v>38</v>
      </c>
      <c r="E77" s="69" t="s">
        <v>63</v>
      </c>
      <c r="F77" s="38" t="s">
        <v>143</v>
      </c>
      <c r="G77" s="39" t="s">
        <v>42</v>
      </c>
      <c r="H77" s="70" t="s">
        <v>44</v>
      </c>
      <c r="I77" s="71">
        <v>1.0</v>
      </c>
      <c r="J77" s="45">
        <v>7400000.0</v>
      </c>
      <c r="K77" s="45">
        <v>7300000.0</v>
      </c>
      <c r="L77" s="75"/>
      <c r="M77" s="73"/>
      <c r="N77" s="76"/>
      <c r="O77" s="73"/>
      <c r="P77" s="73"/>
      <c r="Q77" s="73"/>
      <c r="R77" s="73">
        <f t="shared" si="1"/>
        <v>7400000</v>
      </c>
      <c r="S77" s="77">
        <f t="shared" si="2"/>
        <v>7300000</v>
      </c>
      <c r="T77" s="78"/>
    </row>
    <row r="78" ht="14.25" hidden="1" customHeight="1">
      <c r="A78" s="34">
        <f t="shared" si="3"/>
        <v>65</v>
      </c>
      <c r="B78" s="36">
        <v>45923.0</v>
      </c>
      <c r="C78" s="36">
        <v>45924.0</v>
      </c>
      <c r="D78" s="35" t="s">
        <v>38</v>
      </c>
      <c r="E78" s="69" t="s">
        <v>75</v>
      </c>
      <c r="F78" s="65" t="s">
        <v>85</v>
      </c>
      <c r="G78" s="39" t="s">
        <v>42</v>
      </c>
      <c r="H78" s="70" t="s">
        <v>44</v>
      </c>
      <c r="I78" s="71">
        <v>1.0</v>
      </c>
      <c r="J78" s="45">
        <v>7500000.0</v>
      </c>
      <c r="K78" s="45">
        <v>7300000.0</v>
      </c>
      <c r="L78" s="75"/>
      <c r="M78" s="73"/>
      <c r="N78" s="76"/>
      <c r="O78" s="73"/>
      <c r="P78" s="73"/>
      <c r="Q78" s="73"/>
      <c r="R78" s="73">
        <f t="shared" si="1"/>
        <v>7500000</v>
      </c>
      <c r="S78" s="77">
        <f t="shared" si="2"/>
        <v>7300000</v>
      </c>
      <c r="T78" s="78"/>
    </row>
    <row r="79" ht="14.25" hidden="1" customHeight="1">
      <c r="A79" s="34">
        <f t="shared" si="3"/>
        <v>66</v>
      </c>
      <c r="B79" s="36">
        <v>45923.0</v>
      </c>
      <c r="C79" s="36">
        <v>45923.0</v>
      </c>
      <c r="D79" s="35" t="s">
        <v>38</v>
      </c>
      <c r="E79" s="69" t="s">
        <v>63</v>
      </c>
      <c r="F79" s="65" t="s">
        <v>126</v>
      </c>
      <c r="G79" s="39" t="s">
        <v>42</v>
      </c>
      <c r="H79" s="70" t="s">
        <v>44</v>
      </c>
      <c r="I79" s="71">
        <v>1.0</v>
      </c>
      <c r="J79" s="45">
        <v>7400000.0</v>
      </c>
      <c r="K79" s="45">
        <v>7300000.0</v>
      </c>
      <c r="L79" s="75"/>
      <c r="M79" s="73"/>
      <c r="N79" s="76"/>
      <c r="O79" s="73"/>
      <c r="P79" s="73"/>
      <c r="Q79" s="73"/>
      <c r="R79" s="73">
        <f t="shared" si="1"/>
        <v>7400000</v>
      </c>
      <c r="S79" s="77">
        <f t="shared" si="2"/>
        <v>7300000</v>
      </c>
      <c r="T79" s="78"/>
    </row>
    <row r="80" ht="14.25" hidden="1" customHeight="1">
      <c r="A80" s="34">
        <f t="shared" si="3"/>
        <v>67</v>
      </c>
      <c r="B80" s="36">
        <v>45924.0</v>
      </c>
      <c r="C80" s="36">
        <v>45924.0</v>
      </c>
      <c r="D80" s="35" t="s">
        <v>38</v>
      </c>
      <c r="E80" s="69" t="s">
        <v>52</v>
      </c>
      <c r="F80" s="38" t="s">
        <v>53</v>
      </c>
      <c r="G80" s="39" t="s">
        <v>42</v>
      </c>
      <c r="H80" s="70" t="s">
        <v>44</v>
      </c>
      <c r="I80" s="71">
        <v>1.0</v>
      </c>
      <c r="J80" s="45">
        <v>7400000.0</v>
      </c>
      <c r="K80" s="45">
        <v>7300000.0</v>
      </c>
      <c r="L80" s="75"/>
      <c r="M80" s="73"/>
      <c r="N80" s="76"/>
      <c r="O80" s="73"/>
      <c r="P80" s="73"/>
      <c r="Q80" s="73"/>
      <c r="R80" s="73">
        <f t="shared" si="1"/>
        <v>7400000</v>
      </c>
      <c r="S80" s="77">
        <f t="shared" si="2"/>
        <v>7300000</v>
      </c>
      <c r="T80" s="78"/>
    </row>
    <row r="81" ht="14.25" hidden="1" customHeight="1">
      <c r="A81" s="34">
        <f t="shared" si="3"/>
        <v>68</v>
      </c>
      <c r="B81" s="36">
        <v>45924.0</v>
      </c>
      <c r="C81" s="36">
        <v>45925.0</v>
      </c>
      <c r="D81" s="35" t="s">
        <v>38</v>
      </c>
      <c r="E81" s="69" t="s">
        <v>63</v>
      </c>
      <c r="F81" s="111" t="s">
        <v>62</v>
      </c>
      <c r="G81" s="39" t="s">
        <v>42</v>
      </c>
      <c r="H81" s="70" t="s">
        <v>44</v>
      </c>
      <c r="I81" s="71">
        <v>1.0</v>
      </c>
      <c r="J81" s="45">
        <v>7400000.0</v>
      </c>
      <c r="K81" s="45">
        <v>7300000.0</v>
      </c>
      <c r="L81" s="75">
        <v>1.0</v>
      </c>
      <c r="M81" s="73">
        <v>1000000.0</v>
      </c>
      <c r="N81" s="75">
        <v>1.0</v>
      </c>
      <c r="O81" s="73">
        <v>500000.0</v>
      </c>
      <c r="P81" s="73"/>
      <c r="Q81" s="73"/>
      <c r="R81" s="73">
        <f t="shared" si="1"/>
        <v>8900000</v>
      </c>
      <c r="S81" s="77">
        <f t="shared" si="2"/>
        <v>8800000</v>
      </c>
      <c r="T81" s="78"/>
    </row>
    <row r="82" ht="14.25" hidden="1" customHeight="1">
      <c r="A82" s="34">
        <f t="shared" si="3"/>
        <v>69</v>
      </c>
      <c r="B82" s="36">
        <v>45924.0</v>
      </c>
      <c r="C82" s="36">
        <v>45925.0</v>
      </c>
      <c r="D82" s="35" t="s">
        <v>38</v>
      </c>
      <c r="E82" s="69" t="s">
        <v>63</v>
      </c>
      <c r="F82" s="38" t="s">
        <v>64</v>
      </c>
      <c r="G82" s="39" t="s">
        <v>42</v>
      </c>
      <c r="H82" s="70" t="s">
        <v>44</v>
      </c>
      <c r="I82" s="71">
        <v>1.0</v>
      </c>
      <c r="J82" s="45">
        <v>7400000.0</v>
      </c>
      <c r="K82" s="45">
        <v>7300000.0</v>
      </c>
      <c r="L82" s="75"/>
      <c r="M82" s="73"/>
      <c r="N82" s="76"/>
      <c r="O82" s="73"/>
      <c r="P82" s="73"/>
      <c r="Q82" s="73"/>
      <c r="R82" s="73">
        <f t="shared" si="1"/>
        <v>7400000</v>
      </c>
      <c r="S82" s="77">
        <f t="shared" si="2"/>
        <v>7300000</v>
      </c>
      <c r="T82" s="78"/>
    </row>
    <row r="83" ht="14.25" hidden="1" customHeight="1">
      <c r="A83" s="34">
        <f t="shared" si="3"/>
        <v>70</v>
      </c>
      <c r="B83" s="36">
        <v>45925.0</v>
      </c>
      <c r="C83" s="36">
        <v>45926.0</v>
      </c>
      <c r="D83" s="35" t="s">
        <v>38</v>
      </c>
      <c r="E83" s="69" t="s">
        <v>52</v>
      </c>
      <c r="F83" s="112" t="s">
        <v>58</v>
      </c>
      <c r="G83" s="39" t="s">
        <v>42</v>
      </c>
      <c r="H83" s="70" t="s">
        <v>44</v>
      </c>
      <c r="I83" s="71">
        <v>1.0</v>
      </c>
      <c r="J83" s="45">
        <v>7400000.0</v>
      </c>
      <c r="K83" s="45">
        <v>7300000.0</v>
      </c>
      <c r="L83" s="75"/>
      <c r="M83" s="73"/>
      <c r="N83" s="76"/>
      <c r="O83" s="73"/>
      <c r="P83" s="73"/>
      <c r="Q83" s="73"/>
      <c r="R83" s="73">
        <f t="shared" si="1"/>
        <v>7400000</v>
      </c>
      <c r="S83" s="77">
        <f t="shared" si="2"/>
        <v>7300000</v>
      </c>
      <c r="T83" s="78"/>
    </row>
    <row r="84" ht="14.25" hidden="1" customHeight="1">
      <c r="A84" s="34">
        <f t="shared" si="3"/>
        <v>71</v>
      </c>
      <c r="B84" s="36">
        <v>45925.0</v>
      </c>
      <c r="C84" s="36">
        <v>45926.0</v>
      </c>
      <c r="D84" s="35" t="s">
        <v>38</v>
      </c>
      <c r="E84" s="69" t="s">
        <v>63</v>
      </c>
      <c r="F84" s="38" t="s">
        <v>64</v>
      </c>
      <c r="G84" s="39" t="s">
        <v>42</v>
      </c>
      <c r="H84" s="70" t="s">
        <v>44</v>
      </c>
      <c r="I84" s="71">
        <v>1.0</v>
      </c>
      <c r="J84" s="45">
        <v>7400000.0</v>
      </c>
      <c r="K84" s="45">
        <v>7300000.0</v>
      </c>
      <c r="L84" s="75">
        <v>1.0</v>
      </c>
      <c r="M84" s="73">
        <v>1000000.0</v>
      </c>
      <c r="N84" s="75">
        <v>1.0</v>
      </c>
      <c r="O84" s="73">
        <v>500000.0</v>
      </c>
      <c r="P84" s="73"/>
      <c r="Q84" s="73"/>
      <c r="R84" s="73">
        <f t="shared" si="1"/>
        <v>8900000</v>
      </c>
      <c r="S84" s="77">
        <f t="shared" si="2"/>
        <v>8800000</v>
      </c>
      <c r="T84" s="78"/>
    </row>
    <row r="85" ht="14.25" hidden="1" customHeight="1">
      <c r="A85" s="34">
        <f t="shared" si="3"/>
        <v>72</v>
      </c>
      <c r="B85" s="35">
        <v>45925.0</v>
      </c>
      <c r="C85" s="36">
        <v>45925.0</v>
      </c>
      <c r="D85" s="35" t="s">
        <v>38</v>
      </c>
      <c r="E85" s="72" t="s">
        <v>75</v>
      </c>
      <c r="F85" s="72" t="s">
        <v>66</v>
      </c>
      <c r="G85" s="39" t="s">
        <v>42</v>
      </c>
      <c r="H85" s="70" t="s">
        <v>44</v>
      </c>
      <c r="I85" s="71">
        <v>1.0</v>
      </c>
      <c r="J85" s="43">
        <v>7500000.0</v>
      </c>
      <c r="K85" s="45">
        <v>7300000.0</v>
      </c>
      <c r="L85" s="75"/>
      <c r="M85" s="73"/>
      <c r="N85" s="76"/>
      <c r="O85" s="73"/>
      <c r="P85" s="73"/>
      <c r="Q85" s="73"/>
      <c r="R85" s="73">
        <f t="shared" si="1"/>
        <v>7500000</v>
      </c>
      <c r="S85" s="77">
        <f t="shared" si="2"/>
        <v>7300000</v>
      </c>
      <c r="T85" s="78"/>
    </row>
    <row r="86" ht="14.25" customHeight="1">
      <c r="A86" s="116">
        <f t="shared" si="3"/>
        <v>73</v>
      </c>
      <c r="B86" s="35">
        <v>45926.0</v>
      </c>
      <c r="C86" s="36">
        <v>45926.0</v>
      </c>
      <c r="D86" s="35" t="s">
        <v>38</v>
      </c>
      <c r="E86" s="72" t="s">
        <v>49</v>
      </c>
      <c r="F86" s="38" t="s">
        <v>50</v>
      </c>
      <c r="G86" s="42" t="s">
        <v>42</v>
      </c>
      <c r="H86" s="110" t="s">
        <v>44</v>
      </c>
      <c r="I86" s="48">
        <v>1.0</v>
      </c>
      <c r="J86" s="43">
        <v>7500000.0</v>
      </c>
      <c r="K86" s="43">
        <v>7300000.0</v>
      </c>
      <c r="L86" s="75"/>
      <c r="M86" s="47"/>
      <c r="N86" s="76"/>
      <c r="O86" s="47"/>
      <c r="P86" s="47"/>
      <c r="Q86" s="47"/>
      <c r="R86" s="47">
        <f t="shared" ref="R86:R106" si="4">J86+M86+O86+P86+Q86</f>
        <v>7500000</v>
      </c>
      <c r="S86" s="47">
        <f t="shared" ref="S86:S106" si="5">K86+M86+O86+P86+Q86</f>
        <v>7300000</v>
      </c>
      <c r="T86" s="52"/>
      <c r="U86" s="53"/>
      <c r="V86" s="53"/>
      <c r="W86" s="53"/>
      <c r="X86" s="53"/>
      <c r="Y86" s="53"/>
      <c r="Z86" s="53"/>
    </row>
    <row r="87" ht="14.25" customHeight="1">
      <c r="A87" s="116">
        <f t="shared" si="3"/>
        <v>74</v>
      </c>
      <c r="B87" s="35">
        <v>45926.0</v>
      </c>
      <c r="C87" s="36">
        <v>45926.0</v>
      </c>
      <c r="D87" s="35" t="s">
        <v>38</v>
      </c>
      <c r="E87" s="65" t="s">
        <v>52</v>
      </c>
      <c r="F87" s="55" t="s">
        <v>144</v>
      </c>
      <c r="G87" s="42" t="s">
        <v>42</v>
      </c>
      <c r="H87" s="110" t="s">
        <v>44</v>
      </c>
      <c r="I87" s="48">
        <v>1.0</v>
      </c>
      <c r="J87" s="43">
        <v>7400000.0</v>
      </c>
      <c r="K87" s="43">
        <v>7300000.0</v>
      </c>
      <c r="L87" s="75"/>
      <c r="M87" s="47"/>
      <c r="N87" s="76"/>
      <c r="O87" s="47"/>
      <c r="P87" s="47"/>
      <c r="Q87" s="47"/>
      <c r="R87" s="47">
        <f t="shared" si="4"/>
        <v>7400000</v>
      </c>
      <c r="S87" s="47">
        <f t="shared" si="5"/>
        <v>7300000</v>
      </c>
      <c r="T87" s="52"/>
      <c r="U87" s="53"/>
      <c r="V87" s="53"/>
      <c r="W87" s="53"/>
      <c r="X87" s="53"/>
      <c r="Y87" s="53"/>
      <c r="Z87" s="53"/>
    </row>
    <row r="88" ht="14.25" customHeight="1">
      <c r="A88" s="116">
        <f t="shared" si="3"/>
        <v>75</v>
      </c>
      <c r="B88" s="35">
        <v>45926.0</v>
      </c>
      <c r="C88" s="117">
        <v>45926.0</v>
      </c>
      <c r="D88" s="35" t="s">
        <v>38</v>
      </c>
      <c r="E88" s="118" t="s">
        <v>63</v>
      </c>
      <c r="F88" s="58" t="s">
        <v>111</v>
      </c>
      <c r="G88" s="42" t="s">
        <v>42</v>
      </c>
      <c r="H88" s="110" t="s">
        <v>44</v>
      </c>
      <c r="I88" s="48">
        <v>1.0</v>
      </c>
      <c r="J88" s="43">
        <v>7400000.0</v>
      </c>
      <c r="K88" s="43">
        <v>7300000.0</v>
      </c>
      <c r="L88" s="75"/>
      <c r="M88" s="47"/>
      <c r="N88" s="76"/>
      <c r="O88" s="47"/>
      <c r="P88" s="47"/>
      <c r="Q88" s="47"/>
      <c r="R88" s="47">
        <f t="shared" si="4"/>
        <v>7400000</v>
      </c>
      <c r="S88" s="47">
        <f t="shared" si="5"/>
        <v>7300000</v>
      </c>
      <c r="T88" s="52"/>
      <c r="U88" s="53"/>
      <c r="V88" s="53"/>
      <c r="W88" s="53"/>
      <c r="X88" s="53"/>
      <c r="Y88" s="53"/>
      <c r="Z88" s="53"/>
    </row>
    <row r="89" ht="14.25" customHeight="1">
      <c r="A89" s="116">
        <f t="shared" si="3"/>
        <v>76</v>
      </c>
      <c r="B89" s="61">
        <v>45926.0</v>
      </c>
      <c r="C89" s="36">
        <v>45927.0</v>
      </c>
      <c r="D89" s="35" t="s">
        <v>38</v>
      </c>
      <c r="E89" s="65" t="s">
        <v>52</v>
      </c>
      <c r="F89" s="38" t="s">
        <v>145</v>
      </c>
      <c r="G89" s="42" t="s">
        <v>42</v>
      </c>
      <c r="H89" s="110" t="s">
        <v>44</v>
      </c>
      <c r="I89" s="48">
        <v>1.0</v>
      </c>
      <c r="J89" s="43">
        <v>7400000.0</v>
      </c>
      <c r="K89" s="43">
        <v>7300000.0</v>
      </c>
      <c r="L89" s="75">
        <v>1.0</v>
      </c>
      <c r="M89" s="47">
        <v>1000000.0</v>
      </c>
      <c r="N89" s="76">
        <v>1.0</v>
      </c>
      <c r="O89" s="47">
        <v>500000.0</v>
      </c>
      <c r="P89" s="47"/>
      <c r="Q89" s="47"/>
      <c r="R89" s="47">
        <f t="shared" si="4"/>
        <v>8900000</v>
      </c>
      <c r="S89" s="47">
        <f t="shared" si="5"/>
        <v>8800000</v>
      </c>
      <c r="T89" s="52"/>
      <c r="U89" s="53"/>
      <c r="V89" s="53"/>
      <c r="W89" s="53"/>
      <c r="X89" s="53"/>
      <c r="Y89" s="53"/>
      <c r="Z89" s="53"/>
    </row>
    <row r="90" ht="14.25" customHeight="1">
      <c r="A90" s="116">
        <f t="shared" si="3"/>
        <v>77</v>
      </c>
      <c r="B90" s="36">
        <v>45926.0</v>
      </c>
      <c r="C90" s="36">
        <v>45927.0</v>
      </c>
      <c r="D90" s="35" t="s">
        <v>38</v>
      </c>
      <c r="E90" s="65" t="s">
        <v>52</v>
      </c>
      <c r="F90" s="38" t="s">
        <v>109</v>
      </c>
      <c r="G90" s="42" t="s">
        <v>42</v>
      </c>
      <c r="H90" s="110" t="s">
        <v>44</v>
      </c>
      <c r="I90" s="48">
        <v>1.0</v>
      </c>
      <c r="J90" s="43">
        <v>7400000.0</v>
      </c>
      <c r="K90" s="43">
        <v>7300000.0</v>
      </c>
      <c r="L90" s="75"/>
      <c r="M90" s="47"/>
      <c r="N90" s="76"/>
      <c r="O90" s="47"/>
      <c r="P90" s="47"/>
      <c r="Q90" s="47"/>
      <c r="R90" s="47">
        <f t="shared" si="4"/>
        <v>7400000</v>
      </c>
      <c r="S90" s="47">
        <f t="shared" si="5"/>
        <v>7300000</v>
      </c>
      <c r="T90" s="52"/>
      <c r="U90" s="53"/>
      <c r="V90" s="53"/>
      <c r="W90" s="53"/>
      <c r="X90" s="53"/>
      <c r="Y90" s="53"/>
      <c r="Z90" s="53"/>
    </row>
    <row r="91" ht="14.25" customHeight="1">
      <c r="A91" s="116">
        <f t="shared" si="3"/>
        <v>78</v>
      </c>
      <c r="B91" s="36">
        <v>45927.0</v>
      </c>
      <c r="C91" s="36">
        <v>45928.0</v>
      </c>
      <c r="D91" s="35" t="s">
        <v>38</v>
      </c>
      <c r="E91" s="65" t="s">
        <v>52</v>
      </c>
      <c r="F91" s="38" t="s">
        <v>100</v>
      </c>
      <c r="G91" s="42" t="s">
        <v>42</v>
      </c>
      <c r="H91" s="110" t="s">
        <v>44</v>
      </c>
      <c r="I91" s="48">
        <v>1.0</v>
      </c>
      <c r="J91" s="43">
        <v>7400000.0</v>
      </c>
      <c r="K91" s="43">
        <v>7300000.0</v>
      </c>
      <c r="L91" s="75"/>
      <c r="M91" s="47"/>
      <c r="N91" s="76"/>
      <c r="O91" s="47"/>
      <c r="P91" s="47"/>
      <c r="Q91" s="47"/>
      <c r="R91" s="47">
        <f t="shared" si="4"/>
        <v>7400000</v>
      </c>
      <c r="S91" s="47">
        <f t="shared" si="5"/>
        <v>7300000</v>
      </c>
      <c r="T91" s="52"/>
      <c r="U91" s="53"/>
      <c r="V91" s="53"/>
      <c r="W91" s="53"/>
      <c r="X91" s="53"/>
      <c r="Y91" s="53"/>
      <c r="Z91" s="53"/>
    </row>
    <row r="92" ht="14.25" customHeight="1">
      <c r="A92" s="116">
        <f t="shared" si="3"/>
        <v>79</v>
      </c>
      <c r="B92" s="36">
        <v>45927.0</v>
      </c>
      <c r="C92" s="36">
        <v>45928.0</v>
      </c>
      <c r="D92" s="35" t="s">
        <v>38</v>
      </c>
      <c r="E92" s="72" t="s">
        <v>49</v>
      </c>
      <c r="F92" s="38" t="s">
        <v>97</v>
      </c>
      <c r="G92" s="42" t="s">
        <v>42</v>
      </c>
      <c r="H92" s="110" t="s">
        <v>146</v>
      </c>
      <c r="I92" s="48">
        <v>1.0</v>
      </c>
      <c r="J92" s="43">
        <v>6300000.0</v>
      </c>
      <c r="K92" s="43">
        <v>6300000.0</v>
      </c>
      <c r="L92" s="75"/>
      <c r="M92" s="47"/>
      <c r="N92" s="76"/>
      <c r="O92" s="47"/>
      <c r="P92" s="47"/>
      <c r="Q92" s="47"/>
      <c r="R92" s="47">
        <f t="shared" si="4"/>
        <v>6300000</v>
      </c>
      <c r="S92" s="47">
        <f t="shared" si="5"/>
        <v>6300000</v>
      </c>
      <c r="T92" s="52"/>
      <c r="U92" s="53"/>
      <c r="V92" s="53"/>
      <c r="W92" s="53"/>
      <c r="X92" s="53"/>
      <c r="Y92" s="53"/>
      <c r="Z92" s="53"/>
    </row>
    <row r="93" ht="14.25" customHeight="1">
      <c r="A93" s="116">
        <f t="shared" si="3"/>
        <v>80</v>
      </c>
      <c r="B93" s="36">
        <v>45927.0</v>
      </c>
      <c r="C93" s="36">
        <v>45927.0</v>
      </c>
      <c r="D93" s="35" t="s">
        <v>38</v>
      </c>
      <c r="E93" s="65" t="s">
        <v>147</v>
      </c>
      <c r="F93" s="65" t="s">
        <v>148</v>
      </c>
      <c r="G93" s="42" t="s">
        <v>81</v>
      </c>
      <c r="H93" s="110" t="s">
        <v>149</v>
      </c>
      <c r="I93" s="48">
        <v>1.0</v>
      </c>
      <c r="J93" s="43">
        <v>4500000.0</v>
      </c>
      <c r="K93" s="43">
        <v>4500000.0</v>
      </c>
      <c r="L93" s="75"/>
      <c r="M93" s="47"/>
      <c r="N93" s="76"/>
      <c r="O93" s="47"/>
      <c r="P93" s="47"/>
      <c r="Q93" s="47">
        <v>100000.0</v>
      </c>
      <c r="R93" s="47">
        <f t="shared" si="4"/>
        <v>4600000</v>
      </c>
      <c r="S93" s="47">
        <f t="shared" si="5"/>
        <v>4600000</v>
      </c>
      <c r="T93" s="52"/>
      <c r="U93" s="53"/>
      <c r="V93" s="53"/>
      <c r="W93" s="53"/>
      <c r="X93" s="53"/>
      <c r="Y93" s="53"/>
      <c r="Z93" s="53"/>
    </row>
    <row r="94" ht="14.25" customHeight="1">
      <c r="A94" s="116">
        <f t="shared" si="3"/>
        <v>81</v>
      </c>
      <c r="B94" s="36">
        <v>45927.0</v>
      </c>
      <c r="C94" s="36">
        <v>45927.0</v>
      </c>
      <c r="D94" s="35" t="s">
        <v>38</v>
      </c>
      <c r="E94" s="65" t="s">
        <v>147</v>
      </c>
      <c r="F94" s="65" t="s">
        <v>150</v>
      </c>
      <c r="G94" s="42" t="s">
        <v>81</v>
      </c>
      <c r="H94" s="110" t="s">
        <v>149</v>
      </c>
      <c r="I94" s="48">
        <v>1.0</v>
      </c>
      <c r="J94" s="43">
        <v>4500000.0</v>
      </c>
      <c r="K94" s="43">
        <v>4500000.0</v>
      </c>
      <c r="L94" s="75"/>
      <c r="M94" s="47"/>
      <c r="N94" s="76"/>
      <c r="O94" s="47"/>
      <c r="P94" s="47"/>
      <c r="Q94" s="47">
        <v>100000.0</v>
      </c>
      <c r="R94" s="47">
        <f t="shared" si="4"/>
        <v>4600000</v>
      </c>
      <c r="S94" s="47">
        <f t="shared" si="5"/>
        <v>4600000</v>
      </c>
      <c r="T94" s="52"/>
      <c r="U94" s="53"/>
      <c r="V94" s="53"/>
      <c r="W94" s="53"/>
      <c r="X94" s="53"/>
      <c r="Y94" s="53"/>
      <c r="Z94" s="53"/>
    </row>
    <row r="95" ht="14.25" customHeight="1">
      <c r="A95" s="116">
        <f t="shared" si="3"/>
        <v>82</v>
      </c>
      <c r="B95" s="36">
        <v>45927.0</v>
      </c>
      <c r="C95" s="36">
        <v>45927.0</v>
      </c>
      <c r="D95" s="35" t="s">
        <v>38</v>
      </c>
      <c r="E95" s="65" t="s">
        <v>147</v>
      </c>
      <c r="F95" s="65" t="s">
        <v>151</v>
      </c>
      <c r="G95" s="42" t="s">
        <v>81</v>
      </c>
      <c r="H95" s="110" t="s">
        <v>149</v>
      </c>
      <c r="I95" s="48">
        <v>1.0</v>
      </c>
      <c r="J95" s="43">
        <v>4500000.0</v>
      </c>
      <c r="K95" s="43">
        <v>4500000.0</v>
      </c>
      <c r="L95" s="75"/>
      <c r="M95" s="47"/>
      <c r="N95" s="76"/>
      <c r="O95" s="47"/>
      <c r="P95" s="47">
        <v>300000.0</v>
      </c>
      <c r="Q95" s="47">
        <v>100000.0</v>
      </c>
      <c r="R95" s="47">
        <f t="shared" si="4"/>
        <v>4900000</v>
      </c>
      <c r="S95" s="47">
        <f t="shared" si="5"/>
        <v>4900000</v>
      </c>
      <c r="T95" s="52"/>
      <c r="U95" s="53"/>
      <c r="V95" s="53"/>
      <c r="W95" s="53"/>
      <c r="X95" s="53"/>
      <c r="Y95" s="53"/>
      <c r="Z95" s="53"/>
    </row>
    <row r="96" ht="14.25" customHeight="1">
      <c r="A96" s="116">
        <f t="shared" si="3"/>
        <v>83</v>
      </c>
      <c r="B96" s="36">
        <v>45927.0</v>
      </c>
      <c r="C96" s="36">
        <v>45927.0</v>
      </c>
      <c r="D96" s="35" t="s">
        <v>38</v>
      </c>
      <c r="E96" s="65" t="s">
        <v>147</v>
      </c>
      <c r="F96" s="111" t="s">
        <v>152</v>
      </c>
      <c r="G96" s="42" t="s">
        <v>81</v>
      </c>
      <c r="H96" s="110" t="s">
        <v>149</v>
      </c>
      <c r="I96" s="48">
        <v>1.0</v>
      </c>
      <c r="J96" s="43">
        <v>4500000.0</v>
      </c>
      <c r="K96" s="43">
        <v>4500000.0</v>
      </c>
      <c r="L96" s="75"/>
      <c r="M96" s="47"/>
      <c r="N96" s="76"/>
      <c r="O96" s="47"/>
      <c r="P96" s="47"/>
      <c r="Q96" s="47">
        <v>100000.0</v>
      </c>
      <c r="R96" s="47">
        <f t="shared" si="4"/>
        <v>4600000</v>
      </c>
      <c r="S96" s="47">
        <f t="shared" si="5"/>
        <v>4600000</v>
      </c>
      <c r="T96" s="52"/>
      <c r="U96" s="53"/>
      <c r="V96" s="53"/>
      <c r="W96" s="53"/>
      <c r="X96" s="53"/>
      <c r="Y96" s="53"/>
      <c r="Z96" s="53"/>
    </row>
    <row r="97" ht="14.25" customHeight="1">
      <c r="A97" s="116">
        <f t="shared" si="3"/>
        <v>84</v>
      </c>
      <c r="B97" s="36">
        <v>45928.0</v>
      </c>
      <c r="C97" s="36">
        <v>45929.0</v>
      </c>
      <c r="D97" s="35" t="s">
        <v>38</v>
      </c>
      <c r="E97" s="72" t="s">
        <v>49</v>
      </c>
      <c r="F97" s="38" t="s">
        <v>50</v>
      </c>
      <c r="G97" s="42" t="s">
        <v>42</v>
      </c>
      <c r="H97" s="110" t="s">
        <v>44</v>
      </c>
      <c r="I97" s="48">
        <v>1.0</v>
      </c>
      <c r="J97" s="43">
        <v>7500000.0</v>
      </c>
      <c r="K97" s="43">
        <v>7300000.0</v>
      </c>
      <c r="L97" s="75"/>
      <c r="M97" s="47"/>
      <c r="N97" s="76"/>
      <c r="O97" s="47"/>
      <c r="P97" s="47"/>
      <c r="Q97" s="47"/>
      <c r="R97" s="47">
        <f t="shared" si="4"/>
        <v>7500000</v>
      </c>
      <c r="S97" s="47">
        <f t="shared" si="5"/>
        <v>7300000</v>
      </c>
      <c r="T97" s="52"/>
      <c r="U97" s="53"/>
      <c r="V97" s="53"/>
      <c r="W97" s="53"/>
      <c r="X97" s="53"/>
      <c r="Y97" s="53"/>
      <c r="Z97" s="53"/>
    </row>
    <row r="98" ht="14.25" customHeight="1">
      <c r="A98" s="116">
        <f t="shared" si="3"/>
        <v>85</v>
      </c>
      <c r="B98" s="36">
        <v>45928.0</v>
      </c>
      <c r="C98" s="36">
        <v>45929.0</v>
      </c>
      <c r="D98" s="35" t="s">
        <v>38</v>
      </c>
      <c r="E98" s="72" t="s">
        <v>63</v>
      </c>
      <c r="F98" s="38" t="s">
        <v>72</v>
      </c>
      <c r="G98" s="42" t="s">
        <v>42</v>
      </c>
      <c r="H98" s="110" t="s">
        <v>44</v>
      </c>
      <c r="I98" s="48">
        <v>1.0</v>
      </c>
      <c r="J98" s="43">
        <v>7400000.0</v>
      </c>
      <c r="K98" s="43">
        <v>7300000.0</v>
      </c>
      <c r="L98" s="75"/>
      <c r="M98" s="47"/>
      <c r="N98" s="76"/>
      <c r="O98" s="47"/>
      <c r="P98" s="47"/>
      <c r="Q98" s="47"/>
      <c r="R98" s="47">
        <f t="shared" si="4"/>
        <v>7400000</v>
      </c>
      <c r="S98" s="47">
        <f t="shared" si="5"/>
        <v>7300000</v>
      </c>
      <c r="T98" s="52"/>
      <c r="U98" s="53"/>
      <c r="V98" s="53"/>
      <c r="W98" s="53"/>
      <c r="X98" s="53"/>
      <c r="Y98" s="53"/>
      <c r="Z98" s="53"/>
    </row>
    <row r="99" ht="14.25" customHeight="1">
      <c r="A99" s="116">
        <f t="shared" si="3"/>
        <v>86</v>
      </c>
      <c r="B99" s="36">
        <v>45929.0</v>
      </c>
      <c r="C99" s="36">
        <v>45929.0</v>
      </c>
      <c r="D99" s="35" t="s">
        <v>38</v>
      </c>
      <c r="E99" s="65" t="s">
        <v>52</v>
      </c>
      <c r="F99" s="38" t="s">
        <v>53</v>
      </c>
      <c r="G99" s="42" t="s">
        <v>42</v>
      </c>
      <c r="H99" s="110" t="s">
        <v>44</v>
      </c>
      <c r="I99" s="48">
        <v>1.0</v>
      </c>
      <c r="J99" s="43">
        <v>7400000.0</v>
      </c>
      <c r="K99" s="43">
        <v>7300000.0</v>
      </c>
      <c r="L99" s="75"/>
      <c r="M99" s="47"/>
      <c r="N99" s="76"/>
      <c r="O99" s="47"/>
      <c r="P99" s="47"/>
      <c r="Q99" s="47"/>
      <c r="R99" s="47">
        <f t="shared" si="4"/>
        <v>7400000</v>
      </c>
      <c r="S99" s="47">
        <f t="shared" si="5"/>
        <v>7300000</v>
      </c>
      <c r="T99" s="52"/>
      <c r="U99" s="53"/>
      <c r="V99" s="53"/>
      <c r="W99" s="53"/>
      <c r="X99" s="53"/>
      <c r="Y99" s="53"/>
      <c r="Z99" s="53"/>
    </row>
    <row r="100" ht="14.25" customHeight="1">
      <c r="A100" s="116">
        <f t="shared" si="3"/>
        <v>87</v>
      </c>
      <c r="B100" s="36">
        <v>45929.0</v>
      </c>
      <c r="C100" s="36">
        <v>45929.0</v>
      </c>
      <c r="D100" s="35" t="s">
        <v>38</v>
      </c>
      <c r="E100" s="65" t="s">
        <v>49</v>
      </c>
      <c r="F100" s="38" t="s">
        <v>153</v>
      </c>
      <c r="G100" s="42" t="s">
        <v>42</v>
      </c>
      <c r="H100" s="110" t="s">
        <v>44</v>
      </c>
      <c r="I100" s="48">
        <v>1.0</v>
      </c>
      <c r="J100" s="43">
        <v>7500000.0</v>
      </c>
      <c r="K100" s="43">
        <v>7300000.0</v>
      </c>
      <c r="L100" s="75"/>
      <c r="M100" s="47"/>
      <c r="N100" s="76"/>
      <c r="O100" s="47"/>
      <c r="P100" s="47"/>
      <c r="Q100" s="47"/>
      <c r="R100" s="47">
        <f t="shared" si="4"/>
        <v>7500000</v>
      </c>
      <c r="S100" s="47">
        <f t="shared" si="5"/>
        <v>7300000</v>
      </c>
      <c r="T100" s="52"/>
      <c r="U100" s="53"/>
      <c r="V100" s="53"/>
      <c r="W100" s="53"/>
      <c r="X100" s="53"/>
      <c r="Y100" s="53"/>
      <c r="Z100" s="53"/>
    </row>
    <row r="101" ht="14.25" customHeight="1">
      <c r="A101" s="116">
        <f t="shared" si="3"/>
        <v>88</v>
      </c>
      <c r="B101" s="36">
        <v>45929.0</v>
      </c>
      <c r="C101" s="36">
        <v>45930.0</v>
      </c>
      <c r="D101" s="35" t="s">
        <v>38</v>
      </c>
      <c r="E101" s="65" t="s">
        <v>154</v>
      </c>
      <c r="F101" s="65" t="s">
        <v>155</v>
      </c>
      <c r="G101" s="42" t="s">
        <v>42</v>
      </c>
      <c r="H101" s="110" t="s">
        <v>56</v>
      </c>
      <c r="I101" s="48">
        <v>1.0</v>
      </c>
      <c r="J101" s="43">
        <v>6500000.0</v>
      </c>
      <c r="K101" s="43">
        <v>6300000.0</v>
      </c>
      <c r="L101" s="75"/>
      <c r="M101" s="47"/>
      <c r="N101" s="76"/>
      <c r="O101" s="47"/>
      <c r="P101" s="47"/>
      <c r="Q101" s="47"/>
      <c r="R101" s="47">
        <f t="shared" si="4"/>
        <v>6500000</v>
      </c>
      <c r="S101" s="47">
        <f t="shared" si="5"/>
        <v>6300000</v>
      </c>
      <c r="T101" s="52"/>
      <c r="U101" s="53"/>
      <c r="V101" s="53"/>
      <c r="W101" s="53"/>
      <c r="X101" s="53"/>
      <c r="Y101" s="53"/>
      <c r="Z101" s="53"/>
    </row>
    <row r="102" ht="14.25" customHeight="1">
      <c r="A102" s="116">
        <f t="shared" si="3"/>
        <v>89</v>
      </c>
      <c r="B102" s="36">
        <v>45929.0</v>
      </c>
      <c r="C102" s="36">
        <v>45930.0</v>
      </c>
      <c r="D102" s="35" t="s">
        <v>38</v>
      </c>
      <c r="E102" s="65" t="s">
        <v>63</v>
      </c>
      <c r="F102" s="65" t="s">
        <v>156</v>
      </c>
      <c r="G102" s="42" t="s">
        <v>42</v>
      </c>
      <c r="H102" s="110" t="s">
        <v>44</v>
      </c>
      <c r="I102" s="48">
        <v>1.0</v>
      </c>
      <c r="J102" s="43">
        <v>7400000.0</v>
      </c>
      <c r="K102" s="43">
        <v>7300000.0</v>
      </c>
      <c r="L102" s="75"/>
      <c r="M102" s="47"/>
      <c r="N102" s="76"/>
      <c r="O102" s="47"/>
      <c r="P102" s="47"/>
      <c r="Q102" s="47"/>
      <c r="R102" s="47">
        <f t="shared" si="4"/>
        <v>7400000</v>
      </c>
      <c r="S102" s="47">
        <f t="shared" si="5"/>
        <v>7300000</v>
      </c>
      <c r="T102" s="52"/>
      <c r="U102" s="53"/>
      <c r="V102" s="53"/>
      <c r="W102" s="53"/>
      <c r="X102" s="53"/>
      <c r="Y102" s="53"/>
      <c r="Z102" s="53"/>
    </row>
    <row r="103" ht="14.25" customHeight="1">
      <c r="A103" s="34">
        <f t="shared" si="3"/>
        <v>90</v>
      </c>
      <c r="B103" s="36">
        <v>45930.0</v>
      </c>
      <c r="C103" s="36">
        <v>45931.0</v>
      </c>
      <c r="D103" s="35" t="s">
        <v>38</v>
      </c>
      <c r="E103" s="69" t="s">
        <v>52</v>
      </c>
      <c r="F103" s="65" t="s">
        <v>144</v>
      </c>
      <c r="G103" s="39" t="s">
        <v>42</v>
      </c>
      <c r="H103" s="110" t="s">
        <v>44</v>
      </c>
      <c r="I103" s="71">
        <v>1.0</v>
      </c>
      <c r="J103" s="45">
        <v>7400000.0</v>
      </c>
      <c r="K103" s="45">
        <v>7300000.0</v>
      </c>
      <c r="L103" s="75">
        <v>1.0</v>
      </c>
      <c r="M103" s="73">
        <v>1000000.0</v>
      </c>
      <c r="N103" s="76">
        <v>1.0</v>
      </c>
      <c r="O103" s="73">
        <v>500000.0</v>
      </c>
      <c r="P103" s="73"/>
      <c r="Q103" s="73"/>
      <c r="R103" s="47">
        <f t="shared" si="4"/>
        <v>8900000</v>
      </c>
      <c r="S103" s="47">
        <f t="shared" si="5"/>
        <v>8800000</v>
      </c>
      <c r="T103" s="78"/>
    </row>
    <row r="104" ht="14.25" customHeight="1">
      <c r="A104" s="34">
        <f t="shared" si="3"/>
        <v>91</v>
      </c>
      <c r="B104" s="36">
        <v>45930.0</v>
      </c>
      <c r="C104" s="36">
        <v>45930.0</v>
      </c>
      <c r="D104" s="35" t="s">
        <v>38</v>
      </c>
      <c r="E104" s="69" t="s">
        <v>63</v>
      </c>
      <c r="F104" s="65" t="s">
        <v>126</v>
      </c>
      <c r="G104" s="39" t="s">
        <v>42</v>
      </c>
      <c r="H104" s="110" t="s">
        <v>44</v>
      </c>
      <c r="I104" s="71">
        <v>1.0</v>
      </c>
      <c r="J104" s="45">
        <v>7400000.0</v>
      </c>
      <c r="K104" s="45">
        <v>7300000.0</v>
      </c>
      <c r="L104" s="75"/>
      <c r="M104" s="73"/>
      <c r="N104" s="76"/>
      <c r="O104" s="73"/>
      <c r="P104" s="73"/>
      <c r="Q104" s="73"/>
      <c r="R104" s="47">
        <f t="shared" si="4"/>
        <v>7400000</v>
      </c>
      <c r="S104" s="47">
        <f t="shared" si="5"/>
        <v>7300000</v>
      </c>
      <c r="T104" s="78"/>
    </row>
    <row r="105" ht="14.25" customHeight="1">
      <c r="A105" s="34">
        <f t="shared" si="3"/>
        <v>92</v>
      </c>
      <c r="B105" s="36">
        <v>45930.0</v>
      </c>
      <c r="C105" s="117">
        <v>45931.0</v>
      </c>
      <c r="D105" s="35" t="s">
        <v>38</v>
      </c>
      <c r="E105" s="113" t="s">
        <v>63</v>
      </c>
      <c r="F105" s="72" t="s">
        <v>143</v>
      </c>
      <c r="G105" s="39" t="s">
        <v>42</v>
      </c>
      <c r="H105" s="110" t="s">
        <v>44</v>
      </c>
      <c r="I105" s="71">
        <v>1.0</v>
      </c>
      <c r="J105" s="45">
        <v>7400000.0</v>
      </c>
      <c r="K105" s="45">
        <v>7300000.0</v>
      </c>
      <c r="L105" s="75"/>
      <c r="M105" s="73"/>
      <c r="N105" s="76"/>
      <c r="O105" s="73"/>
      <c r="P105" s="73"/>
      <c r="Q105" s="73"/>
      <c r="R105" s="47">
        <f t="shared" si="4"/>
        <v>7400000</v>
      </c>
      <c r="S105" s="47">
        <f t="shared" si="5"/>
        <v>7300000</v>
      </c>
      <c r="T105" s="78"/>
    </row>
    <row r="106" ht="14.25" customHeight="1">
      <c r="A106" s="34">
        <f t="shared" si="3"/>
        <v>93</v>
      </c>
      <c r="B106" s="35">
        <v>45930.0</v>
      </c>
      <c r="C106" s="35">
        <v>45930.0</v>
      </c>
      <c r="D106" s="35" t="s">
        <v>38</v>
      </c>
      <c r="E106" s="69" t="s">
        <v>157</v>
      </c>
      <c r="F106" s="65" t="s">
        <v>106</v>
      </c>
      <c r="G106" s="39" t="s">
        <v>81</v>
      </c>
      <c r="H106" s="110" t="s">
        <v>149</v>
      </c>
      <c r="I106" s="71">
        <v>1.0</v>
      </c>
      <c r="J106" s="45">
        <v>4700000.0</v>
      </c>
      <c r="K106" s="45">
        <v>4500000.0</v>
      </c>
      <c r="L106" s="75"/>
      <c r="M106" s="73"/>
      <c r="N106" s="76"/>
      <c r="O106" s="73"/>
      <c r="P106" s="73">
        <v>300000.0</v>
      </c>
      <c r="Q106" s="73">
        <v>100000.0</v>
      </c>
      <c r="R106" s="47">
        <f t="shared" si="4"/>
        <v>5100000</v>
      </c>
      <c r="S106" s="47">
        <f t="shared" si="5"/>
        <v>4900000</v>
      </c>
      <c r="T106" s="78"/>
    </row>
    <row r="107" ht="14.25" hidden="1" customHeight="1">
      <c r="A107" s="34"/>
      <c r="B107" s="36"/>
      <c r="C107" s="36"/>
      <c r="D107" s="35"/>
      <c r="E107" s="72"/>
      <c r="F107" s="72"/>
      <c r="G107" s="39"/>
      <c r="H107" s="70"/>
      <c r="I107" s="71"/>
      <c r="J107" s="43"/>
      <c r="K107" s="45"/>
      <c r="L107" s="75"/>
      <c r="M107" s="73"/>
      <c r="N107" s="76"/>
      <c r="O107" s="73"/>
      <c r="P107" s="73"/>
      <c r="Q107" s="73"/>
      <c r="R107" s="73"/>
      <c r="S107" s="77"/>
      <c r="T107" s="78"/>
    </row>
    <row r="108" ht="14.25" hidden="1" customHeight="1">
      <c r="A108" s="79" t="s">
        <v>73</v>
      </c>
      <c r="B108" s="80"/>
      <c r="C108" s="80"/>
      <c r="D108" s="80"/>
      <c r="E108" s="80"/>
      <c r="F108" s="80"/>
      <c r="G108" s="80"/>
      <c r="H108" s="81"/>
      <c r="I108" s="77">
        <f t="shared" ref="I108:O108" si="6">SUM(I14:I107)</f>
        <v>93</v>
      </c>
      <c r="J108" s="77">
        <f t="shared" si="6"/>
        <v>661400000</v>
      </c>
      <c r="K108" s="77">
        <f t="shared" si="6"/>
        <v>647700000</v>
      </c>
      <c r="L108" s="77">
        <f t="shared" si="6"/>
        <v>23</v>
      </c>
      <c r="M108" s="77">
        <f t="shared" si="6"/>
        <v>23500000</v>
      </c>
      <c r="N108" s="77">
        <f t="shared" si="6"/>
        <v>12</v>
      </c>
      <c r="O108" s="77">
        <f t="shared" si="6"/>
        <v>6200000</v>
      </c>
      <c r="P108" s="77"/>
      <c r="Q108" s="77"/>
      <c r="R108" s="77">
        <f t="shared" ref="R108:S108" si="7">SUM(R14:R107)</f>
        <v>692200000</v>
      </c>
      <c r="S108" s="77">
        <f t="shared" si="7"/>
        <v>678500000</v>
      </c>
      <c r="T108" s="78"/>
    </row>
    <row r="109" ht="17.25" hidden="1" customHeight="1">
      <c r="A109" s="79" t="s">
        <v>76</v>
      </c>
      <c r="B109" s="80"/>
      <c r="C109" s="80"/>
      <c r="D109" s="80"/>
      <c r="E109" s="80"/>
      <c r="F109" s="80"/>
      <c r="G109" s="80"/>
      <c r="H109" s="81"/>
      <c r="I109" s="83"/>
      <c r="J109" s="83"/>
      <c r="K109" s="83"/>
      <c r="L109" s="85"/>
      <c r="M109" s="85"/>
      <c r="N109" s="85"/>
      <c r="O109" s="85"/>
      <c r="P109" s="85"/>
      <c r="Q109" s="85"/>
      <c r="R109" s="85">
        <f t="shared" ref="R109:S109" si="8">SUM(R14:R107)</f>
        <v>692200000</v>
      </c>
      <c r="S109" s="85">
        <f t="shared" si="8"/>
        <v>678500000</v>
      </c>
      <c r="T109" s="87"/>
    </row>
    <row r="110" ht="17.25" hidden="1" customHeight="1">
      <c r="A110" s="79" t="s">
        <v>83</v>
      </c>
      <c r="B110" s="80"/>
      <c r="C110" s="80"/>
      <c r="D110" s="80"/>
      <c r="E110" s="80"/>
      <c r="F110" s="80"/>
      <c r="G110" s="80"/>
      <c r="H110" s="88"/>
      <c r="I110" s="89"/>
      <c r="J110" s="89"/>
      <c r="K110" s="90"/>
      <c r="L110" s="85"/>
      <c r="M110" s="85"/>
      <c r="N110" s="85"/>
      <c r="O110" s="85"/>
      <c r="P110" s="85"/>
      <c r="Q110" s="85"/>
      <c r="R110" s="85"/>
      <c r="S110" s="91">
        <f>S109-R109</f>
        <v>-13700000</v>
      </c>
      <c r="T110" s="87"/>
    </row>
    <row r="111" ht="17.25" hidden="1" customHeight="1">
      <c r="A111" s="79" t="s">
        <v>86</v>
      </c>
      <c r="B111" s="80"/>
      <c r="C111" s="80"/>
      <c r="D111" s="80"/>
      <c r="E111" s="80"/>
      <c r="F111" s="80"/>
      <c r="G111" s="80"/>
      <c r="H111" s="81"/>
      <c r="I111" s="83"/>
      <c r="J111" s="83"/>
      <c r="K111" s="83"/>
      <c r="L111" s="85"/>
      <c r="M111" s="85"/>
      <c r="N111" s="85"/>
      <c r="O111" s="85"/>
      <c r="P111" s="85"/>
      <c r="Q111" s="85"/>
      <c r="R111" s="85"/>
      <c r="S111" s="85"/>
      <c r="T111" s="87"/>
    </row>
    <row r="112" ht="17.25" hidden="1" customHeight="1">
      <c r="A112" s="79" t="s">
        <v>88</v>
      </c>
      <c r="B112" s="80"/>
      <c r="C112" s="80"/>
      <c r="D112" s="80"/>
      <c r="E112" s="80"/>
      <c r="F112" s="80"/>
      <c r="G112" s="80"/>
      <c r="H112" s="81"/>
      <c r="I112" s="83"/>
      <c r="J112" s="83"/>
      <c r="K112" s="83"/>
      <c r="L112" s="85"/>
      <c r="M112" s="85"/>
      <c r="N112" s="85"/>
      <c r="O112" s="85"/>
      <c r="P112" s="85"/>
      <c r="Q112" s="85"/>
      <c r="R112" s="85"/>
      <c r="S112" s="85"/>
      <c r="T112" s="87"/>
    </row>
    <row r="113" ht="14.25" hidden="1" customHeight="1">
      <c r="A113" s="93" t="s">
        <v>89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5"/>
    </row>
    <row r="114" ht="37.5" customHeight="1">
      <c r="A114" s="96"/>
      <c r="B114" s="97"/>
      <c r="C114" s="97"/>
      <c r="D114" s="97"/>
      <c r="E114" s="97"/>
      <c r="F114" s="98"/>
      <c r="G114" s="99"/>
      <c r="H114" s="99"/>
      <c r="I114" s="100"/>
      <c r="J114" s="100"/>
      <c r="K114" s="100"/>
      <c r="L114" s="101"/>
      <c r="M114" s="101"/>
      <c r="N114" s="101"/>
      <c r="O114" s="101"/>
      <c r="P114" s="101"/>
      <c r="Q114" s="101"/>
      <c r="R114" s="101"/>
      <c r="S114" s="102"/>
      <c r="T114" s="98"/>
    </row>
    <row r="115" ht="19.5" customHeight="1">
      <c r="A115" s="103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9"/>
    </row>
    <row r="116" ht="14.25" customHeight="1">
      <c r="A116" s="104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6"/>
    </row>
    <row r="117" ht="14.25" customHeight="1"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4"/>
    </row>
    <row r="118" ht="14.25" customHeight="1"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4"/>
    </row>
    <row r="119" ht="14.25" customHeight="1"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4"/>
    </row>
    <row r="120" ht="14.25" customHeight="1"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4"/>
    </row>
    <row r="121" ht="14.25" customHeight="1"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4"/>
    </row>
    <row r="122" ht="14.25" customHeight="1"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4"/>
    </row>
    <row r="123" ht="14.25" customHeight="1"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4"/>
    </row>
    <row r="124" ht="14.25" customHeight="1"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4"/>
    </row>
    <row r="125" ht="14.25" customHeight="1"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4"/>
    </row>
    <row r="126" ht="14.25" customHeight="1"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4"/>
    </row>
    <row r="127" ht="14.25" customHeight="1"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4"/>
    </row>
    <row r="128" ht="14.25" customHeight="1"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4"/>
    </row>
    <row r="129" ht="14.25" customHeight="1"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4"/>
    </row>
    <row r="130" ht="14.25" customHeight="1"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4"/>
    </row>
    <row r="131" ht="14.25" customHeight="1"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4"/>
    </row>
    <row r="132" ht="14.25" customHeight="1"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4"/>
    </row>
    <row r="133" ht="14.25" customHeight="1"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4"/>
    </row>
    <row r="134" ht="14.25" customHeight="1"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4"/>
    </row>
    <row r="135" ht="14.25" customHeight="1"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4"/>
    </row>
    <row r="136" ht="14.25" customHeight="1"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4"/>
    </row>
    <row r="137" ht="14.25" customHeight="1"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4"/>
    </row>
    <row r="138" ht="14.25" customHeight="1"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4"/>
    </row>
    <row r="139" ht="14.25" customHeight="1"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4"/>
    </row>
    <row r="140" ht="14.25" customHeight="1"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4"/>
    </row>
    <row r="141" ht="14.25" customHeight="1"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4"/>
    </row>
    <row r="142" ht="14.25" customHeight="1"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4"/>
    </row>
    <row r="143" ht="14.25" customHeight="1"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4"/>
    </row>
    <row r="144" ht="14.25" customHeight="1"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4"/>
    </row>
    <row r="145" ht="14.25" customHeight="1"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4"/>
    </row>
    <row r="146" ht="14.25" customHeight="1"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4"/>
    </row>
    <row r="147" ht="14.25" customHeight="1"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4"/>
    </row>
    <row r="148" ht="14.25" customHeight="1"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4"/>
    </row>
    <row r="149" ht="14.25" customHeight="1"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4"/>
    </row>
    <row r="150" ht="14.25" customHeight="1"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4"/>
    </row>
    <row r="151" ht="14.25" customHeight="1"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4"/>
    </row>
    <row r="152" ht="14.25" customHeight="1"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4"/>
    </row>
    <row r="153" ht="14.25" customHeight="1"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4"/>
    </row>
    <row r="154" ht="14.25" customHeight="1"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4"/>
    </row>
    <row r="155" ht="14.25" customHeight="1"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4"/>
    </row>
    <row r="156" ht="14.25" customHeight="1"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4"/>
    </row>
    <row r="157" ht="14.25" customHeight="1"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4"/>
    </row>
    <row r="158" ht="14.25" customHeight="1"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4"/>
    </row>
    <row r="159" ht="14.25" customHeight="1"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4"/>
    </row>
    <row r="160" ht="14.25" customHeight="1"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4"/>
    </row>
    <row r="161" ht="14.25" customHeight="1"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4"/>
    </row>
    <row r="162" ht="14.25" customHeight="1"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4"/>
    </row>
    <row r="163" ht="14.25" customHeight="1"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4"/>
    </row>
    <row r="164" ht="14.25" customHeight="1"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4"/>
    </row>
    <row r="165" ht="14.25" customHeight="1"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4"/>
    </row>
    <row r="166" ht="14.25" customHeight="1"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4"/>
    </row>
    <row r="167" ht="14.25" customHeight="1"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4"/>
    </row>
    <row r="168" ht="14.25" customHeight="1"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4"/>
    </row>
    <row r="169" ht="14.25" customHeight="1"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4"/>
    </row>
    <row r="170" ht="14.25" customHeight="1"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4"/>
    </row>
    <row r="171" ht="14.25" customHeight="1"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4"/>
    </row>
    <row r="172" ht="14.25" customHeight="1"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4"/>
    </row>
    <row r="173" ht="14.25" customHeight="1"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4"/>
    </row>
    <row r="174" ht="14.25" customHeight="1"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4"/>
    </row>
    <row r="175" ht="14.25" customHeight="1"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4"/>
    </row>
    <row r="176" ht="14.25" customHeight="1"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4"/>
    </row>
    <row r="177" ht="14.25" customHeight="1"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4"/>
    </row>
    <row r="178" ht="14.25" customHeight="1"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4"/>
    </row>
    <row r="179" ht="14.25" customHeight="1"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4"/>
    </row>
    <row r="180" ht="14.25" customHeight="1"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4"/>
    </row>
    <row r="181" ht="14.25" customHeight="1"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4"/>
    </row>
    <row r="182" ht="14.25" customHeight="1"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4"/>
    </row>
    <row r="183" ht="14.25" customHeight="1"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4"/>
    </row>
    <row r="184" ht="14.25" customHeight="1"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4"/>
    </row>
    <row r="185" ht="14.25" customHeight="1"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4"/>
    </row>
    <row r="186" ht="14.25" customHeight="1"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4"/>
    </row>
    <row r="187" ht="14.25" customHeight="1"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4"/>
    </row>
    <row r="188" ht="14.25" customHeight="1"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4"/>
    </row>
    <row r="189" ht="14.25" customHeight="1"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4"/>
    </row>
    <row r="190" ht="14.25" customHeight="1"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4"/>
    </row>
    <row r="191" ht="14.25" customHeight="1"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4"/>
    </row>
    <row r="192" ht="14.25" customHeight="1"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4"/>
    </row>
    <row r="193" ht="14.25" customHeight="1"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4"/>
    </row>
    <row r="194" ht="14.25" customHeight="1"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4"/>
    </row>
    <row r="195" ht="14.25" customHeight="1"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4"/>
    </row>
    <row r="196" ht="14.25" customHeight="1"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4"/>
    </row>
    <row r="197" ht="14.25" customHeight="1"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4"/>
    </row>
    <row r="198" ht="14.25" customHeight="1"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4"/>
    </row>
    <row r="199" ht="14.25" customHeight="1"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4"/>
    </row>
    <row r="200" ht="14.25" customHeight="1"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4"/>
    </row>
    <row r="201" ht="14.25" customHeight="1"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4"/>
    </row>
    <row r="202" ht="14.25" customHeight="1"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4"/>
    </row>
    <row r="203" ht="14.25" customHeight="1"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4"/>
    </row>
    <row r="204" ht="14.25" customHeight="1"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4"/>
    </row>
    <row r="205" ht="14.25" customHeight="1"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4"/>
    </row>
    <row r="206" ht="14.25" customHeight="1"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4"/>
    </row>
    <row r="207" ht="14.25" customHeight="1"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4"/>
    </row>
    <row r="208" ht="14.25" customHeight="1"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4"/>
    </row>
    <row r="209" ht="14.25" customHeight="1"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4"/>
    </row>
    <row r="210" ht="14.25" customHeight="1"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4"/>
    </row>
    <row r="211" ht="14.25" customHeight="1"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4"/>
    </row>
    <row r="212" ht="14.25" customHeight="1"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4"/>
    </row>
    <row r="213" ht="14.25" customHeight="1"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4"/>
    </row>
    <row r="214" ht="14.25" customHeight="1"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4"/>
    </row>
    <row r="215" ht="14.25" customHeight="1"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4"/>
    </row>
    <row r="216" ht="14.25" customHeight="1"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4"/>
    </row>
    <row r="217" ht="14.25" customHeight="1"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4"/>
    </row>
    <row r="218" ht="14.25" customHeight="1"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4"/>
    </row>
    <row r="219" ht="14.25" customHeight="1"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4"/>
    </row>
    <row r="220" ht="14.25" customHeight="1"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4"/>
    </row>
    <row r="221" ht="14.25" customHeight="1"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4"/>
    </row>
    <row r="222" ht="14.25" customHeight="1"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4"/>
    </row>
    <row r="223" ht="14.25" customHeight="1"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4"/>
    </row>
    <row r="224" ht="14.25" customHeight="1"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4"/>
    </row>
    <row r="225" ht="14.25" customHeight="1"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4"/>
    </row>
    <row r="226" ht="14.25" customHeight="1"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4"/>
    </row>
    <row r="227" ht="14.25" customHeight="1"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4"/>
    </row>
    <row r="228" ht="14.25" customHeight="1"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4"/>
    </row>
    <row r="229" ht="14.25" customHeight="1"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4"/>
    </row>
    <row r="230" ht="14.25" customHeight="1"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4"/>
    </row>
    <row r="231" ht="14.25" customHeight="1"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4"/>
    </row>
    <row r="232" ht="14.25" customHeight="1"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4"/>
    </row>
    <row r="233" ht="14.25" customHeight="1"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4"/>
    </row>
    <row r="234" ht="14.25" customHeight="1"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4"/>
    </row>
    <row r="235" ht="14.25" customHeight="1"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4"/>
    </row>
    <row r="236" ht="14.25" customHeight="1"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4"/>
    </row>
    <row r="237" ht="14.25" customHeight="1"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4"/>
    </row>
    <row r="238" ht="14.25" customHeight="1"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4"/>
    </row>
    <row r="239" ht="14.25" customHeight="1"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4"/>
    </row>
    <row r="240" ht="14.25" customHeight="1"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4"/>
    </row>
    <row r="241" ht="14.25" customHeight="1"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4"/>
    </row>
    <row r="242" ht="14.25" customHeight="1"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4"/>
    </row>
    <row r="243" ht="14.25" customHeight="1"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4"/>
    </row>
    <row r="244" ht="14.25" customHeight="1"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4"/>
    </row>
    <row r="245" ht="14.25" customHeight="1"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4"/>
    </row>
    <row r="246" ht="14.25" customHeight="1"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4"/>
    </row>
    <row r="247" ht="14.25" customHeight="1"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4"/>
    </row>
    <row r="248" ht="14.25" customHeight="1"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4"/>
    </row>
    <row r="249" ht="14.25" customHeight="1"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4"/>
    </row>
    <row r="250" ht="14.25" customHeight="1"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4"/>
    </row>
    <row r="251" ht="14.25" customHeight="1"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4"/>
    </row>
    <row r="252" ht="14.25" customHeight="1"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4"/>
    </row>
    <row r="253" ht="14.25" customHeight="1"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4"/>
    </row>
    <row r="254" ht="14.25" customHeight="1"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4"/>
    </row>
    <row r="255" ht="14.25" customHeight="1"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4"/>
    </row>
    <row r="256" ht="14.25" customHeight="1"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4"/>
    </row>
    <row r="257" ht="14.25" customHeight="1"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4"/>
    </row>
    <row r="258" ht="14.25" customHeight="1"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4"/>
    </row>
    <row r="259" ht="14.25" customHeight="1"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4"/>
    </row>
    <row r="260" ht="14.25" customHeight="1"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4"/>
    </row>
    <row r="261" ht="14.25" customHeight="1"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4"/>
    </row>
    <row r="262" ht="14.25" customHeight="1"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4"/>
    </row>
    <row r="263" ht="14.25" customHeight="1"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4"/>
    </row>
    <row r="264" ht="14.25" customHeight="1"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4"/>
    </row>
    <row r="265" ht="14.25" customHeight="1"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4"/>
    </row>
    <row r="266" ht="14.25" customHeight="1"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4"/>
    </row>
    <row r="267" ht="14.25" customHeight="1"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4"/>
    </row>
    <row r="268" ht="14.25" customHeight="1"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4"/>
    </row>
    <row r="269" ht="14.25" customHeight="1"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4"/>
    </row>
    <row r="270" ht="14.25" customHeight="1"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4"/>
    </row>
    <row r="271" ht="14.25" customHeight="1"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4"/>
    </row>
    <row r="272" ht="14.25" customHeight="1"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4"/>
    </row>
    <row r="273" ht="14.25" customHeight="1"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4"/>
    </row>
    <row r="274" ht="14.25" customHeight="1"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4"/>
    </row>
    <row r="275" ht="14.25" customHeight="1"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4"/>
    </row>
    <row r="276" ht="14.25" customHeight="1"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4"/>
    </row>
    <row r="277" ht="14.25" customHeight="1"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4"/>
    </row>
    <row r="278" ht="14.25" customHeight="1"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4"/>
    </row>
    <row r="279" ht="14.25" customHeight="1"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4"/>
    </row>
    <row r="280" ht="14.25" customHeight="1"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4"/>
    </row>
    <row r="281" ht="14.25" customHeight="1"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4"/>
    </row>
    <row r="282" ht="14.25" customHeight="1"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4"/>
    </row>
    <row r="283" ht="14.25" customHeight="1"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4"/>
    </row>
    <row r="284" ht="14.25" customHeight="1"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4"/>
    </row>
    <row r="285" ht="14.25" customHeight="1"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4"/>
    </row>
    <row r="286" ht="14.25" customHeight="1"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4"/>
    </row>
    <row r="287" ht="14.25" customHeight="1"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4"/>
    </row>
    <row r="288" ht="14.25" customHeight="1"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4"/>
    </row>
    <row r="289" ht="14.25" customHeight="1"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4"/>
    </row>
    <row r="290" ht="14.25" customHeight="1"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4"/>
    </row>
    <row r="291" ht="14.25" customHeight="1"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4"/>
    </row>
    <row r="292" ht="14.25" customHeight="1"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4"/>
    </row>
    <row r="293" ht="14.25" customHeight="1"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4"/>
    </row>
    <row r="294" ht="14.25" customHeight="1"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4"/>
    </row>
    <row r="295" ht="14.25" customHeight="1"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4"/>
    </row>
    <row r="296" ht="14.25" customHeight="1"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4"/>
    </row>
    <row r="297" ht="14.25" customHeight="1"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4"/>
    </row>
    <row r="298" ht="14.25" customHeight="1"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4"/>
    </row>
    <row r="299" ht="14.25" customHeight="1"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4"/>
    </row>
    <row r="300" ht="14.25" customHeight="1"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4"/>
    </row>
    <row r="301" ht="14.25" customHeight="1"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4"/>
    </row>
    <row r="302" ht="14.25" customHeight="1"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4"/>
    </row>
    <row r="303" ht="14.25" customHeight="1"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4"/>
    </row>
    <row r="304" ht="14.25" customHeight="1"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4"/>
    </row>
    <row r="305" ht="14.25" customHeight="1"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4"/>
    </row>
    <row r="306" ht="14.25" customHeight="1"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4"/>
    </row>
    <row r="307" ht="14.25" customHeight="1"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4"/>
    </row>
    <row r="308" ht="14.25" customHeight="1"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4"/>
    </row>
    <row r="309" ht="14.25" customHeight="1"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4"/>
    </row>
    <row r="310" ht="14.25" customHeight="1"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4"/>
    </row>
    <row r="311" ht="14.25" customHeight="1"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4"/>
    </row>
    <row r="312" ht="14.25" customHeight="1"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4"/>
    </row>
    <row r="313" ht="14.25" customHeight="1"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4"/>
    </row>
    <row r="314" ht="14.25" customHeight="1"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4"/>
    </row>
    <row r="315" ht="14.25" customHeight="1"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4"/>
    </row>
    <row r="316" ht="14.25" customHeight="1"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4"/>
    </row>
    <row r="317" ht="14.25" customHeight="1"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4"/>
    </row>
    <row r="318" ht="14.25" customHeight="1"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4"/>
    </row>
    <row r="319" ht="14.25" customHeight="1"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4"/>
    </row>
    <row r="320" ht="14.25" customHeight="1"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4"/>
    </row>
    <row r="321" ht="14.25" customHeight="1"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4"/>
    </row>
    <row r="322" ht="14.25" customHeight="1"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4"/>
    </row>
    <row r="323" ht="14.25" customHeight="1"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4"/>
    </row>
    <row r="324" ht="14.25" customHeight="1"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4"/>
    </row>
    <row r="325" ht="14.25" customHeight="1"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4"/>
    </row>
    <row r="326" ht="14.25" customHeight="1"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4"/>
    </row>
    <row r="327" ht="14.25" customHeight="1"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4"/>
    </row>
    <row r="328" ht="14.25" customHeight="1"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4"/>
    </row>
    <row r="329" ht="14.25" customHeight="1"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4"/>
    </row>
    <row r="330" ht="14.25" customHeight="1"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4"/>
    </row>
    <row r="331" ht="14.25" customHeight="1"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4"/>
    </row>
    <row r="332" ht="14.25" customHeight="1"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4"/>
    </row>
    <row r="333" ht="14.25" customHeight="1"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4"/>
    </row>
    <row r="334" ht="14.25" customHeight="1"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4"/>
    </row>
    <row r="335" ht="14.25" customHeight="1"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4"/>
    </row>
    <row r="336" ht="14.25" customHeight="1"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4"/>
    </row>
    <row r="337" ht="14.25" customHeight="1"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4"/>
    </row>
    <row r="338" ht="14.25" customHeight="1"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4"/>
    </row>
    <row r="339" ht="14.25" customHeight="1"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4"/>
    </row>
    <row r="340" ht="14.25" customHeight="1"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4"/>
    </row>
    <row r="341" ht="14.25" customHeight="1"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4"/>
    </row>
    <row r="342" ht="14.25" customHeight="1"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4"/>
    </row>
    <row r="343" ht="14.25" customHeight="1"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4"/>
    </row>
    <row r="344" ht="14.25" customHeight="1"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4"/>
    </row>
    <row r="345" ht="14.25" customHeight="1"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4"/>
    </row>
    <row r="346" ht="14.25" customHeight="1"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4"/>
    </row>
    <row r="347" ht="14.25" customHeight="1"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4"/>
    </row>
    <row r="348" ht="14.25" customHeight="1"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4"/>
    </row>
    <row r="349" ht="14.25" customHeight="1"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4"/>
    </row>
    <row r="350" ht="14.25" customHeight="1"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4"/>
    </row>
    <row r="351" ht="14.25" customHeight="1"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4"/>
    </row>
    <row r="352" ht="14.25" customHeight="1"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4"/>
    </row>
    <row r="353" ht="14.25" customHeight="1"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4"/>
    </row>
    <row r="354" ht="14.25" customHeight="1"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4"/>
    </row>
    <row r="355" ht="14.25" customHeight="1"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4"/>
    </row>
    <row r="356" ht="14.25" customHeight="1"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4"/>
    </row>
    <row r="357" ht="14.25" customHeight="1"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4"/>
    </row>
    <row r="358" ht="14.25" customHeight="1"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4"/>
    </row>
    <row r="359" ht="14.25" customHeight="1"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4"/>
    </row>
    <row r="360" ht="14.25" customHeight="1"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4"/>
    </row>
    <row r="361" ht="14.25" customHeight="1"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4"/>
    </row>
    <row r="362" ht="14.25" customHeight="1"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4"/>
    </row>
    <row r="363" ht="14.25" customHeight="1"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4"/>
    </row>
    <row r="364" ht="14.25" customHeight="1"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4"/>
    </row>
    <row r="365" ht="14.25" customHeight="1"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4"/>
    </row>
    <row r="366" ht="14.25" customHeight="1"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4"/>
    </row>
    <row r="367" ht="14.25" customHeight="1"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4"/>
    </row>
    <row r="368" ht="14.25" customHeight="1"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4"/>
    </row>
    <row r="369" ht="14.25" customHeight="1"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4"/>
    </row>
    <row r="370" ht="14.25" customHeight="1"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4"/>
    </row>
    <row r="371" ht="14.25" customHeight="1"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4"/>
    </row>
    <row r="372" ht="14.25" customHeight="1"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4"/>
    </row>
    <row r="373" ht="14.25" customHeight="1"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4"/>
    </row>
    <row r="374" ht="14.25" customHeight="1"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4"/>
    </row>
    <row r="375" ht="14.25" customHeight="1"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4"/>
    </row>
    <row r="376" ht="14.25" customHeight="1"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4"/>
    </row>
    <row r="377" ht="14.25" customHeight="1"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4"/>
    </row>
    <row r="378" ht="14.25" customHeight="1"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4"/>
    </row>
    <row r="379" ht="14.25" customHeight="1"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4"/>
    </row>
    <row r="380" ht="14.25" customHeight="1"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4"/>
    </row>
    <row r="381" ht="14.25" customHeight="1"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4"/>
    </row>
    <row r="382" ht="14.25" customHeight="1"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4"/>
    </row>
    <row r="383" ht="14.25" customHeight="1"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4"/>
    </row>
    <row r="384" ht="14.25" customHeight="1"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4"/>
    </row>
    <row r="385" ht="14.25" customHeight="1"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4"/>
    </row>
    <row r="386" ht="14.25" customHeight="1"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4"/>
    </row>
    <row r="387" ht="14.25" customHeight="1"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4"/>
    </row>
    <row r="388" ht="14.25" customHeight="1"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4"/>
    </row>
    <row r="389" ht="14.25" customHeight="1"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4"/>
    </row>
    <row r="390" ht="14.25" customHeight="1"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4"/>
    </row>
    <row r="391" ht="14.25" customHeight="1"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4"/>
    </row>
    <row r="392" ht="14.25" customHeight="1"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4"/>
    </row>
    <row r="393" ht="14.25" customHeight="1"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4"/>
    </row>
    <row r="394" ht="14.25" customHeight="1"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4"/>
    </row>
    <row r="395" ht="14.25" customHeight="1"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4"/>
    </row>
    <row r="396" ht="14.25" customHeight="1"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4"/>
    </row>
    <row r="397" ht="14.25" customHeight="1"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4"/>
    </row>
    <row r="398" ht="14.25" customHeight="1"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4"/>
    </row>
    <row r="399" ht="14.25" customHeight="1"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4"/>
    </row>
    <row r="400" ht="14.25" customHeight="1"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4"/>
    </row>
    <row r="401" ht="14.25" customHeight="1"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4"/>
    </row>
    <row r="402" ht="14.25" customHeight="1"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4"/>
    </row>
    <row r="403" ht="14.25" customHeight="1"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4"/>
    </row>
    <row r="404" ht="14.25" customHeight="1"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4"/>
    </row>
    <row r="405" ht="14.25" customHeight="1"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4"/>
    </row>
    <row r="406" ht="14.25" customHeight="1"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4"/>
    </row>
    <row r="407" ht="14.25" customHeight="1"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4"/>
    </row>
    <row r="408" ht="14.25" customHeight="1"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4"/>
    </row>
    <row r="409" ht="14.25" customHeight="1"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4"/>
    </row>
    <row r="410" ht="14.25" customHeight="1"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4"/>
    </row>
    <row r="411" ht="14.25" customHeight="1"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4"/>
    </row>
    <row r="412" ht="14.25" customHeight="1"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4"/>
    </row>
    <row r="413" ht="14.25" customHeight="1"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4"/>
    </row>
    <row r="414" ht="14.25" customHeight="1"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4"/>
    </row>
    <row r="415" ht="14.25" customHeight="1"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4"/>
    </row>
    <row r="416" ht="14.25" customHeight="1"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4"/>
    </row>
    <row r="417" ht="14.25" customHeight="1"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4"/>
    </row>
    <row r="418" ht="14.25" customHeight="1"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4"/>
    </row>
    <row r="419" ht="14.25" customHeight="1"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4"/>
    </row>
    <row r="420" ht="14.25" customHeight="1"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4"/>
    </row>
    <row r="421" ht="14.25" customHeight="1"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4"/>
    </row>
    <row r="422" ht="14.25" customHeight="1"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4"/>
    </row>
    <row r="423" ht="14.25" customHeight="1"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4"/>
    </row>
    <row r="424" ht="14.25" customHeight="1"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4"/>
    </row>
    <row r="425" ht="14.25" customHeight="1"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4"/>
    </row>
    <row r="426" ht="14.25" customHeight="1"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4"/>
    </row>
    <row r="427" ht="14.25" customHeight="1"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4"/>
    </row>
    <row r="428" ht="14.25" customHeight="1"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4"/>
    </row>
    <row r="429" ht="14.25" customHeight="1"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4"/>
    </row>
    <row r="430" ht="14.25" customHeight="1"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4"/>
    </row>
    <row r="431" ht="14.25" customHeight="1"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4"/>
    </row>
    <row r="432" ht="14.25" customHeight="1"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4"/>
    </row>
    <row r="433" ht="14.25" customHeight="1"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4"/>
    </row>
    <row r="434" ht="14.25" customHeight="1"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4"/>
    </row>
    <row r="435" ht="14.25" customHeight="1"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4"/>
    </row>
    <row r="436" ht="14.25" customHeight="1"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4"/>
    </row>
    <row r="437" ht="14.25" customHeight="1"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4"/>
    </row>
    <row r="438" ht="14.25" customHeight="1"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4"/>
    </row>
    <row r="439" ht="14.25" customHeight="1"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4"/>
    </row>
    <row r="440" ht="14.25" customHeight="1"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4"/>
    </row>
    <row r="441" ht="14.25" customHeight="1"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4"/>
    </row>
    <row r="442" ht="14.25" customHeight="1"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4"/>
    </row>
    <row r="443" ht="14.25" customHeight="1"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4"/>
    </row>
    <row r="444" ht="14.25" customHeight="1"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4"/>
    </row>
    <row r="445" ht="14.25" customHeight="1"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4"/>
    </row>
    <row r="446" ht="14.25" customHeight="1"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4"/>
    </row>
    <row r="447" ht="14.25" customHeight="1"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4"/>
    </row>
    <row r="448" ht="14.25" customHeight="1"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4"/>
    </row>
    <row r="449" ht="14.25" customHeight="1"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4"/>
    </row>
    <row r="450" ht="14.25" customHeight="1"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4"/>
    </row>
    <row r="451" ht="14.25" customHeight="1"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4"/>
    </row>
    <row r="452" ht="14.25" customHeight="1"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4"/>
    </row>
    <row r="453" ht="14.25" customHeight="1"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4"/>
    </row>
    <row r="454" ht="14.25" customHeight="1"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4"/>
    </row>
    <row r="455" ht="14.25" customHeight="1"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4"/>
    </row>
    <row r="456" ht="14.25" customHeight="1"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4"/>
    </row>
    <row r="457" ht="14.25" customHeight="1"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4"/>
    </row>
    <row r="458" ht="14.25" customHeight="1"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4"/>
    </row>
    <row r="459" ht="14.25" customHeight="1"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4"/>
    </row>
    <row r="460" ht="14.25" customHeight="1"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4"/>
    </row>
    <row r="461" ht="14.25" customHeight="1"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4"/>
    </row>
    <row r="462" ht="14.25" customHeight="1"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4"/>
    </row>
    <row r="463" ht="14.25" customHeight="1"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4"/>
    </row>
    <row r="464" ht="14.25" customHeight="1"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4"/>
    </row>
    <row r="465" ht="14.25" customHeight="1"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4"/>
    </row>
    <row r="466" ht="14.25" customHeight="1"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4"/>
    </row>
    <row r="467" ht="14.25" customHeight="1"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4"/>
    </row>
    <row r="468" ht="14.25" customHeight="1"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4"/>
    </row>
    <row r="469" ht="14.25" customHeight="1"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4"/>
    </row>
    <row r="470" ht="14.25" customHeight="1"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4"/>
    </row>
    <row r="471" ht="14.25" customHeight="1"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4"/>
    </row>
    <row r="472" ht="14.25" customHeight="1"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4"/>
    </row>
    <row r="473" ht="14.25" customHeight="1"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4"/>
    </row>
    <row r="474" ht="14.25" customHeight="1"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4"/>
    </row>
    <row r="475" ht="14.25" customHeight="1"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4"/>
    </row>
    <row r="476" ht="14.25" customHeight="1"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4"/>
    </row>
    <row r="477" ht="14.25" customHeight="1"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4"/>
    </row>
    <row r="478" ht="14.25" customHeight="1"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4"/>
    </row>
    <row r="479" ht="14.25" customHeight="1"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4"/>
    </row>
    <row r="480" ht="14.25" customHeight="1"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4"/>
    </row>
    <row r="481" ht="14.25" customHeight="1"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4"/>
    </row>
    <row r="482" ht="14.25" customHeight="1"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4"/>
    </row>
    <row r="483" ht="14.25" customHeight="1"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4"/>
    </row>
    <row r="484" ht="14.25" customHeight="1"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4"/>
    </row>
    <row r="485" ht="14.25" customHeight="1"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4"/>
    </row>
    <row r="486" ht="14.25" customHeight="1"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4"/>
    </row>
    <row r="487" ht="14.25" customHeight="1"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4"/>
    </row>
    <row r="488" ht="14.25" customHeight="1"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4"/>
    </row>
    <row r="489" ht="14.25" customHeight="1"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4"/>
    </row>
    <row r="490" ht="14.25" customHeight="1"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4"/>
    </row>
    <row r="491" ht="14.25" customHeight="1"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4"/>
    </row>
    <row r="492" ht="14.25" customHeight="1"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4"/>
    </row>
    <row r="493" ht="14.25" customHeight="1"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4"/>
    </row>
    <row r="494" ht="14.25" customHeight="1"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4"/>
    </row>
    <row r="495" ht="14.25" customHeight="1"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4"/>
    </row>
    <row r="496" ht="14.25" customHeight="1"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4"/>
    </row>
    <row r="497" ht="14.25" customHeight="1"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4"/>
    </row>
    <row r="498" ht="14.25" customHeight="1"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4"/>
    </row>
    <row r="499" ht="14.25" customHeight="1"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4"/>
    </row>
    <row r="500" ht="14.25" customHeight="1"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4"/>
    </row>
    <row r="501" ht="14.25" customHeight="1"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4"/>
    </row>
    <row r="502" ht="14.25" customHeight="1"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4"/>
    </row>
    <row r="503" ht="14.25" customHeight="1"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4"/>
    </row>
    <row r="504" ht="14.25" customHeight="1"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4"/>
    </row>
    <row r="505" ht="14.25" customHeight="1"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4"/>
    </row>
    <row r="506" ht="14.25" customHeight="1"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4"/>
    </row>
    <row r="507" ht="14.25" customHeight="1"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4"/>
    </row>
    <row r="508" ht="14.25" customHeight="1"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4"/>
    </row>
    <row r="509" ht="14.25" customHeight="1"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4"/>
    </row>
    <row r="510" ht="14.25" customHeight="1"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4"/>
    </row>
    <row r="511" ht="14.25" customHeight="1"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4"/>
    </row>
    <row r="512" ht="14.25" customHeight="1"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4"/>
    </row>
    <row r="513" ht="14.25" customHeight="1"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4"/>
    </row>
    <row r="514" ht="14.25" customHeight="1"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4"/>
    </row>
    <row r="515" ht="14.25" customHeight="1"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4"/>
    </row>
    <row r="516" ht="14.25" customHeight="1"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4"/>
    </row>
    <row r="517" ht="14.25" customHeight="1"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4"/>
    </row>
    <row r="518" ht="14.25" customHeight="1"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4"/>
    </row>
    <row r="519" ht="14.25" customHeight="1"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4"/>
    </row>
    <row r="520" ht="14.25" customHeight="1"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4"/>
    </row>
    <row r="521" ht="14.25" customHeight="1"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4"/>
    </row>
    <row r="522" ht="14.25" customHeight="1"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4"/>
    </row>
    <row r="523" ht="14.25" customHeight="1"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4"/>
    </row>
    <row r="524" ht="14.25" customHeight="1"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4"/>
    </row>
    <row r="525" ht="14.25" customHeight="1"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4"/>
    </row>
    <row r="526" ht="14.25" customHeight="1"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4"/>
    </row>
    <row r="527" ht="14.25" customHeight="1"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4"/>
    </row>
    <row r="528" ht="14.25" customHeight="1"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4"/>
    </row>
    <row r="529" ht="14.25" customHeight="1"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4"/>
    </row>
    <row r="530" ht="14.25" customHeight="1"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4"/>
    </row>
    <row r="531" ht="14.25" customHeight="1"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4"/>
    </row>
    <row r="532" ht="14.25" customHeight="1"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4"/>
    </row>
    <row r="533" ht="14.25" customHeight="1"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4"/>
    </row>
    <row r="534" ht="14.25" customHeight="1"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4"/>
    </row>
    <row r="535" ht="14.25" customHeight="1"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4"/>
    </row>
    <row r="536" ht="14.25" customHeight="1"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4"/>
    </row>
    <row r="537" ht="14.25" customHeight="1"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4"/>
    </row>
    <row r="538" ht="14.25" customHeight="1"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4"/>
    </row>
    <row r="539" ht="14.25" customHeight="1"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4"/>
    </row>
    <row r="540" ht="14.25" customHeight="1"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4"/>
    </row>
    <row r="541" ht="14.25" customHeight="1"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4"/>
    </row>
    <row r="542" ht="14.25" customHeight="1"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4"/>
    </row>
    <row r="543" ht="14.25" customHeight="1"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4"/>
    </row>
    <row r="544" ht="14.25" customHeight="1"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4"/>
    </row>
    <row r="545" ht="14.25" customHeight="1"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4"/>
    </row>
    <row r="546" ht="14.25" customHeight="1"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4"/>
    </row>
    <row r="547" ht="14.25" customHeight="1"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4"/>
    </row>
    <row r="548" ht="14.25" customHeight="1"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4"/>
    </row>
    <row r="549" ht="14.25" customHeight="1"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4"/>
    </row>
    <row r="550" ht="14.25" customHeight="1"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4"/>
    </row>
    <row r="551" ht="14.25" customHeight="1"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4"/>
    </row>
    <row r="552" ht="14.25" customHeight="1"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4"/>
    </row>
    <row r="553" ht="14.25" customHeight="1"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4"/>
    </row>
    <row r="554" ht="14.25" customHeight="1"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4"/>
    </row>
    <row r="555" ht="14.25" customHeight="1"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4"/>
    </row>
    <row r="556" ht="14.25" customHeight="1"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4"/>
    </row>
    <row r="557" ht="14.25" customHeight="1"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4"/>
    </row>
    <row r="558" ht="14.25" customHeight="1"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4"/>
    </row>
    <row r="559" ht="14.25" customHeight="1"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4"/>
    </row>
    <row r="560" ht="14.25" customHeight="1"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4"/>
    </row>
    <row r="561" ht="14.25" customHeight="1"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4"/>
    </row>
    <row r="562" ht="14.25" customHeight="1"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4"/>
    </row>
    <row r="563" ht="14.25" customHeight="1"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4"/>
    </row>
    <row r="564" ht="14.25" customHeight="1"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4"/>
    </row>
    <row r="565" ht="14.25" customHeight="1"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4"/>
    </row>
    <row r="566" ht="14.25" customHeight="1"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4"/>
    </row>
    <row r="567" ht="14.25" customHeight="1"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4"/>
    </row>
    <row r="568" ht="14.25" customHeight="1"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4"/>
    </row>
    <row r="569" ht="14.25" customHeight="1"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4"/>
    </row>
    <row r="570" ht="14.25" customHeight="1"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4"/>
    </row>
    <row r="571" ht="14.25" customHeight="1"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4"/>
    </row>
    <row r="572" ht="14.25" customHeight="1"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4"/>
    </row>
    <row r="573" ht="14.25" customHeight="1"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4"/>
    </row>
    <row r="574" ht="14.25" customHeight="1"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4"/>
    </row>
    <row r="575" ht="14.25" customHeight="1"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4"/>
    </row>
    <row r="576" ht="14.25" customHeight="1"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4"/>
    </row>
    <row r="577" ht="14.25" customHeight="1"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4"/>
    </row>
    <row r="578" ht="14.25" customHeight="1"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4"/>
    </row>
    <row r="579" ht="14.25" customHeight="1"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4"/>
    </row>
    <row r="580" ht="14.25" customHeight="1"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4"/>
    </row>
    <row r="581" ht="14.25" customHeight="1"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4"/>
    </row>
    <row r="582" ht="14.25" customHeight="1"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4"/>
    </row>
    <row r="583" ht="14.25" customHeight="1"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4"/>
    </row>
    <row r="584" ht="14.25" customHeight="1"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4"/>
    </row>
    <row r="585" ht="14.25" customHeight="1"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4"/>
    </row>
    <row r="586" ht="14.25" customHeight="1"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4"/>
    </row>
    <row r="587" ht="14.25" customHeight="1"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4"/>
    </row>
    <row r="588" ht="14.25" customHeight="1"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4"/>
    </row>
    <row r="589" ht="14.25" customHeight="1"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4"/>
    </row>
    <row r="590" ht="14.25" customHeight="1"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4"/>
    </row>
    <row r="591" ht="14.25" customHeight="1"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4"/>
    </row>
    <row r="592" ht="14.25" customHeight="1"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4"/>
    </row>
    <row r="593" ht="14.25" customHeight="1"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4"/>
    </row>
    <row r="594" ht="14.25" customHeight="1"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4"/>
    </row>
    <row r="595" ht="14.25" customHeight="1"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4"/>
    </row>
    <row r="596" ht="14.25" customHeight="1"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4"/>
    </row>
    <row r="597" ht="14.25" customHeight="1"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4"/>
    </row>
    <row r="598" ht="14.25" customHeight="1"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4"/>
    </row>
    <row r="599" ht="14.25" customHeight="1"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4"/>
    </row>
    <row r="600" ht="14.25" customHeight="1"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4"/>
    </row>
    <row r="601" ht="14.25" customHeight="1"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4"/>
    </row>
    <row r="602" ht="14.25" customHeight="1"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4"/>
    </row>
    <row r="603" ht="14.25" customHeight="1"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4"/>
    </row>
    <row r="604" ht="14.25" customHeight="1"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4"/>
    </row>
    <row r="605" ht="14.25" customHeight="1"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4"/>
    </row>
    <row r="606" ht="14.25" customHeight="1"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4"/>
    </row>
    <row r="607" ht="14.25" customHeight="1"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4"/>
    </row>
    <row r="608" ht="14.25" customHeight="1"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4"/>
    </row>
    <row r="609" ht="14.25" customHeight="1"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4"/>
    </row>
    <row r="610" ht="14.25" customHeight="1"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4"/>
    </row>
    <row r="611" ht="14.25" customHeight="1"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4"/>
    </row>
    <row r="612" ht="14.25" customHeight="1"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4"/>
    </row>
    <row r="613" ht="14.25" customHeight="1"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4"/>
    </row>
    <row r="614" ht="14.25" customHeight="1"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4"/>
    </row>
    <row r="615" ht="14.25" customHeight="1"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4"/>
    </row>
    <row r="616" ht="14.25" customHeight="1"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4"/>
    </row>
    <row r="617" ht="14.25" customHeight="1"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4"/>
    </row>
    <row r="618" ht="14.25" customHeight="1"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4"/>
    </row>
    <row r="619" ht="14.25" customHeight="1"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4"/>
    </row>
    <row r="620" ht="14.25" customHeight="1"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4"/>
    </row>
    <row r="621" ht="14.25" customHeight="1"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4"/>
    </row>
    <row r="622" ht="14.25" customHeight="1"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4"/>
    </row>
    <row r="623" ht="14.25" customHeight="1"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4"/>
    </row>
    <row r="624" ht="14.25" customHeight="1"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4"/>
    </row>
    <row r="625" ht="14.25" customHeight="1"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4"/>
    </row>
    <row r="626" ht="14.25" customHeight="1"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4"/>
    </row>
    <row r="627" ht="14.25" customHeight="1"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4"/>
    </row>
    <row r="628" ht="14.25" customHeight="1"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4"/>
    </row>
    <row r="629" ht="14.25" customHeight="1"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4"/>
    </row>
    <row r="630" ht="14.25" customHeight="1"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4"/>
    </row>
    <row r="631" ht="14.25" customHeight="1"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4"/>
    </row>
    <row r="632" ht="14.25" customHeight="1"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4"/>
    </row>
    <row r="633" ht="14.25" customHeight="1"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4"/>
    </row>
    <row r="634" ht="14.25" customHeight="1"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4"/>
    </row>
    <row r="635" ht="14.25" customHeight="1"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4"/>
    </row>
    <row r="636" ht="14.25" customHeight="1"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4"/>
    </row>
    <row r="637" ht="14.25" customHeight="1"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4"/>
    </row>
    <row r="638" ht="14.25" customHeight="1"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4"/>
    </row>
    <row r="639" ht="14.25" customHeight="1"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4"/>
    </row>
    <row r="640" ht="14.25" customHeight="1"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4"/>
    </row>
    <row r="641" ht="14.25" customHeight="1"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4"/>
    </row>
    <row r="642" ht="14.25" customHeight="1"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4"/>
    </row>
    <row r="643" ht="14.25" customHeight="1"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4"/>
    </row>
    <row r="644" ht="14.25" customHeight="1"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4"/>
    </row>
    <row r="645" ht="14.25" customHeight="1"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4"/>
    </row>
    <row r="646" ht="14.25" customHeight="1"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4"/>
    </row>
    <row r="647" ht="14.25" customHeight="1"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4"/>
    </row>
    <row r="648" ht="14.25" customHeight="1"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4"/>
    </row>
    <row r="649" ht="14.25" customHeight="1"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4"/>
    </row>
    <row r="650" ht="14.25" customHeight="1"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4"/>
    </row>
    <row r="651" ht="14.25" customHeight="1"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4"/>
    </row>
    <row r="652" ht="14.25" customHeight="1"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4"/>
    </row>
    <row r="653" ht="14.25" customHeight="1"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4"/>
    </row>
    <row r="654" ht="14.25" customHeight="1"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4"/>
    </row>
    <row r="655" ht="14.25" customHeight="1"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4"/>
    </row>
    <row r="656" ht="14.25" customHeight="1"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4"/>
    </row>
    <row r="657" ht="14.25" customHeight="1"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4"/>
    </row>
    <row r="658" ht="14.25" customHeight="1"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4"/>
    </row>
    <row r="659" ht="14.25" customHeight="1"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4"/>
    </row>
    <row r="660" ht="14.25" customHeight="1"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4"/>
    </row>
    <row r="661" ht="14.25" customHeight="1"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4"/>
    </row>
    <row r="662" ht="14.25" customHeight="1"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4"/>
    </row>
    <row r="663" ht="14.25" customHeight="1"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4"/>
    </row>
    <row r="664" ht="14.25" customHeight="1"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4"/>
    </row>
    <row r="665" ht="14.25" customHeight="1"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4"/>
    </row>
    <row r="666" ht="14.25" customHeight="1"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4"/>
    </row>
    <row r="667" ht="14.25" customHeight="1"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4"/>
    </row>
    <row r="668" ht="14.25" customHeight="1"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4"/>
    </row>
    <row r="669" ht="14.25" customHeight="1"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4"/>
    </row>
    <row r="670" ht="14.25" customHeight="1"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4"/>
    </row>
    <row r="671" ht="14.25" customHeight="1"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4"/>
    </row>
    <row r="672" ht="14.25" customHeight="1"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4"/>
    </row>
    <row r="673" ht="14.25" customHeight="1"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4"/>
    </row>
    <row r="674" ht="14.25" customHeight="1"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4"/>
    </row>
    <row r="675" ht="14.25" customHeight="1"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4"/>
    </row>
    <row r="676" ht="14.25" customHeight="1"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4"/>
    </row>
    <row r="677" ht="14.25" customHeight="1"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4"/>
    </row>
    <row r="678" ht="14.25" customHeight="1"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4"/>
    </row>
    <row r="679" ht="14.25" customHeight="1"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4"/>
    </row>
    <row r="680" ht="14.25" customHeight="1"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4"/>
    </row>
    <row r="681" ht="14.25" customHeight="1"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4"/>
    </row>
    <row r="682" ht="14.25" customHeight="1"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4"/>
    </row>
    <row r="683" ht="14.25" customHeight="1"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4"/>
    </row>
    <row r="684" ht="14.25" customHeight="1"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4"/>
    </row>
    <row r="685" ht="14.25" customHeight="1"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4"/>
    </row>
    <row r="686" ht="14.25" customHeight="1"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4"/>
    </row>
    <row r="687" ht="14.25" customHeight="1"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4"/>
    </row>
    <row r="688" ht="14.25" customHeight="1"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4"/>
    </row>
    <row r="689" ht="14.25" customHeight="1"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4"/>
    </row>
    <row r="690" ht="14.25" customHeight="1"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4"/>
    </row>
    <row r="691" ht="14.25" customHeight="1"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4"/>
    </row>
    <row r="692" ht="14.25" customHeight="1"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4"/>
    </row>
    <row r="693" ht="14.25" customHeight="1"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4"/>
    </row>
    <row r="694" ht="14.25" customHeight="1"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4"/>
    </row>
    <row r="695" ht="14.25" customHeight="1"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4"/>
    </row>
    <row r="696" ht="14.25" customHeight="1"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4"/>
    </row>
    <row r="697" ht="14.25" customHeight="1"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4"/>
    </row>
    <row r="698" ht="14.25" customHeight="1"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4"/>
    </row>
    <row r="699" ht="14.25" customHeight="1"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4"/>
    </row>
    <row r="700" ht="14.25" customHeight="1"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4"/>
    </row>
    <row r="701" ht="14.25" customHeight="1"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4"/>
    </row>
    <row r="702" ht="14.25" customHeight="1"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4"/>
    </row>
    <row r="703" ht="14.25" customHeight="1"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4"/>
    </row>
    <row r="704" ht="14.25" customHeight="1"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4"/>
    </row>
    <row r="705" ht="14.25" customHeight="1"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4"/>
    </row>
    <row r="706" ht="14.25" customHeight="1"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4"/>
    </row>
    <row r="707" ht="14.25" customHeight="1"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4"/>
    </row>
    <row r="708" ht="14.25" customHeight="1"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4"/>
    </row>
    <row r="709" ht="14.25" customHeight="1"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4"/>
    </row>
    <row r="710" ht="14.25" customHeight="1"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4"/>
    </row>
    <row r="711" ht="14.25" customHeight="1"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4"/>
    </row>
    <row r="712" ht="14.25" customHeight="1"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4"/>
    </row>
    <row r="713" ht="14.25" customHeight="1"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4"/>
    </row>
    <row r="714" ht="14.25" customHeight="1"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4"/>
    </row>
    <row r="715" ht="14.25" customHeight="1"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4"/>
    </row>
    <row r="716" ht="14.25" customHeight="1"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4"/>
    </row>
    <row r="717" ht="14.25" customHeight="1"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4"/>
    </row>
    <row r="718" ht="14.25" customHeight="1"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4"/>
    </row>
    <row r="719" ht="14.25" customHeight="1"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4"/>
    </row>
    <row r="720" ht="14.25" customHeight="1"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4"/>
    </row>
    <row r="721" ht="14.25" customHeight="1"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4"/>
    </row>
    <row r="722" ht="14.25" customHeight="1"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4"/>
    </row>
    <row r="723" ht="14.25" customHeight="1"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4"/>
    </row>
    <row r="724" ht="14.25" customHeight="1"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4"/>
    </row>
    <row r="725" ht="14.25" customHeight="1"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4"/>
    </row>
    <row r="726" ht="14.25" customHeight="1"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4"/>
    </row>
    <row r="727" ht="14.25" customHeight="1"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4"/>
    </row>
    <row r="728" ht="14.25" customHeight="1"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4"/>
    </row>
    <row r="729" ht="14.25" customHeight="1"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4"/>
    </row>
    <row r="730" ht="14.25" customHeight="1"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4"/>
    </row>
    <row r="731" ht="14.25" customHeight="1"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4"/>
    </row>
    <row r="732" ht="14.25" customHeight="1"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4"/>
    </row>
    <row r="733" ht="14.25" customHeight="1"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4"/>
    </row>
    <row r="734" ht="14.25" customHeight="1"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4"/>
    </row>
    <row r="735" ht="14.25" customHeight="1"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4"/>
    </row>
    <row r="736" ht="14.25" customHeight="1"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4"/>
    </row>
    <row r="737" ht="14.25" customHeight="1"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4"/>
    </row>
    <row r="738" ht="14.25" customHeight="1"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4"/>
    </row>
    <row r="739" ht="14.25" customHeight="1"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4"/>
    </row>
    <row r="740" ht="14.25" customHeight="1"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4"/>
    </row>
    <row r="741" ht="14.25" customHeight="1"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4"/>
    </row>
    <row r="742" ht="14.25" customHeight="1"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4"/>
    </row>
    <row r="743" ht="14.25" customHeight="1"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4"/>
    </row>
    <row r="744" ht="14.25" customHeight="1"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4"/>
    </row>
    <row r="745" ht="14.25" customHeight="1"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4"/>
    </row>
    <row r="746" ht="14.25" customHeight="1"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4"/>
    </row>
    <row r="747" ht="14.25" customHeight="1"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4"/>
    </row>
    <row r="748" ht="14.25" customHeight="1"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4"/>
    </row>
    <row r="749" ht="14.25" customHeight="1"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4"/>
    </row>
    <row r="750" ht="14.25" customHeight="1"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4"/>
    </row>
    <row r="751" ht="14.25" customHeight="1"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4"/>
    </row>
    <row r="752" ht="14.25" customHeight="1"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4"/>
    </row>
    <row r="753" ht="14.25" customHeight="1"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4"/>
    </row>
    <row r="754" ht="14.25" customHeight="1"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4"/>
    </row>
    <row r="755" ht="14.25" customHeight="1"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4"/>
    </row>
    <row r="756" ht="14.25" customHeight="1"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4"/>
    </row>
    <row r="757" ht="14.25" customHeight="1"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4"/>
    </row>
    <row r="758" ht="14.25" customHeight="1"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4"/>
    </row>
    <row r="759" ht="14.25" customHeight="1"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4"/>
    </row>
    <row r="760" ht="14.25" customHeight="1"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4"/>
    </row>
    <row r="761" ht="14.25" customHeight="1"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4"/>
    </row>
    <row r="762" ht="14.25" customHeight="1"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4"/>
    </row>
    <row r="763" ht="14.25" customHeight="1"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4"/>
    </row>
    <row r="764" ht="14.25" customHeight="1"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4"/>
    </row>
    <row r="765" ht="14.25" customHeight="1"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4"/>
    </row>
    <row r="766" ht="14.25" customHeight="1"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4"/>
    </row>
    <row r="767" ht="14.25" customHeight="1"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4"/>
    </row>
    <row r="768" ht="14.25" customHeight="1"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4"/>
    </row>
    <row r="769" ht="14.25" customHeight="1"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4"/>
    </row>
    <row r="770" ht="14.25" customHeight="1"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4"/>
    </row>
    <row r="771" ht="14.25" customHeight="1"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4"/>
    </row>
    <row r="772" ht="14.25" customHeight="1"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4"/>
    </row>
    <row r="773" ht="14.25" customHeight="1"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4"/>
    </row>
    <row r="774" ht="14.25" customHeight="1"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4"/>
    </row>
    <row r="775" ht="14.25" customHeight="1"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4"/>
    </row>
    <row r="776" ht="14.25" customHeight="1"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4"/>
    </row>
    <row r="777" ht="14.25" customHeight="1"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4"/>
    </row>
    <row r="778" ht="14.25" customHeight="1"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4"/>
    </row>
    <row r="779" ht="14.25" customHeight="1"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4"/>
    </row>
    <row r="780" ht="14.25" customHeight="1"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4"/>
    </row>
    <row r="781" ht="14.25" customHeight="1"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4"/>
    </row>
    <row r="782" ht="14.25" customHeight="1"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4"/>
    </row>
    <row r="783" ht="14.25" customHeight="1"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4"/>
    </row>
    <row r="784" ht="14.25" customHeight="1"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4"/>
    </row>
    <row r="785" ht="14.25" customHeight="1"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4"/>
    </row>
    <row r="786" ht="14.25" customHeight="1"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4"/>
    </row>
    <row r="787" ht="14.25" customHeight="1"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4"/>
    </row>
    <row r="788" ht="14.25" customHeight="1"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4"/>
    </row>
    <row r="789" ht="14.25" customHeight="1"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4"/>
    </row>
    <row r="790" ht="14.25" customHeight="1"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4"/>
    </row>
    <row r="791" ht="14.25" customHeight="1"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4"/>
    </row>
    <row r="792" ht="14.25" customHeight="1"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4"/>
    </row>
    <row r="793" ht="14.25" customHeight="1"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4"/>
    </row>
    <row r="794" ht="14.25" customHeight="1"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4"/>
    </row>
    <row r="795" ht="14.25" customHeight="1"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4"/>
    </row>
    <row r="796" ht="14.25" customHeight="1"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4"/>
    </row>
    <row r="797" ht="14.25" customHeight="1"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4"/>
    </row>
    <row r="798" ht="14.25" customHeight="1"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4"/>
    </row>
    <row r="799" ht="14.25" customHeight="1"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4"/>
    </row>
    <row r="800" ht="14.25" customHeight="1"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4"/>
    </row>
    <row r="801" ht="14.25" customHeight="1"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4"/>
    </row>
    <row r="802" ht="14.25" customHeight="1"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4"/>
    </row>
    <row r="803" ht="14.25" customHeight="1"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4"/>
    </row>
    <row r="804" ht="14.25" customHeight="1"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4"/>
    </row>
    <row r="805" ht="14.25" customHeight="1"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4"/>
    </row>
    <row r="806" ht="14.25" customHeight="1"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4"/>
    </row>
    <row r="807" ht="14.25" customHeight="1"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4"/>
    </row>
    <row r="808" ht="14.25" customHeight="1"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4"/>
    </row>
    <row r="809" ht="14.25" customHeight="1"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4"/>
    </row>
    <row r="810" ht="14.25" customHeight="1"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4"/>
    </row>
    <row r="811" ht="14.25" customHeight="1"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4"/>
    </row>
    <row r="812" ht="14.25" customHeight="1"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4"/>
    </row>
    <row r="813" ht="14.25" customHeight="1"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4"/>
    </row>
    <row r="814" ht="14.25" customHeight="1"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4"/>
    </row>
    <row r="815" ht="14.25" customHeight="1"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4"/>
    </row>
    <row r="816" ht="14.25" customHeight="1"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4"/>
    </row>
    <row r="817" ht="14.25" customHeight="1"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4"/>
    </row>
    <row r="818" ht="14.25" customHeight="1"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4"/>
    </row>
    <row r="819" ht="14.25" customHeight="1"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4"/>
    </row>
    <row r="820" ht="14.25" customHeight="1"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4"/>
    </row>
    <row r="821" ht="14.25" customHeight="1"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4"/>
    </row>
    <row r="822" ht="14.25" customHeight="1"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4"/>
    </row>
    <row r="823" ht="14.25" customHeight="1"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4"/>
    </row>
    <row r="824" ht="14.25" customHeight="1"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4"/>
    </row>
    <row r="825" ht="14.25" customHeight="1"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4"/>
    </row>
    <row r="826" ht="14.25" customHeight="1"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4"/>
    </row>
    <row r="827" ht="14.25" customHeight="1"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4"/>
    </row>
    <row r="828" ht="14.25" customHeight="1"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4"/>
    </row>
    <row r="829" ht="14.25" customHeight="1"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4"/>
    </row>
    <row r="830" ht="14.25" customHeight="1"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4"/>
    </row>
    <row r="831" ht="14.25" customHeight="1"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4"/>
    </row>
    <row r="832" ht="14.25" customHeight="1"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4"/>
    </row>
    <row r="833" ht="14.25" customHeight="1"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4"/>
    </row>
    <row r="834" ht="14.25" customHeight="1"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4"/>
    </row>
    <row r="835" ht="14.25" customHeight="1"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4"/>
    </row>
    <row r="836" ht="14.25" customHeight="1"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4"/>
    </row>
    <row r="837" ht="14.25" customHeight="1"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4"/>
    </row>
    <row r="838" ht="14.25" customHeight="1"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4"/>
    </row>
    <row r="839" ht="14.25" customHeight="1"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4"/>
    </row>
    <row r="840" ht="14.25" customHeight="1"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4"/>
    </row>
    <row r="841" ht="14.25" customHeight="1"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4"/>
    </row>
    <row r="842" ht="14.25" customHeight="1"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4"/>
    </row>
    <row r="843" ht="14.25" customHeight="1"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4"/>
    </row>
    <row r="844" ht="14.25" customHeight="1"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4"/>
    </row>
    <row r="845" ht="14.25" customHeight="1"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4"/>
    </row>
    <row r="846" ht="14.25" customHeight="1"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4"/>
    </row>
    <row r="847" ht="14.25" customHeight="1"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4"/>
    </row>
    <row r="848" ht="14.25" customHeight="1"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4"/>
    </row>
    <row r="849" ht="14.25" customHeight="1"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4"/>
    </row>
    <row r="850" ht="14.25" customHeight="1"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4"/>
    </row>
    <row r="851" ht="14.25" customHeight="1"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4"/>
    </row>
    <row r="852" ht="14.25" customHeight="1"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4"/>
    </row>
    <row r="853" ht="14.25" customHeight="1"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4"/>
    </row>
    <row r="854" ht="14.25" customHeight="1"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4"/>
    </row>
    <row r="855" ht="14.25" customHeight="1"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4"/>
    </row>
    <row r="856" ht="14.25" customHeight="1"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4"/>
    </row>
    <row r="857" ht="14.25" customHeight="1"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4"/>
    </row>
    <row r="858" ht="14.25" customHeight="1"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4"/>
    </row>
    <row r="859" ht="14.25" customHeight="1"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4"/>
    </row>
    <row r="860" ht="14.25" customHeight="1"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4"/>
    </row>
    <row r="861" ht="14.25" customHeight="1"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4"/>
    </row>
    <row r="862" ht="14.25" customHeight="1"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4"/>
    </row>
    <row r="863" ht="14.25" customHeight="1"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4"/>
    </row>
    <row r="864" ht="14.25" customHeight="1"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4"/>
    </row>
    <row r="865" ht="14.25" customHeight="1"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4"/>
    </row>
    <row r="866" ht="14.25" customHeight="1"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4"/>
    </row>
    <row r="867" ht="14.25" customHeight="1"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4"/>
    </row>
    <row r="868" ht="14.25" customHeight="1"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4"/>
    </row>
    <row r="869" ht="14.25" customHeight="1"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4"/>
    </row>
    <row r="870" ht="14.25" customHeight="1"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4"/>
    </row>
    <row r="871" ht="14.25" customHeight="1"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4"/>
    </row>
    <row r="872" ht="14.25" customHeight="1"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4"/>
    </row>
    <row r="873" ht="14.25" customHeight="1"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4"/>
    </row>
    <row r="874" ht="14.25" customHeight="1"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4"/>
    </row>
    <row r="875" ht="14.25" customHeight="1"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4"/>
    </row>
    <row r="876" ht="14.25" customHeight="1"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4"/>
    </row>
    <row r="877" ht="14.25" customHeight="1"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4"/>
    </row>
    <row r="878" ht="14.25" customHeight="1"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4"/>
    </row>
    <row r="879" ht="14.25" customHeight="1"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4"/>
    </row>
    <row r="880" ht="14.25" customHeight="1"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4"/>
    </row>
    <row r="881" ht="14.25" customHeight="1"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4"/>
    </row>
    <row r="882" ht="14.25" customHeight="1"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4"/>
    </row>
    <row r="883" ht="14.25" customHeight="1"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4"/>
    </row>
    <row r="884" ht="14.25" customHeight="1"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4"/>
    </row>
    <row r="885" ht="14.25" customHeight="1"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4"/>
    </row>
    <row r="886" ht="14.25" customHeight="1"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4"/>
    </row>
    <row r="887" ht="14.25" customHeight="1"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4"/>
    </row>
    <row r="888" ht="14.25" customHeight="1"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4"/>
    </row>
    <row r="889" ht="14.25" customHeight="1"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4"/>
    </row>
    <row r="890" ht="14.25" customHeight="1"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4"/>
    </row>
    <row r="891" ht="14.25" customHeight="1"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4"/>
    </row>
    <row r="892" ht="14.25" customHeight="1"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4"/>
    </row>
    <row r="893" ht="14.25" customHeight="1"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4"/>
    </row>
    <row r="894" ht="14.25" customHeight="1"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4"/>
    </row>
    <row r="895" ht="14.25" customHeight="1"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4"/>
    </row>
    <row r="896" ht="14.25" customHeight="1"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4"/>
    </row>
    <row r="897" ht="14.25" customHeight="1"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4"/>
    </row>
    <row r="898" ht="14.25" customHeight="1"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4"/>
    </row>
    <row r="899" ht="14.25" customHeight="1"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4"/>
    </row>
    <row r="900" ht="14.25" customHeight="1"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4"/>
    </row>
    <row r="901" ht="14.25" customHeight="1"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4"/>
    </row>
    <row r="902" ht="14.25" customHeight="1"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4"/>
    </row>
    <row r="903" ht="14.25" customHeight="1"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4"/>
    </row>
    <row r="904" ht="14.25" customHeight="1"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4"/>
    </row>
    <row r="905" ht="14.25" customHeight="1"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4"/>
    </row>
    <row r="906" ht="14.25" customHeight="1"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4"/>
    </row>
    <row r="907" ht="14.25" customHeight="1"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4"/>
    </row>
    <row r="908" ht="14.25" customHeight="1"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4"/>
    </row>
    <row r="909" ht="14.25" customHeight="1"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4"/>
    </row>
    <row r="910" ht="14.25" customHeight="1"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4"/>
    </row>
    <row r="911" ht="14.25" customHeight="1"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4"/>
    </row>
    <row r="912" ht="14.25" customHeight="1"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4"/>
    </row>
    <row r="913" ht="14.25" customHeight="1"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4"/>
    </row>
    <row r="914" ht="14.25" customHeight="1"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4"/>
    </row>
    <row r="915" ht="14.25" customHeight="1"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4"/>
    </row>
    <row r="916" ht="14.25" customHeight="1"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4"/>
    </row>
    <row r="917" ht="14.25" customHeight="1"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4"/>
    </row>
    <row r="918" ht="14.25" customHeight="1"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4"/>
    </row>
    <row r="919" ht="14.25" customHeight="1"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4"/>
    </row>
    <row r="920" ht="14.25" customHeight="1"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4"/>
    </row>
    <row r="921" ht="14.25" customHeight="1"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4"/>
    </row>
    <row r="922" ht="14.25" customHeight="1"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4"/>
    </row>
    <row r="923" ht="14.25" customHeight="1"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4"/>
    </row>
    <row r="924" ht="14.25" customHeight="1"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4"/>
    </row>
    <row r="925" ht="14.25" customHeight="1"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4"/>
    </row>
    <row r="926" ht="14.25" customHeight="1"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4"/>
    </row>
    <row r="927" ht="14.25" customHeight="1"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4"/>
    </row>
    <row r="928" ht="14.25" customHeight="1"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4"/>
    </row>
    <row r="929" ht="14.25" customHeight="1"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4"/>
    </row>
    <row r="930" ht="14.25" customHeight="1"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4"/>
    </row>
    <row r="931" ht="14.25" customHeight="1"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4"/>
    </row>
    <row r="932" ht="14.25" customHeight="1"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4"/>
    </row>
    <row r="933" ht="14.25" customHeight="1"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4"/>
    </row>
    <row r="934" ht="14.25" customHeight="1"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4"/>
    </row>
    <row r="935" ht="14.25" customHeight="1"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4"/>
    </row>
    <row r="936" ht="14.25" customHeight="1"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4"/>
    </row>
    <row r="937" ht="14.25" customHeight="1"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4"/>
    </row>
    <row r="938" ht="14.25" customHeight="1"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4"/>
    </row>
    <row r="939" ht="14.25" customHeight="1"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4"/>
    </row>
    <row r="940" ht="14.25" customHeight="1"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4"/>
    </row>
    <row r="941" ht="14.25" customHeight="1"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4"/>
    </row>
    <row r="942" ht="14.25" customHeight="1"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4"/>
    </row>
    <row r="943" ht="14.25" customHeight="1"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4"/>
    </row>
    <row r="944" ht="14.25" customHeight="1"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4"/>
    </row>
    <row r="945" ht="14.25" customHeight="1"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4"/>
    </row>
    <row r="946" ht="14.25" customHeight="1"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4"/>
    </row>
    <row r="947" ht="14.25" customHeight="1"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4"/>
    </row>
    <row r="948" ht="14.25" customHeight="1"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4"/>
    </row>
    <row r="949" ht="14.25" customHeight="1"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4"/>
    </row>
    <row r="950" ht="14.25" customHeight="1"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4"/>
    </row>
    <row r="951" ht="14.25" customHeight="1"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4"/>
    </row>
    <row r="952" ht="14.25" customHeight="1"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4"/>
    </row>
    <row r="953" ht="14.25" customHeight="1"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4"/>
    </row>
    <row r="954" ht="14.25" customHeight="1"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4"/>
    </row>
    <row r="955" ht="14.25" customHeight="1"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4"/>
    </row>
    <row r="956" ht="14.25" customHeight="1"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4"/>
    </row>
    <row r="957" ht="14.25" customHeight="1"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4"/>
    </row>
    <row r="958" ht="14.25" customHeight="1"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4"/>
    </row>
    <row r="959" ht="14.25" customHeight="1"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4"/>
    </row>
    <row r="960" ht="14.25" customHeight="1"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4"/>
    </row>
    <row r="961" ht="14.25" customHeight="1"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4"/>
    </row>
    <row r="962" ht="14.25" customHeight="1"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4"/>
    </row>
    <row r="963" ht="14.25" customHeight="1"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4"/>
    </row>
    <row r="964" ht="14.25" customHeight="1"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4"/>
    </row>
    <row r="965" ht="14.25" customHeight="1"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4"/>
    </row>
    <row r="966" ht="14.25" customHeight="1"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4"/>
    </row>
    <row r="967" ht="14.25" customHeight="1"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4"/>
    </row>
    <row r="968" ht="14.25" customHeight="1"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4"/>
    </row>
    <row r="969" ht="14.25" customHeight="1"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4"/>
    </row>
    <row r="970" ht="14.25" customHeight="1"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4"/>
    </row>
    <row r="971" ht="14.25" customHeight="1"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4"/>
    </row>
    <row r="972" ht="14.25" customHeight="1"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4"/>
    </row>
    <row r="973" ht="14.25" customHeight="1"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4"/>
    </row>
    <row r="974" ht="14.25" customHeight="1"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4"/>
    </row>
    <row r="975" ht="14.25" customHeight="1"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4"/>
    </row>
    <row r="976" ht="14.25" customHeight="1"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4"/>
    </row>
    <row r="977" ht="14.25" customHeight="1"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4"/>
    </row>
    <row r="978" ht="14.25" customHeight="1"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4"/>
    </row>
    <row r="979" ht="14.25" customHeight="1"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4"/>
    </row>
    <row r="980" ht="14.25" customHeight="1"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4"/>
    </row>
    <row r="981" ht="14.25" customHeight="1"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4"/>
    </row>
    <row r="982" ht="14.25" customHeight="1"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4"/>
    </row>
    <row r="983" ht="14.25" customHeight="1"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4"/>
    </row>
    <row r="984" ht="14.25" customHeight="1"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4"/>
    </row>
    <row r="985" ht="14.25" customHeight="1"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4"/>
    </row>
    <row r="986" ht="14.25" customHeight="1"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4"/>
    </row>
    <row r="987" ht="14.25" customHeight="1"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4"/>
    </row>
    <row r="988" ht="14.25" customHeight="1"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4"/>
    </row>
    <row r="989" ht="14.25" customHeight="1"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4"/>
    </row>
    <row r="990" ht="14.25" customHeight="1"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4"/>
    </row>
    <row r="991" ht="14.25" customHeight="1"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4"/>
    </row>
    <row r="992" ht="14.25" customHeight="1"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4"/>
    </row>
    <row r="993" ht="14.25" customHeight="1"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4"/>
    </row>
    <row r="994" ht="14.25" customHeight="1"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4"/>
    </row>
    <row r="995" ht="14.25" customHeight="1"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4"/>
    </row>
    <row r="996" ht="14.25" customHeight="1"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4"/>
    </row>
    <row r="997" ht="14.25" customHeight="1"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4"/>
    </row>
    <row r="998" ht="14.25" customHeight="1"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4"/>
    </row>
    <row r="999" ht="14.25" customHeight="1"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4"/>
    </row>
    <row r="1000" ht="14.25" customHeight="1"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4"/>
    </row>
  </sheetData>
  <autoFilter ref="$A$12:$T$113">
    <filterColumn colId="1">
      <filters>
        <filter val="28-Sep"/>
        <filter val="30-Sep"/>
        <filter val="26-Sep"/>
        <filter val="27-Sep"/>
        <filter val="29-Sep"/>
      </filters>
    </filterColumn>
  </autoFilter>
  <mergeCells count="36">
    <mergeCell ref="A9:T9"/>
    <mergeCell ref="A11:T11"/>
    <mergeCell ref="A12:A13"/>
    <mergeCell ref="B12:B13"/>
    <mergeCell ref="C12:C13"/>
    <mergeCell ref="D12:D13"/>
    <mergeCell ref="E12:E13"/>
    <mergeCell ref="T12:T13"/>
    <mergeCell ref="F12:F13"/>
    <mergeCell ref="G12:G13"/>
    <mergeCell ref="A108:H108"/>
    <mergeCell ref="A109:H109"/>
    <mergeCell ref="A110:H110"/>
    <mergeCell ref="A111:H111"/>
    <mergeCell ref="A113:T113"/>
    <mergeCell ref="A2:T2"/>
    <mergeCell ref="A3:T3"/>
    <mergeCell ref="A4:S4"/>
    <mergeCell ref="A5:T5"/>
    <mergeCell ref="A6:T6"/>
    <mergeCell ref="A7:T7"/>
    <mergeCell ref="A8:T8"/>
    <mergeCell ref="H12:H13"/>
    <mergeCell ref="I12:I13"/>
    <mergeCell ref="J12:J13"/>
    <mergeCell ref="K12:K13"/>
    <mergeCell ref="L12:L13"/>
    <mergeCell ref="M12:M13"/>
    <mergeCell ref="N12:N13"/>
    <mergeCell ref="O12:O13"/>
    <mergeCell ref="R12:R13"/>
    <mergeCell ref="S12:S13"/>
    <mergeCell ref="A112:H112"/>
    <mergeCell ref="A114:F114"/>
    <mergeCell ref="S114:T114"/>
    <mergeCell ref="A115:T116"/>
  </mergeCells>
  <printOptions/>
  <pageMargins bottom="0.29" footer="0.0" header="0.0" left="0.39" right="0.25" top="0.36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71"/>
    <col customWidth="1" min="3" max="3" width="11.43"/>
    <col customWidth="1" hidden="1" min="4" max="4" width="14.71"/>
    <col customWidth="1" min="5" max="5" width="17.29"/>
    <col customWidth="1" min="6" max="6" width="12.86"/>
    <col customWidth="1" min="7" max="7" width="11.14"/>
    <col customWidth="1" min="8" max="8" width="27.57"/>
    <col customWidth="1" min="9" max="9" width="9.71"/>
    <col customWidth="1" min="10" max="10" width="14.43"/>
    <col customWidth="1" min="11" max="11" width="14.29"/>
    <col customWidth="1" min="12" max="12" width="7.29"/>
    <col customWidth="1" min="13" max="13" width="12.43"/>
    <col customWidth="1" min="14" max="17" width="11.14"/>
    <col customWidth="1" min="18" max="18" width="16.71"/>
    <col customWidth="1" min="19" max="19" width="15.86"/>
    <col customWidth="1" min="20" max="20" width="9.71"/>
    <col customWidth="1" min="21" max="21" width="8.71"/>
    <col customWidth="1" min="22" max="22" width="20.0"/>
    <col customWidth="1" min="23" max="23" width="22.86"/>
    <col customWidth="1" min="24" max="26" width="8.71"/>
  </cols>
  <sheetData>
    <row r="1" ht="14.25" customHeight="1"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4"/>
    </row>
    <row r="2" ht="14.2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ht="17.2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ht="14.25" customHeight="1">
      <c r="A6" s="11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ht="14.25" customHeight="1">
      <c r="A7" s="11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ht="14.25" customHeight="1">
      <c r="A8" s="11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ht="14.25" customHeight="1">
      <c r="A9" s="11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ht="14.25" customHeight="1">
      <c r="A10" s="11"/>
      <c r="B10" s="12"/>
      <c r="C10" s="12"/>
      <c r="D10" s="12"/>
      <c r="E10" s="12"/>
      <c r="F10" s="12"/>
      <c r="G10" s="12"/>
      <c r="H10" s="12"/>
      <c r="I10" s="13"/>
      <c r="J10" s="13"/>
      <c r="K10" s="13"/>
      <c r="L10" s="15"/>
      <c r="M10" s="15"/>
      <c r="N10" s="15"/>
      <c r="O10" s="15"/>
      <c r="P10" s="15"/>
      <c r="Q10" s="15"/>
      <c r="R10" s="15"/>
      <c r="S10" s="15"/>
      <c r="T10" s="16"/>
    </row>
    <row r="11" ht="18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ht="29.25" customHeight="1">
      <c r="A12" s="20" t="s">
        <v>12</v>
      </c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  <c r="G12" s="21" t="s">
        <v>18</v>
      </c>
      <c r="H12" s="21" t="s">
        <v>19</v>
      </c>
      <c r="I12" s="22" t="s">
        <v>20</v>
      </c>
      <c r="J12" s="22" t="s">
        <v>21</v>
      </c>
      <c r="K12" s="22" t="s">
        <v>22</v>
      </c>
      <c r="L12" s="23" t="s">
        <v>24</v>
      </c>
      <c r="M12" s="23" t="s">
        <v>25</v>
      </c>
      <c r="N12" s="23" t="s">
        <v>26</v>
      </c>
      <c r="O12" s="23" t="s">
        <v>28</v>
      </c>
      <c r="P12" s="25" t="s">
        <v>29</v>
      </c>
      <c r="Q12" s="26"/>
      <c r="R12" s="23" t="s">
        <v>32</v>
      </c>
      <c r="S12" s="23" t="s">
        <v>33</v>
      </c>
      <c r="T12" s="27" t="s">
        <v>34</v>
      </c>
    </row>
    <row r="13" ht="27.0" customHeight="1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 t="s">
        <v>35</v>
      </c>
      <c r="R13" s="30"/>
      <c r="S13" s="30"/>
      <c r="T13" s="33"/>
    </row>
    <row r="14" ht="14.25" customHeight="1">
      <c r="A14" s="42">
        <v>1.0</v>
      </c>
      <c r="B14" s="44">
        <v>45931.0</v>
      </c>
      <c r="C14" s="35">
        <v>45932.0</v>
      </c>
      <c r="D14" s="37" t="s">
        <v>38</v>
      </c>
      <c r="E14" s="37" t="s">
        <v>49</v>
      </c>
      <c r="F14" s="37" t="s">
        <v>50</v>
      </c>
      <c r="G14" s="42" t="s">
        <v>42</v>
      </c>
      <c r="H14" s="37" t="s">
        <v>51</v>
      </c>
      <c r="I14" s="48">
        <v>1.0</v>
      </c>
      <c r="J14" s="43">
        <v>7500000.0</v>
      </c>
      <c r="K14" s="43">
        <v>7300000.0</v>
      </c>
      <c r="L14" s="46"/>
      <c r="M14" s="47"/>
      <c r="N14" s="46"/>
      <c r="O14" s="47"/>
      <c r="P14" s="47"/>
      <c r="Q14" s="47"/>
      <c r="R14" s="47">
        <f t="shared" ref="R14:R45" si="1">J14+M14+O14+P14+Q14</f>
        <v>7500000</v>
      </c>
      <c r="S14" s="47">
        <f t="shared" ref="S14:S45" si="2">K14+M14+O14+P14+Q14</f>
        <v>7300000</v>
      </c>
      <c r="T14" s="52"/>
      <c r="U14" s="53"/>
      <c r="V14" s="54"/>
      <c r="W14" s="54"/>
      <c r="X14" s="53"/>
      <c r="Y14" s="53"/>
      <c r="Z14" s="53"/>
    </row>
    <row r="15" ht="14.25" customHeight="1">
      <c r="A15" s="42">
        <f t="shared" ref="A15:A48" si="3">A14+1</f>
        <v>2</v>
      </c>
      <c r="B15" s="44">
        <v>45931.0</v>
      </c>
      <c r="C15" s="35">
        <v>45931.0</v>
      </c>
      <c r="D15" s="37" t="s">
        <v>38</v>
      </c>
      <c r="E15" s="37" t="s">
        <v>52</v>
      </c>
      <c r="F15" s="37" t="s">
        <v>53</v>
      </c>
      <c r="G15" s="42" t="s">
        <v>42</v>
      </c>
      <c r="H15" s="37" t="s">
        <v>51</v>
      </c>
      <c r="I15" s="48">
        <v>1.0</v>
      </c>
      <c r="J15" s="43">
        <v>7400000.0</v>
      </c>
      <c r="K15" s="43">
        <v>7300000.0</v>
      </c>
      <c r="L15" s="57"/>
      <c r="M15" s="47"/>
      <c r="N15" s="57"/>
      <c r="O15" s="47"/>
      <c r="P15" s="47"/>
      <c r="Q15" s="47"/>
      <c r="R15" s="47">
        <f t="shared" si="1"/>
        <v>7400000</v>
      </c>
      <c r="S15" s="47">
        <f t="shared" si="2"/>
        <v>7300000</v>
      </c>
      <c r="T15" s="52"/>
      <c r="U15" s="53"/>
      <c r="V15" s="54"/>
      <c r="W15" s="54"/>
      <c r="X15" s="53"/>
      <c r="Y15" s="53"/>
      <c r="Z15" s="53"/>
    </row>
    <row r="16" ht="14.25" customHeight="1">
      <c r="A16" s="42">
        <f t="shared" si="3"/>
        <v>3</v>
      </c>
      <c r="B16" s="44">
        <v>45931.0</v>
      </c>
      <c r="C16" s="35">
        <v>45932.0</v>
      </c>
      <c r="D16" s="37" t="s">
        <v>38</v>
      </c>
      <c r="E16" s="37" t="s">
        <v>49</v>
      </c>
      <c r="F16" s="37" t="s">
        <v>55</v>
      </c>
      <c r="G16" s="42" t="s">
        <v>42</v>
      </c>
      <c r="H16" s="37" t="s">
        <v>51</v>
      </c>
      <c r="I16" s="48">
        <v>1.0</v>
      </c>
      <c r="J16" s="43">
        <v>7500000.0</v>
      </c>
      <c r="K16" s="43">
        <v>7300000.0</v>
      </c>
      <c r="L16" s="57"/>
      <c r="M16" s="47"/>
      <c r="N16" s="57"/>
      <c r="O16" s="47"/>
      <c r="P16" s="47"/>
      <c r="Q16" s="47"/>
      <c r="R16" s="47">
        <f t="shared" si="1"/>
        <v>7500000</v>
      </c>
      <c r="S16" s="47">
        <f t="shared" si="2"/>
        <v>7300000</v>
      </c>
      <c r="T16" s="52"/>
      <c r="U16" s="53"/>
      <c r="V16" s="53"/>
      <c r="W16" s="53"/>
      <c r="X16" s="53"/>
      <c r="Y16" s="53"/>
      <c r="Z16" s="53"/>
    </row>
    <row r="17" ht="14.25" customHeight="1">
      <c r="A17" s="42">
        <f t="shared" si="3"/>
        <v>4</v>
      </c>
      <c r="B17" s="44">
        <v>45932.0</v>
      </c>
      <c r="C17" s="35">
        <v>45933.0</v>
      </c>
      <c r="D17" s="37" t="s">
        <v>38</v>
      </c>
      <c r="E17" s="37" t="s">
        <v>49</v>
      </c>
      <c r="F17" s="37" t="s">
        <v>50</v>
      </c>
      <c r="G17" s="42" t="s">
        <v>42</v>
      </c>
      <c r="H17" s="37" t="s">
        <v>57</v>
      </c>
      <c r="I17" s="48">
        <v>1.0</v>
      </c>
      <c r="J17" s="43">
        <v>6300000.0</v>
      </c>
      <c r="K17" s="43">
        <v>6300000.0</v>
      </c>
      <c r="L17" s="57"/>
      <c r="M17" s="47"/>
      <c r="N17" s="57"/>
      <c r="O17" s="47"/>
      <c r="P17" s="47"/>
      <c r="Q17" s="47"/>
      <c r="R17" s="47">
        <f t="shared" si="1"/>
        <v>6300000</v>
      </c>
      <c r="S17" s="47">
        <f t="shared" si="2"/>
        <v>6300000</v>
      </c>
      <c r="T17" s="52"/>
      <c r="U17" s="53"/>
      <c r="V17" s="53"/>
      <c r="W17" s="53"/>
      <c r="X17" s="53"/>
      <c r="Y17" s="53"/>
      <c r="Z17" s="53"/>
    </row>
    <row r="18" ht="14.25" customHeight="1">
      <c r="A18" s="42">
        <f t="shared" si="3"/>
        <v>5</v>
      </c>
      <c r="B18" s="44">
        <v>45932.0</v>
      </c>
      <c r="C18" s="35">
        <v>45933.0</v>
      </c>
      <c r="D18" s="37" t="s">
        <v>38</v>
      </c>
      <c r="E18" s="37" t="s">
        <v>52</v>
      </c>
      <c r="F18" s="37" t="s">
        <v>59</v>
      </c>
      <c r="G18" s="42" t="s">
        <v>42</v>
      </c>
      <c r="H18" s="37" t="s">
        <v>51</v>
      </c>
      <c r="I18" s="48">
        <v>1.0</v>
      </c>
      <c r="J18" s="43">
        <v>7400000.0</v>
      </c>
      <c r="K18" s="43">
        <v>7300000.0</v>
      </c>
      <c r="L18" s="57"/>
      <c r="M18" s="47"/>
      <c r="N18" s="42">
        <v>1.0</v>
      </c>
      <c r="O18" s="47">
        <v>500000.0</v>
      </c>
      <c r="P18" s="47"/>
      <c r="Q18" s="47"/>
      <c r="R18" s="47">
        <f t="shared" si="1"/>
        <v>7900000</v>
      </c>
      <c r="S18" s="47">
        <f t="shared" si="2"/>
        <v>7800000</v>
      </c>
      <c r="T18" s="52"/>
      <c r="U18" s="53"/>
      <c r="V18" s="53"/>
      <c r="W18" s="53"/>
      <c r="X18" s="53"/>
      <c r="Y18" s="53"/>
      <c r="Z18" s="53"/>
    </row>
    <row r="19" ht="14.25" customHeight="1">
      <c r="A19" s="42">
        <f t="shared" si="3"/>
        <v>6</v>
      </c>
      <c r="B19" s="44">
        <v>45932.0</v>
      </c>
      <c r="C19" s="64">
        <v>45932.0</v>
      </c>
      <c r="D19" s="37" t="s">
        <v>38</v>
      </c>
      <c r="E19" s="37" t="s">
        <v>63</v>
      </c>
      <c r="F19" s="37" t="s">
        <v>64</v>
      </c>
      <c r="G19" s="42" t="s">
        <v>42</v>
      </c>
      <c r="H19" s="37" t="s">
        <v>51</v>
      </c>
      <c r="I19" s="48">
        <v>1.0</v>
      </c>
      <c r="J19" s="43">
        <v>7400000.0</v>
      </c>
      <c r="K19" s="43">
        <v>7300000.0</v>
      </c>
      <c r="L19" s="57"/>
      <c r="M19" s="47"/>
      <c r="N19" s="57"/>
      <c r="O19" s="47"/>
      <c r="P19" s="47"/>
      <c r="Q19" s="47"/>
      <c r="R19" s="47">
        <f t="shared" si="1"/>
        <v>7400000</v>
      </c>
      <c r="S19" s="47">
        <f t="shared" si="2"/>
        <v>7300000</v>
      </c>
      <c r="T19" s="52"/>
      <c r="U19" s="53"/>
      <c r="V19" s="53"/>
      <c r="W19" s="53"/>
      <c r="X19" s="53"/>
      <c r="Y19" s="53"/>
      <c r="Z19" s="53"/>
    </row>
    <row r="20" ht="14.25" customHeight="1">
      <c r="A20" s="42">
        <f t="shared" si="3"/>
        <v>7</v>
      </c>
      <c r="B20" s="44">
        <v>45932.0</v>
      </c>
      <c r="C20" s="35">
        <v>45933.0</v>
      </c>
      <c r="D20" s="37" t="s">
        <v>38</v>
      </c>
      <c r="E20" s="37" t="s">
        <v>63</v>
      </c>
      <c r="F20" s="37" t="s">
        <v>67</v>
      </c>
      <c r="G20" s="42" t="s">
        <v>42</v>
      </c>
      <c r="H20" s="37" t="s">
        <v>51</v>
      </c>
      <c r="I20" s="48">
        <v>1.0</v>
      </c>
      <c r="J20" s="43">
        <v>7400000.0</v>
      </c>
      <c r="K20" s="43">
        <v>7300000.0</v>
      </c>
      <c r="L20" s="57"/>
      <c r="M20" s="47"/>
      <c r="N20" s="57"/>
      <c r="O20" s="47"/>
      <c r="P20" s="47"/>
      <c r="Q20" s="47"/>
      <c r="R20" s="47">
        <f t="shared" si="1"/>
        <v>7400000</v>
      </c>
      <c r="S20" s="47">
        <f t="shared" si="2"/>
        <v>7300000</v>
      </c>
      <c r="T20" s="52"/>
      <c r="U20" s="53"/>
      <c r="V20" s="53"/>
      <c r="W20" s="53"/>
      <c r="X20" s="53"/>
      <c r="Y20" s="53"/>
      <c r="Z20" s="53"/>
    </row>
    <row r="21" ht="14.25" customHeight="1">
      <c r="A21" s="42">
        <f t="shared" si="3"/>
        <v>8</v>
      </c>
      <c r="B21" s="44">
        <v>45932.0</v>
      </c>
      <c r="C21" s="35">
        <v>45933.0</v>
      </c>
      <c r="D21" s="37" t="s">
        <v>38</v>
      </c>
      <c r="E21" s="37" t="s">
        <v>52</v>
      </c>
      <c r="F21" s="68" t="s">
        <v>58</v>
      </c>
      <c r="G21" s="42" t="s">
        <v>42</v>
      </c>
      <c r="H21" s="37" t="s">
        <v>51</v>
      </c>
      <c r="I21" s="48">
        <v>1.0</v>
      </c>
      <c r="J21" s="43">
        <v>7400000.0</v>
      </c>
      <c r="K21" s="43">
        <v>7300000.0</v>
      </c>
      <c r="L21" s="57"/>
      <c r="M21" s="47"/>
      <c r="N21" s="57"/>
      <c r="O21" s="47"/>
      <c r="P21" s="47"/>
      <c r="Q21" s="47"/>
      <c r="R21" s="47">
        <f t="shared" si="1"/>
        <v>7400000</v>
      </c>
      <c r="S21" s="47">
        <f t="shared" si="2"/>
        <v>7300000</v>
      </c>
      <c r="T21" s="52"/>
      <c r="U21" s="53"/>
      <c r="V21" s="53"/>
      <c r="W21" s="53"/>
      <c r="X21" s="53"/>
      <c r="Y21" s="53"/>
      <c r="Z21" s="53"/>
    </row>
    <row r="22" ht="14.25" customHeight="1">
      <c r="A22" s="42">
        <f t="shared" si="3"/>
        <v>9</v>
      </c>
      <c r="B22" s="44">
        <v>45933.0</v>
      </c>
      <c r="C22" s="64">
        <v>45933.0</v>
      </c>
      <c r="D22" s="37" t="s">
        <v>38</v>
      </c>
      <c r="E22" s="37" t="s">
        <v>63</v>
      </c>
      <c r="F22" s="37" t="s">
        <v>70</v>
      </c>
      <c r="G22" s="42" t="s">
        <v>42</v>
      </c>
      <c r="H22" s="37" t="s">
        <v>51</v>
      </c>
      <c r="I22" s="48">
        <v>1.0</v>
      </c>
      <c r="J22" s="43">
        <v>7400000.0</v>
      </c>
      <c r="K22" s="43">
        <v>7300000.0</v>
      </c>
      <c r="L22" s="57"/>
      <c r="M22" s="47"/>
      <c r="N22" s="57"/>
      <c r="O22" s="47"/>
      <c r="P22" s="47"/>
      <c r="Q22" s="47"/>
      <c r="R22" s="47">
        <f t="shared" si="1"/>
        <v>7400000</v>
      </c>
      <c r="S22" s="47">
        <f t="shared" si="2"/>
        <v>7300000</v>
      </c>
      <c r="T22" s="52"/>
      <c r="U22" s="53"/>
      <c r="V22" s="53"/>
      <c r="W22" s="53"/>
      <c r="X22" s="53"/>
      <c r="Y22" s="53"/>
      <c r="Z22" s="53"/>
    </row>
    <row r="23" ht="14.25" customHeight="1">
      <c r="A23" s="42">
        <f t="shared" si="3"/>
        <v>10</v>
      </c>
      <c r="B23" s="44">
        <v>45933.0</v>
      </c>
      <c r="C23" s="35">
        <v>45934.0</v>
      </c>
      <c r="D23" s="37" t="s">
        <v>38</v>
      </c>
      <c r="E23" s="37" t="s">
        <v>63</v>
      </c>
      <c r="F23" s="37" t="s">
        <v>71</v>
      </c>
      <c r="G23" s="42" t="s">
        <v>42</v>
      </c>
      <c r="H23" s="37" t="s">
        <v>57</v>
      </c>
      <c r="I23" s="48">
        <v>1.0</v>
      </c>
      <c r="J23" s="43">
        <v>6300000.0</v>
      </c>
      <c r="K23" s="43">
        <v>6300000.0</v>
      </c>
      <c r="L23" s="57"/>
      <c r="M23" s="47"/>
      <c r="N23" s="57"/>
      <c r="O23" s="47"/>
      <c r="P23" s="47"/>
      <c r="Q23" s="47"/>
      <c r="R23" s="47">
        <f t="shared" si="1"/>
        <v>6300000</v>
      </c>
      <c r="S23" s="47">
        <f t="shared" si="2"/>
        <v>6300000</v>
      </c>
      <c r="T23" s="52"/>
      <c r="U23" s="53"/>
      <c r="V23" s="53"/>
      <c r="W23" s="53"/>
      <c r="X23" s="53"/>
      <c r="Y23" s="53"/>
      <c r="Z23" s="53"/>
    </row>
    <row r="24" ht="14.25" customHeight="1">
      <c r="A24" s="42">
        <f t="shared" si="3"/>
        <v>11</v>
      </c>
      <c r="B24" s="44">
        <v>45934.0</v>
      </c>
      <c r="C24" s="64">
        <v>45934.0</v>
      </c>
      <c r="D24" s="37" t="s">
        <v>38</v>
      </c>
      <c r="E24" s="37" t="s">
        <v>63</v>
      </c>
      <c r="F24" s="37" t="s">
        <v>72</v>
      </c>
      <c r="G24" s="42" t="s">
        <v>42</v>
      </c>
      <c r="H24" s="37" t="s">
        <v>51</v>
      </c>
      <c r="I24" s="48">
        <v>1.0</v>
      </c>
      <c r="J24" s="43">
        <v>7400000.0</v>
      </c>
      <c r="K24" s="43">
        <v>7300000.0</v>
      </c>
      <c r="L24" s="57"/>
      <c r="M24" s="47"/>
      <c r="N24" s="57"/>
      <c r="O24" s="47"/>
      <c r="P24" s="47"/>
      <c r="Q24" s="47"/>
      <c r="R24" s="47">
        <f t="shared" si="1"/>
        <v>7400000</v>
      </c>
      <c r="S24" s="47">
        <f t="shared" si="2"/>
        <v>7300000</v>
      </c>
      <c r="T24" s="52"/>
      <c r="U24" s="53"/>
      <c r="V24" s="53"/>
      <c r="W24" s="53"/>
      <c r="X24" s="53"/>
      <c r="Y24" s="53"/>
      <c r="Z24" s="53"/>
    </row>
    <row r="25" ht="14.25" customHeight="1">
      <c r="A25" s="42">
        <f t="shared" si="3"/>
        <v>12</v>
      </c>
      <c r="B25" s="44">
        <v>45935.0</v>
      </c>
      <c r="C25" s="35">
        <v>45936.0</v>
      </c>
      <c r="D25" s="37" t="s">
        <v>38</v>
      </c>
      <c r="E25" s="37" t="s">
        <v>52</v>
      </c>
      <c r="F25" s="68" t="s">
        <v>58</v>
      </c>
      <c r="G25" s="42" t="s">
        <v>42</v>
      </c>
      <c r="H25" s="37" t="s">
        <v>51</v>
      </c>
      <c r="I25" s="48">
        <v>1.0</v>
      </c>
      <c r="J25" s="43">
        <v>7400000.0</v>
      </c>
      <c r="K25" s="43">
        <v>7300000.0</v>
      </c>
      <c r="L25" s="42">
        <v>1.0</v>
      </c>
      <c r="M25" s="47">
        <v>1000000.0</v>
      </c>
      <c r="N25" s="57"/>
      <c r="O25" s="47"/>
      <c r="P25" s="47"/>
      <c r="Q25" s="47"/>
      <c r="R25" s="47">
        <f t="shared" si="1"/>
        <v>8400000</v>
      </c>
      <c r="S25" s="47">
        <f t="shared" si="2"/>
        <v>8300000</v>
      </c>
      <c r="T25" s="52"/>
      <c r="U25" s="53"/>
      <c r="V25" s="53"/>
      <c r="W25" s="53"/>
      <c r="X25" s="53"/>
      <c r="Y25" s="53"/>
      <c r="Z25" s="53"/>
    </row>
    <row r="26" ht="14.25" customHeight="1">
      <c r="A26" s="42">
        <f t="shared" si="3"/>
        <v>13</v>
      </c>
      <c r="B26" s="44">
        <v>45935.0</v>
      </c>
      <c r="C26" s="35">
        <v>45936.0</v>
      </c>
      <c r="D26" s="37" t="s">
        <v>38</v>
      </c>
      <c r="E26" s="37" t="s">
        <v>63</v>
      </c>
      <c r="F26" s="37" t="s">
        <v>74</v>
      </c>
      <c r="G26" s="42" t="s">
        <v>42</v>
      </c>
      <c r="H26" s="37" t="s">
        <v>51</v>
      </c>
      <c r="I26" s="48">
        <v>1.0</v>
      </c>
      <c r="J26" s="43">
        <v>7400000.0</v>
      </c>
      <c r="K26" s="43">
        <v>7300000.0</v>
      </c>
      <c r="L26" s="42">
        <v>1.0</v>
      </c>
      <c r="M26" s="47">
        <v>1000000.0</v>
      </c>
      <c r="N26" s="42">
        <v>1.0</v>
      </c>
      <c r="O26" s="47">
        <v>500000.0</v>
      </c>
      <c r="P26" s="47"/>
      <c r="Q26" s="47"/>
      <c r="R26" s="47">
        <f t="shared" si="1"/>
        <v>8900000</v>
      </c>
      <c r="S26" s="47">
        <f t="shared" si="2"/>
        <v>8800000</v>
      </c>
      <c r="T26" s="52"/>
      <c r="U26" s="53"/>
      <c r="V26" s="53"/>
      <c r="W26" s="53"/>
      <c r="X26" s="53"/>
      <c r="Y26" s="53"/>
      <c r="Z26" s="53"/>
    </row>
    <row r="27" ht="14.25" customHeight="1">
      <c r="A27" s="42">
        <f t="shared" si="3"/>
        <v>14</v>
      </c>
      <c r="B27" s="44">
        <v>45935.0</v>
      </c>
      <c r="C27" s="35">
        <v>45936.0</v>
      </c>
      <c r="D27" s="37" t="s">
        <v>38</v>
      </c>
      <c r="E27" s="37" t="s">
        <v>75</v>
      </c>
      <c r="F27" s="37" t="s">
        <v>50</v>
      </c>
      <c r="G27" s="42" t="s">
        <v>42</v>
      </c>
      <c r="H27" s="37" t="s">
        <v>51</v>
      </c>
      <c r="I27" s="48">
        <v>1.0</v>
      </c>
      <c r="J27" s="43">
        <v>7500000.0</v>
      </c>
      <c r="K27" s="43">
        <v>7300000.0</v>
      </c>
      <c r="L27" s="57"/>
      <c r="M27" s="47"/>
      <c r="N27" s="57"/>
      <c r="O27" s="47"/>
      <c r="P27" s="47"/>
      <c r="Q27" s="47"/>
      <c r="R27" s="47">
        <f t="shared" si="1"/>
        <v>7500000</v>
      </c>
      <c r="S27" s="47">
        <f t="shared" si="2"/>
        <v>7300000</v>
      </c>
      <c r="T27" s="52"/>
      <c r="U27" s="53"/>
      <c r="V27" s="53"/>
      <c r="W27" s="53"/>
      <c r="X27" s="53"/>
      <c r="Y27" s="53"/>
      <c r="Z27" s="53"/>
    </row>
    <row r="28" ht="14.25" customHeight="1">
      <c r="A28" s="42">
        <f t="shared" si="3"/>
        <v>15</v>
      </c>
      <c r="B28" s="44">
        <v>45939.0</v>
      </c>
      <c r="C28" s="35">
        <v>45939.0</v>
      </c>
      <c r="D28" s="37" t="s">
        <v>78</v>
      </c>
      <c r="E28" s="37" t="s">
        <v>79</v>
      </c>
      <c r="F28" s="37" t="s">
        <v>80</v>
      </c>
      <c r="G28" s="42" t="s">
        <v>81</v>
      </c>
      <c r="H28" s="37" t="s">
        <v>82</v>
      </c>
      <c r="I28" s="48">
        <v>1.0</v>
      </c>
      <c r="J28" s="43">
        <v>4300000.0</v>
      </c>
      <c r="K28" s="43">
        <v>4630000.0</v>
      </c>
      <c r="L28" s="57"/>
      <c r="M28" s="47"/>
      <c r="N28" s="57"/>
      <c r="O28" s="47"/>
      <c r="P28" s="47"/>
      <c r="Q28" s="47"/>
      <c r="R28" s="47">
        <f t="shared" si="1"/>
        <v>4300000</v>
      </c>
      <c r="S28" s="47">
        <f t="shared" si="2"/>
        <v>4630000</v>
      </c>
      <c r="T28" s="52"/>
      <c r="U28" s="53"/>
      <c r="V28" s="53"/>
      <c r="W28" s="53"/>
      <c r="X28" s="53"/>
      <c r="Y28" s="53"/>
      <c r="Z28" s="53"/>
    </row>
    <row r="29" ht="14.25" customHeight="1">
      <c r="A29" s="42">
        <f t="shared" si="3"/>
        <v>16</v>
      </c>
      <c r="B29" s="44">
        <v>45939.0</v>
      </c>
      <c r="C29" s="35">
        <v>45939.0</v>
      </c>
      <c r="D29" s="37" t="s">
        <v>78</v>
      </c>
      <c r="E29" s="37" t="s">
        <v>79</v>
      </c>
      <c r="F29" s="37" t="s">
        <v>84</v>
      </c>
      <c r="G29" s="42" t="s">
        <v>81</v>
      </c>
      <c r="H29" s="37" t="s">
        <v>82</v>
      </c>
      <c r="I29" s="48">
        <v>1.0</v>
      </c>
      <c r="J29" s="43">
        <v>4300000.0</v>
      </c>
      <c r="K29" s="43">
        <v>4630000.0</v>
      </c>
      <c r="L29" s="57"/>
      <c r="M29" s="47"/>
      <c r="N29" s="57"/>
      <c r="O29" s="47"/>
      <c r="P29" s="47"/>
      <c r="Q29" s="47"/>
      <c r="R29" s="47">
        <f t="shared" si="1"/>
        <v>4300000</v>
      </c>
      <c r="S29" s="47">
        <f t="shared" si="2"/>
        <v>4630000</v>
      </c>
      <c r="T29" s="52"/>
      <c r="U29" s="53"/>
      <c r="V29" s="53"/>
      <c r="W29" s="53"/>
      <c r="X29" s="53"/>
      <c r="Y29" s="53"/>
      <c r="Z29" s="53"/>
    </row>
    <row r="30" ht="14.25" customHeight="1">
      <c r="A30" s="42">
        <f t="shared" si="3"/>
        <v>17</v>
      </c>
      <c r="B30" s="44">
        <v>45939.0</v>
      </c>
      <c r="C30" s="35">
        <v>45940.0</v>
      </c>
      <c r="D30" s="37" t="s">
        <v>38</v>
      </c>
      <c r="E30" s="37" t="s">
        <v>52</v>
      </c>
      <c r="F30" s="37" t="s">
        <v>53</v>
      </c>
      <c r="G30" s="42" t="s">
        <v>42</v>
      </c>
      <c r="H30" s="37" t="s">
        <v>51</v>
      </c>
      <c r="I30" s="48">
        <v>1.0</v>
      </c>
      <c r="J30" s="43">
        <v>7400000.0</v>
      </c>
      <c r="K30" s="43">
        <v>7300000.0</v>
      </c>
      <c r="L30" s="46"/>
      <c r="M30" s="47"/>
      <c r="N30" s="46"/>
      <c r="O30" s="47"/>
      <c r="P30" s="47"/>
      <c r="Q30" s="47"/>
      <c r="R30" s="47">
        <f t="shared" si="1"/>
        <v>7400000</v>
      </c>
      <c r="S30" s="47">
        <f t="shared" si="2"/>
        <v>7300000</v>
      </c>
      <c r="T30" s="52"/>
      <c r="U30" s="53"/>
      <c r="V30" s="53"/>
      <c r="W30" s="53"/>
      <c r="X30" s="53"/>
      <c r="Y30" s="53"/>
      <c r="Z30" s="53"/>
    </row>
    <row r="31" ht="14.25" customHeight="1">
      <c r="A31" s="42">
        <f t="shared" si="3"/>
        <v>18</v>
      </c>
      <c r="B31" s="44">
        <v>45940.0</v>
      </c>
      <c r="C31" s="35">
        <v>45940.0</v>
      </c>
      <c r="D31" s="37" t="s">
        <v>38</v>
      </c>
      <c r="E31" s="37" t="s">
        <v>90</v>
      </c>
      <c r="F31" s="37" t="s">
        <v>91</v>
      </c>
      <c r="G31" s="42" t="s">
        <v>81</v>
      </c>
      <c r="H31" s="37" t="s">
        <v>92</v>
      </c>
      <c r="I31" s="48">
        <v>1.0</v>
      </c>
      <c r="J31" s="43">
        <v>4700000.0</v>
      </c>
      <c r="K31" s="43">
        <v>4500000.0</v>
      </c>
      <c r="L31" s="46"/>
      <c r="M31" s="47"/>
      <c r="N31" s="46"/>
      <c r="O31" s="47"/>
      <c r="P31" s="47">
        <v>300000.0</v>
      </c>
      <c r="Q31" s="47">
        <v>100000.0</v>
      </c>
      <c r="R31" s="47">
        <f t="shared" si="1"/>
        <v>5100000</v>
      </c>
      <c r="S31" s="47">
        <f t="shared" si="2"/>
        <v>4900000</v>
      </c>
      <c r="T31" s="52"/>
      <c r="U31" s="53"/>
      <c r="V31" s="53"/>
      <c r="W31" s="53"/>
      <c r="X31" s="53"/>
      <c r="Y31" s="53"/>
      <c r="Z31" s="53"/>
    </row>
    <row r="32" ht="14.25" customHeight="1">
      <c r="A32" s="42">
        <f t="shared" si="3"/>
        <v>19</v>
      </c>
      <c r="B32" s="44">
        <v>45940.0</v>
      </c>
      <c r="C32" s="35">
        <v>45940.0</v>
      </c>
      <c r="D32" s="37" t="s">
        <v>38</v>
      </c>
      <c r="E32" s="37" t="s">
        <v>90</v>
      </c>
      <c r="F32" s="37" t="s">
        <v>94</v>
      </c>
      <c r="G32" s="42" t="s">
        <v>81</v>
      </c>
      <c r="H32" s="37" t="s">
        <v>92</v>
      </c>
      <c r="I32" s="48">
        <v>1.0</v>
      </c>
      <c r="J32" s="43">
        <v>4700000.0</v>
      </c>
      <c r="K32" s="43">
        <v>4500000.0</v>
      </c>
      <c r="L32" s="46"/>
      <c r="M32" s="47"/>
      <c r="N32" s="46"/>
      <c r="O32" s="47"/>
      <c r="P32" s="47">
        <v>300000.0</v>
      </c>
      <c r="Q32" s="47">
        <v>100000.0</v>
      </c>
      <c r="R32" s="47">
        <f t="shared" si="1"/>
        <v>5100000</v>
      </c>
      <c r="S32" s="47">
        <f t="shared" si="2"/>
        <v>4900000</v>
      </c>
      <c r="T32" s="52"/>
      <c r="U32" s="53"/>
      <c r="V32" s="53"/>
      <c r="W32" s="53"/>
      <c r="X32" s="53"/>
      <c r="Y32" s="53"/>
      <c r="Z32" s="53"/>
    </row>
    <row r="33" ht="14.25" customHeight="1">
      <c r="A33" s="42">
        <f t="shared" si="3"/>
        <v>20</v>
      </c>
      <c r="B33" s="44">
        <v>45942.0</v>
      </c>
      <c r="C33" s="35">
        <v>45943.0</v>
      </c>
      <c r="D33" s="37" t="s">
        <v>38</v>
      </c>
      <c r="E33" s="37" t="s">
        <v>49</v>
      </c>
      <c r="F33" s="37" t="s">
        <v>97</v>
      </c>
      <c r="G33" s="42" t="s">
        <v>42</v>
      </c>
      <c r="H33" s="37" t="s">
        <v>51</v>
      </c>
      <c r="I33" s="48">
        <v>1.0</v>
      </c>
      <c r="J33" s="43">
        <v>7500000.0</v>
      </c>
      <c r="K33" s="43">
        <v>7300000.0</v>
      </c>
      <c r="L33" s="46"/>
      <c r="M33" s="47"/>
      <c r="N33" s="46"/>
      <c r="O33" s="47"/>
      <c r="P33" s="47"/>
      <c r="Q33" s="47"/>
      <c r="R33" s="47">
        <f t="shared" si="1"/>
        <v>7500000</v>
      </c>
      <c r="S33" s="47">
        <f t="shared" si="2"/>
        <v>7300000</v>
      </c>
      <c r="T33" s="52"/>
      <c r="U33" s="53"/>
      <c r="V33" s="53"/>
      <c r="W33" s="53"/>
      <c r="X33" s="53"/>
      <c r="Y33" s="53"/>
      <c r="Z33" s="53"/>
    </row>
    <row r="34" ht="14.25" customHeight="1">
      <c r="A34" s="42">
        <f t="shared" si="3"/>
        <v>21</v>
      </c>
      <c r="B34" s="44">
        <v>45942.0</v>
      </c>
      <c r="C34" s="35">
        <v>45943.0</v>
      </c>
      <c r="D34" s="37" t="s">
        <v>38</v>
      </c>
      <c r="E34" s="37" t="s">
        <v>52</v>
      </c>
      <c r="F34" s="37" t="s">
        <v>100</v>
      </c>
      <c r="G34" s="42" t="s">
        <v>42</v>
      </c>
      <c r="H34" s="37" t="s">
        <v>51</v>
      </c>
      <c r="I34" s="48">
        <v>1.0</v>
      </c>
      <c r="J34" s="43">
        <v>7400000.0</v>
      </c>
      <c r="K34" s="43">
        <v>7300000.0</v>
      </c>
      <c r="L34" s="46"/>
      <c r="M34" s="47"/>
      <c r="N34" s="46"/>
      <c r="O34" s="47"/>
      <c r="P34" s="47"/>
      <c r="Q34" s="47"/>
      <c r="R34" s="47">
        <f t="shared" si="1"/>
        <v>7400000</v>
      </c>
      <c r="S34" s="47">
        <f t="shared" si="2"/>
        <v>7300000</v>
      </c>
      <c r="T34" s="52"/>
      <c r="U34" s="53"/>
      <c r="V34" s="53"/>
      <c r="W34" s="53"/>
      <c r="X34" s="53"/>
      <c r="Y34" s="53"/>
      <c r="Z34" s="53"/>
    </row>
    <row r="35" ht="14.25" customHeight="1">
      <c r="A35" s="42">
        <f t="shared" si="3"/>
        <v>22</v>
      </c>
      <c r="B35" s="44">
        <v>45945.0</v>
      </c>
      <c r="C35" s="35">
        <v>45945.0</v>
      </c>
      <c r="D35" s="37" t="s">
        <v>38</v>
      </c>
      <c r="E35" s="37" t="s">
        <v>52</v>
      </c>
      <c r="F35" s="68" t="s">
        <v>58</v>
      </c>
      <c r="G35" s="42" t="s">
        <v>42</v>
      </c>
      <c r="H35" s="37" t="s">
        <v>51</v>
      </c>
      <c r="I35" s="48">
        <v>1.0</v>
      </c>
      <c r="J35" s="43">
        <v>7400000.0</v>
      </c>
      <c r="K35" s="43">
        <v>7300000.0</v>
      </c>
      <c r="L35" s="46"/>
      <c r="M35" s="47"/>
      <c r="N35" s="46"/>
      <c r="O35" s="47"/>
      <c r="P35" s="47"/>
      <c r="Q35" s="47"/>
      <c r="R35" s="47">
        <f t="shared" si="1"/>
        <v>7400000</v>
      </c>
      <c r="S35" s="47">
        <f t="shared" si="2"/>
        <v>7300000</v>
      </c>
      <c r="T35" s="52"/>
      <c r="U35" s="53"/>
      <c r="V35" s="53"/>
      <c r="W35" s="53"/>
      <c r="X35" s="53"/>
      <c r="Y35" s="53"/>
      <c r="Z35" s="53"/>
    </row>
    <row r="36" ht="14.25" customHeight="1">
      <c r="A36" s="42">
        <f t="shared" si="3"/>
        <v>23</v>
      </c>
      <c r="B36" s="44">
        <v>45946.0</v>
      </c>
      <c r="C36" s="35">
        <v>45947.0</v>
      </c>
      <c r="D36" s="37" t="s">
        <v>38</v>
      </c>
      <c r="E36" s="37" t="s">
        <v>49</v>
      </c>
      <c r="F36" s="37" t="s">
        <v>105</v>
      </c>
      <c r="G36" s="42" t="s">
        <v>42</v>
      </c>
      <c r="H36" s="37" t="s">
        <v>51</v>
      </c>
      <c r="I36" s="48">
        <v>1.0</v>
      </c>
      <c r="J36" s="43">
        <v>7500000.0</v>
      </c>
      <c r="K36" s="43">
        <v>7300000.0</v>
      </c>
      <c r="L36" s="46"/>
      <c r="M36" s="47"/>
      <c r="N36" s="46"/>
      <c r="O36" s="47"/>
      <c r="P36" s="47"/>
      <c r="Q36" s="47"/>
      <c r="R36" s="47">
        <f t="shared" si="1"/>
        <v>7500000</v>
      </c>
      <c r="S36" s="47">
        <f t="shared" si="2"/>
        <v>7300000</v>
      </c>
      <c r="T36" s="52"/>
      <c r="U36" s="53"/>
      <c r="V36" s="53"/>
      <c r="W36" s="53"/>
      <c r="X36" s="53"/>
      <c r="Y36" s="53"/>
      <c r="Z36" s="53"/>
    </row>
    <row r="37" ht="14.25" customHeight="1">
      <c r="A37" s="42">
        <f t="shared" si="3"/>
        <v>24</v>
      </c>
      <c r="B37" s="44">
        <v>45946.0</v>
      </c>
      <c r="C37" s="35">
        <v>45946.0</v>
      </c>
      <c r="D37" s="37" t="s">
        <v>38</v>
      </c>
      <c r="E37" s="37" t="s">
        <v>90</v>
      </c>
      <c r="F37" s="37" t="s">
        <v>106</v>
      </c>
      <c r="G37" s="42" t="s">
        <v>81</v>
      </c>
      <c r="H37" s="37" t="s">
        <v>92</v>
      </c>
      <c r="I37" s="48">
        <v>1.0</v>
      </c>
      <c r="J37" s="43">
        <v>4700000.0</v>
      </c>
      <c r="K37" s="43">
        <v>4500000.0</v>
      </c>
      <c r="L37" s="46"/>
      <c r="M37" s="47"/>
      <c r="N37" s="46"/>
      <c r="O37" s="47"/>
      <c r="P37" s="47"/>
      <c r="Q37" s="47">
        <v>100000.0</v>
      </c>
      <c r="R37" s="47">
        <f t="shared" si="1"/>
        <v>4800000</v>
      </c>
      <c r="S37" s="47">
        <f t="shared" si="2"/>
        <v>4600000</v>
      </c>
      <c r="T37" s="52"/>
      <c r="U37" s="53"/>
      <c r="V37" s="53"/>
      <c r="W37" s="53"/>
      <c r="X37" s="53"/>
      <c r="Y37" s="53"/>
      <c r="Z37" s="53"/>
    </row>
    <row r="38" ht="14.25" customHeight="1">
      <c r="A38" s="42">
        <f t="shared" si="3"/>
        <v>25</v>
      </c>
      <c r="B38" s="44">
        <v>45946.0</v>
      </c>
      <c r="C38" s="35">
        <v>45946.0</v>
      </c>
      <c r="D38" s="37" t="s">
        <v>38</v>
      </c>
      <c r="E38" s="37" t="s">
        <v>90</v>
      </c>
      <c r="F38" s="37" t="s">
        <v>108</v>
      </c>
      <c r="G38" s="42" t="s">
        <v>81</v>
      </c>
      <c r="H38" s="37" t="s">
        <v>92</v>
      </c>
      <c r="I38" s="48">
        <v>1.0</v>
      </c>
      <c r="J38" s="43">
        <v>4700000.0</v>
      </c>
      <c r="K38" s="43">
        <v>4500000.0</v>
      </c>
      <c r="L38" s="46"/>
      <c r="M38" s="47"/>
      <c r="N38" s="46"/>
      <c r="O38" s="47"/>
      <c r="P38" s="47"/>
      <c r="Q38" s="47">
        <v>100000.0</v>
      </c>
      <c r="R38" s="47">
        <f t="shared" si="1"/>
        <v>4800000</v>
      </c>
      <c r="S38" s="47">
        <f t="shared" si="2"/>
        <v>4600000</v>
      </c>
      <c r="T38" s="52"/>
      <c r="U38" s="53"/>
      <c r="V38" s="53"/>
      <c r="W38" s="53"/>
      <c r="X38" s="53"/>
      <c r="Y38" s="53"/>
      <c r="Z38" s="53"/>
    </row>
    <row r="39" ht="14.25" customHeight="1">
      <c r="A39" s="42">
        <f t="shared" si="3"/>
        <v>26</v>
      </c>
      <c r="B39" s="44">
        <v>45947.0</v>
      </c>
      <c r="C39" s="35">
        <v>45947.0</v>
      </c>
      <c r="D39" s="37" t="s">
        <v>38</v>
      </c>
      <c r="E39" s="37" t="s">
        <v>90</v>
      </c>
      <c r="F39" s="37" t="s">
        <v>110</v>
      </c>
      <c r="G39" s="42" t="s">
        <v>81</v>
      </c>
      <c r="H39" s="37" t="s">
        <v>92</v>
      </c>
      <c r="I39" s="48">
        <v>1.0</v>
      </c>
      <c r="J39" s="43">
        <v>4700000.0</v>
      </c>
      <c r="K39" s="43">
        <v>4500000.0</v>
      </c>
      <c r="L39" s="107"/>
      <c r="M39" s="47"/>
      <c r="N39" s="107"/>
      <c r="O39" s="47"/>
      <c r="P39" s="47"/>
      <c r="Q39" s="47">
        <v>100000.0</v>
      </c>
      <c r="R39" s="47">
        <f t="shared" si="1"/>
        <v>4800000</v>
      </c>
      <c r="S39" s="47">
        <f t="shared" si="2"/>
        <v>4600000</v>
      </c>
      <c r="T39" s="52"/>
      <c r="U39" s="53"/>
      <c r="V39" s="53"/>
      <c r="W39" s="53"/>
      <c r="X39" s="53"/>
      <c r="Y39" s="53"/>
      <c r="Z39" s="53"/>
    </row>
    <row r="40" ht="14.25" customHeight="1">
      <c r="A40" s="42">
        <f t="shared" si="3"/>
        <v>27</v>
      </c>
      <c r="B40" s="44">
        <v>45947.0</v>
      </c>
      <c r="C40" s="35">
        <v>45947.0</v>
      </c>
      <c r="D40" s="37" t="s">
        <v>38</v>
      </c>
      <c r="E40" s="37" t="s">
        <v>90</v>
      </c>
      <c r="F40" s="37" t="s">
        <v>112</v>
      </c>
      <c r="G40" s="42" t="s">
        <v>81</v>
      </c>
      <c r="H40" s="37" t="s">
        <v>92</v>
      </c>
      <c r="I40" s="48">
        <v>1.0</v>
      </c>
      <c r="J40" s="43">
        <v>4700000.0</v>
      </c>
      <c r="K40" s="43">
        <v>4500000.0</v>
      </c>
      <c r="L40" s="107"/>
      <c r="M40" s="47"/>
      <c r="N40" s="107"/>
      <c r="O40" s="47"/>
      <c r="P40" s="47"/>
      <c r="Q40" s="47">
        <v>100000.0</v>
      </c>
      <c r="R40" s="47">
        <f t="shared" si="1"/>
        <v>4800000</v>
      </c>
      <c r="S40" s="47">
        <f t="shared" si="2"/>
        <v>4600000</v>
      </c>
      <c r="T40" s="52"/>
      <c r="U40" s="53"/>
      <c r="V40" s="53"/>
      <c r="W40" s="53"/>
      <c r="X40" s="53"/>
      <c r="Y40" s="53"/>
      <c r="Z40" s="53"/>
    </row>
    <row r="41" ht="14.25" customHeight="1">
      <c r="A41" s="42">
        <f t="shared" si="3"/>
        <v>28</v>
      </c>
      <c r="B41" s="44">
        <v>45947.0</v>
      </c>
      <c r="C41" s="35">
        <v>45948.0</v>
      </c>
      <c r="D41" s="37" t="s">
        <v>38</v>
      </c>
      <c r="E41" s="37" t="s">
        <v>49</v>
      </c>
      <c r="F41" s="37" t="s">
        <v>97</v>
      </c>
      <c r="G41" s="42" t="s">
        <v>42</v>
      </c>
      <c r="H41" s="37" t="s">
        <v>51</v>
      </c>
      <c r="I41" s="48">
        <v>1.0</v>
      </c>
      <c r="J41" s="43">
        <v>7500000.0</v>
      </c>
      <c r="K41" s="43">
        <v>7300000.0</v>
      </c>
      <c r="L41" s="46"/>
      <c r="M41" s="47"/>
      <c r="N41" s="46"/>
      <c r="O41" s="47"/>
      <c r="P41" s="47"/>
      <c r="Q41" s="47"/>
      <c r="R41" s="47">
        <f t="shared" si="1"/>
        <v>7500000</v>
      </c>
      <c r="S41" s="47">
        <f t="shared" si="2"/>
        <v>7300000</v>
      </c>
      <c r="T41" s="52"/>
      <c r="U41" s="53"/>
      <c r="V41" s="53"/>
      <c r="W41" s="53"/>
      <c r="X41" s="53"/>
      <c r="Y41" s="53"/>
      <c r="Z41" s="53"/>
    </row>
    <row r="42" ht="14.25" customHeight="1">
      <c r="A42" s="42">
        <f t="shared" si="3"/>
        <v>29</v>
      </c>
      <c r="B42" s="44">
        <v>45950.0</v>
      </c>
      <c r="C42" s="35">
        <v>45951.0</v>
      </c>
      <c r="D42" s="37" t="s">
        <v>38</v>
      </c>
      <c r="E42" s="37" t="s">
        <v>113</v>
      </c>
      <c r="F42" s="37" t="s">
        <v>62</v>
      </c>
      <c r="G42" s="42" t="s">
        <v>42</v>
      </c>
      <c r="H42" s="37" t="s">
        <v>51</v>
      </c>
      <c r="I42" s="48">
        <v>1.0</v>
      </c>
      <c r="J42" s="43">
        <v>7400000.0</v>
      </c>
      <c r="K42" s="43">
        <v>7300000.0</v>
      </c>
      <c r="L42" s="46"/>
      <c r="M42" s="47"/>
      <c r="N42" s="46"/>
      <c r="O42" s="47"/>
      <c r="P42" s="47"/>
      <c r="Q42" s="47"/>
      <c r="R42" s="47">
        <f t="shared" si="1"/>
        <v>7400000</v>
      </c>
      <c r="S42" s="47">
        <f t="shared" si="2"/>
        <v>7300000</v>
      </c>
      <c r="T42" s="52"/>
      <c r="U42" s="53"/>
      <c r="V42" s="53"/>
      <c r="W42" s="53"/>
      <c r="X42" s="53"/>
      <c r="Y42" s="53"/>
      <c r="Z42" s="53"/>
    </row>
    <row r="43" ht="14.25" customHeight="1">
      <c r="A43" s="42">
        <f t="shared" si="3"/>
        <v>30</v>
      </c>
      <c r="B43" s="44">
        <v>45954.0</v>
      </c>
      <c r="C43" s="35">
        <v>45955.0</v>
      </c>
      <c r="D43" s="37" t="s">
        <v>38</v>
      </c>
      <c r="E43" s="37" t="s">
        <v>52</v>
      </c>
      <c r="F43" s="37" t="s">
        <v>59</v>
      </c>
      <c r="G43" s="42" t="s">
        <v>42</v>
      </c>
      <c r="H43" s="37" t="s">
        <v>51</v>
      </c>
      <c r="I43" s="48">
        <v>1.0</v>
      </c>
      <c r="J43" s="43">
        <v>7400000.0</v>
      </c>
      <c r="K43" s="43">
        <v>7300000.0</v>
      </c>
      <c r="L43" s="107"/>
      <c r="M43" s="47"/>
      <c r="N43" s="107"/>
      <c r="O43" s="47"/>
      <c r="P43" s="47"/>
      <c r="Q43" s="47"/>
      <c r="R43" s="47">
        <f t="shared" si="1"/>
        <v>7400000</v>
      </c>
      <c r="S43" s="47">
        <f t="shared" si="2"/>
        <v>7300000</v>
      </c>
      <c r="T43" s="52"/>
      <c r="U43" s="53"/>
      <c r="V43" s="53"/>
      <c r="W43" s="53"/>
      <c r="X43" s="53"/>
      <c r="Y43" s="53"/>
      <c r="Z43" s="53"/>
    </row>
    <row r="44" ht="14.25" customHeight="1">
      <c r="A44" s="42">
        <f t="shared" si="3"/>
        <v>31</v>
      </c>
      <c r="B44" s="44">
        <v>45954.0</v>
      </c>
      <c r="C44" s="35">
        <v>45955.0</v>
      </c>
      <c r="D44" s="37" t="s">
        <v>38</v>
      </c>
      <c r="E44" s="37" t="s">
        <v>49</v>
      </c>
      <c r="F44" s="37" t="s">
        <v>114</v>
      </c>
      <c r="G44" s="42" t="s">
        <v>42</v>
      </c>
      <c r="H44" s="37" t="s">
        <v>57</v>
      </c>
      <c r="I44" s="48">
        <v>1.0</v>
      </c>
      <c r="J44" s="43">
        <v>6300000.0</v>
      </c>
      <c r="K44" s="43">
        <v>6300000.0</v>
      </c>
      <c r="L44" s="107"/>
      <c r="M44" s="47"/>
      <c r="N44" s="107"/>
      <c r="O44" s="47"/>
      <c r="P44" s="47"/>
      <c r="Q44" s="47"/>
      <c r="R44" s="47">
        <f t="shared" si="1"/>
        <v>6300000</v>
      </c>
      <c r="S44" s="47">
        <f t="shared" si="2"/>
        <v>6300000</v>
      </c>
      <c r="T44" s="52"/>
      <c r="U44" s="53"/>
      <c r="V44" s="53"/>
      <c r="W44" s="53"/>
      <c r="X44" s="53"/>
      <c r="Y44" s="53"/>
      <c r="Z44" s="53"/>
    </row>
    <row r="45" ht="14.25" customHeight="1">
      <c r="A45" s="42">
        <f t="shared" si="3"/>
        <v>32</v>
      </c>
      <c r="B45" s="44">
        <v>45954.0</v>
      </c>
      <c r="C45" s="35">
        <v>45955.0</v>
      </c>
      <c r="D45" s="37" t="s">
        <v>115</v>
      </c>
      <c r="E45" s="37" t="s">
        <v>116</v>
      </c>
      <c r="F45" s="37" t="s">
        <v>117</v>
      </c>
      <c r="G45" s="42" t="s">
        <v>118</v>
      </c>
      <c r="H45" s="37" t="s">
        <v>104</v>
      </c>
      <c r="I45" s="48">
        <v>1.0</v>
      </c>
      <c r="J45" s="43"/>
      <c r="K45" s="43">
        <v>8334000.0</v>
      </c>
      <c r="L45" s="107"/>
      <c r="M45" s="47"/>
      <c r="N45" s="107"/>
      <c r="O45" s="47"/>
      <c r="P45" s="47"/>
      <c r="Q45" s="47"/>
      <c r="R45" s="47">
        <f t="shared" si="1"/>
        <v>0</v>
      </c>
      <c r="S45" s="47">
        <f t="shared" si="2"/>
        <v>8334000</v>
      </c>
      <c r="T45" s="52"/>
      <c r="U45" s="53"/>
      <c r="V45" s="53"/>
      <c r="W45" s="53"/>
      <c r="X45" s="53"/>
      <c r="Y45" s="53"/>
      <c r="Z45" s="53"/>
    </row>
    <row r="46" ht="14.25" customHeight="1">
      <c r="A46" s="42">
        <f t="shared" si="3"/>
        <v>33</v>
      </c>
      <c r="B46" s="35"/>
      <c r="C46" s="35"/>
      <c r="D46" s="35"/>
      <c r="E46" s="65"/>
      <c r="F46" s="65"/>
      <c r="G46" s="42"/>
      <c r="H46" s="110"/>
      <c r="I46" s="48"/>
      <c r="J46" s="43"/>
      <c r="K46" s="43"/>
      <c r="L46" s="107"/>
      <c r="M46" s="47"/>
      <c r="N46" s="43"/>
      <c r="O46" s="47"/>
      <c r="P46" s="47"/>
      <c r="Q46" s="47"/>
      <c r="R46" s="47"/>
      <c r="S46" s="47"/>
      <c r="T46" s="52"/>
      <c r="U46" s="53"/>
      <c r="V46" s="53"/>
      <c r="W46" s="53"/>
      <c r="X46" s="53"/>
      <c r="Y46" s="53"/>
      <c r="Z46" s="53"/>
    </row>
    <row r="47" ht="14.25" customHeight="1">
      <c r="A47" s="42">
        <f t="shared" si="3"/>
        <v>34</v>
      </c>
      <c r="B47" s="36"/>
      <c r="C47" s="36"/>
      <c r="D47" s="35"/>
      <c r="E47" s="69"/>
      <c r="F47" s="72"/>
      <c r="G47" s="39"/>
      <c r="H47" s="70"/>
      <c r="I47" s="71"/>
      <c r="J47" s="45"/>
      <c r="K47" s="45"/>
      <c r="L47" s="43"/>
      <c r="M47" s="73"/>
      <c r="N47" s="43"/>
      <c r="O47" s="73"/>
      <c r="P47" s="73"/>
      <c r="Q47" s="73"/>
      <c r="R47" s="73"/>
      <c r="S47" s="77"/>
      <c r="T47" s="78"/>
    </row>
    <row r="48" ht="14.25" customHeight="1">
      <c r="A48" s="42">
        <f t="shared" si="3"/>
        <v>35</v>
      </c>
      <c r="B48" s="36"/>
      <c r="C48" s="36"/>
      <c r="D48" s="35"/>
      <c r="E48" s="69"/>
      <c r="F48" s="72"/>
      <c r="G48" s="39"/>
      <c r="H48" s="70"/>
      <c r="I48" s="71"/>
      <c r="J48" s="45"/>
      <c r="K48" s="45"/>
      <c r="L48" s="43"/>
      <c r="M48" s="73"/>
      <c r="N48" s="43"/>
      <c r="O48" s="73"/>
      <c r="P48" s="73"/>
      <c r="Q48" s="73"/>
      <c r="R48" s="73"/>
      <c r="S48" s="77"/>
      <c r="T48" s="78"/>
    </row>
    <row r="49" ht="14.25" customHeight="1">
      <c r="A49" s="34"/>
      <c r="B49" s="36"/>
      <c r="C49" s="36"/>
      <c r="D49" s="35"/>
      <c r="E49" s="72"/>
      <c r="F49" s="72"/>
      <c r="G49" s="39"/>
      <c r="H49" s="70"/>
      <c r="I49" s="71"/>
      <c r="J49" s="43"/>
      <c r="K49" s="45"/>
      <c r="L49" s="75"/>
      <c r="M49" s="73"/>
      <c r="N49" s="76"/>
      <c r="O49" s="73"/>
      <c r="P49" s="73"/>
      <c r="Q49" s="73"/>
      <c r="R49" s="73"/>
      <c r="S49" s="77"/>
      <c r="T49" s="78"/>
    </row>
    <row r="50" ht="14.25" customHeight="1">
      <c r="A50" s="79" t="s">
        <v>73</v>
      </c>
      <c r="B50" s="80"/>
      <c r="C50" s="80"/>
      <c r="D50" s="80"/>
      <c r="E50" s="80"/>
      <c r="F50" s="80"/>
      <c r="G50" s="80"/>
      <c r="H50" s="81"/>
      <c r="I50" s="77">
        <f t="shared" ref="I50:O50" si="4">SUM(I14:I49)</f>
        <v>32</v>
      </c>
      <c r="J50" s="77">
        <f t="shared" si="4"/>
        <v>204300000</v>
      </c>
      <c r="K50" s="77">
        <f t="shared" si="4"/>
        <v>209494000</v>
      </c>
      <c r="L50" s="77">
        <f t="shared" si="4"/>
        <v>2</v>
      </c>
      <c r="M50" s="77">
        <f t="shared" si="4"/>
        <v>2000000</v>
      </c>
      <c r="N50" s="77">
        <f t="shared" si="4"/>
        <v>2</v>
      </c>
      <c r="O50" s="77">
        <f t="shared" si="4"/>
        <v>1000000</v>
      </c>
      <c r="P50" s="77"/>
      <c r="Q50" s="77"/>
      <c r="R50" s="77">
        <f t="shared" ref="R50:S50" si="5">SUM(R14:R49)</f>
        <v>208500000</v>
      </c>
      <c r="S50" s="77">
        <f t="shared" si="5"/>
        <v>213694000</v>
      </c>
      <c r="T50" s="78"/>
    </row>
    <row r="51" ht="17.25" customHeight="1">
      <c r="A51" s="79" t="s">
        <v>76</v>
      </c>
      <c r="B51" s="80"/>
      <c r="C51" s="80"/>
      <c r="D51" s="80"/>
      <c r="E51" s="80"/>
      <c r="F51" s="80"/>
      <c r="G51" s="80"/>
      <c r="H51" s="81"/>
      <c r="I51" s="83"/>
      <c r="J51" s="83"/>
      <c r="K51" s="83"/>
      <c r="L51" s="85"/>
      <c r="M51" s="85"/>
      <c r="N51" s="85"/>
      <c r="O51" s="85"/>
      <c r="P51" s="85"/>
      <c r="Q51" s="85"/>
      <c r="R51" s="85">
        <f t="shared" ref="R51:S51" si="6">SUM(R14:R49)</f>
        <v>208500000</v>
      </c>
      <c r="S51" s="85">
        <f t="shared" si="6"/>
        <v>213694000</v>
      </c>
      <c r="T51" s="87"/>
    </row>
    <row r="52" ht="17.25" customHeight="1">
      <c r="A52" s="79" t="s">
        <v>83</v>
      </c>
      <c r="B52" s="80"/>
      <c r="C52" s="80"/>
      <c r="D52" s="80"/>
      <c r="E52" s="80"/>
      <c r="F52" s="80"/>
      <c r="G52" s="80"/>
      <c r="H52" s="88"/>
      <c r="I52" s="89"/>
      <c r="J52" s="89"/>
      <c r="K52" s="90"/>
      <c r="L52" s="85"/>
      <c r="M52" s="85"/>
      <c r="N52" s="85"/>
      <c r="O52" s="85"/>
      <c r="P52" s="85"/>
      <c r="Q52" s="85"/>
      <c r="R52" s="85"/>
      <c r="S52" s="91">
        <f>S51-R51</f>
        <v>5194000</v>
      </c>
      <c r="T52" s="87"/>
    </row>
    <row r="53" ht="17.25" customHeight="1">
      <c r="A53" s="79" t="s">
        <v>86</v>
      </c>
      <c r="B53" s="80"/>
      <c r="C53" s="80"/>
      <c r="D53" s="80"/>
      <c r="E53" s="80"/>
      <c r="F53" s="80"/>
      <c r="G53" s="80"/>
      <c r="H53" s="81"/>
      <c r="I53" s="83"/>
      <c r="J53" s="83"/>
      <c r="K53" s="83"/>
      <c r="L53" s="85"/>
      <c r="M53" s="85"/>
      <c r="N53" s="85"/>
      <c r="O53" s="85"/>
      <c r="P53" s="85"/>
      <c r="Q53" s="85"/>
      <c r="R53" s="85"/>
      <c r="S53" s="85"/>
      <c r="T53" s="87"/>
    </row>
    <row r="54" ht="17.25" customHeight="1">
      <c r="A54" s="79" t="s">
        <v>88</v>
      </c>
      <c r="B54" s="80"/>
      <c r="C54" s="80"/>
      <c r="D54" s="80"/>
      <c r="E54" s="80"/>
      <c r="F54" s="80"/>
      <c r="G54" s="80"/>
      <c r="H54" s="81"/>
      <c r="I54" s="83"/>
      <c r="J54" s="83"/>
      <c r="K54" s="83"/>
      <c r="L54" s="85"/>
      <c r="M54" s="85"/>
      <c r="N54" s="85"/>
      <c r="O54" s="85"/>
      <c r="P54" s="85"/>
      <c r="Q54" s="85"/>
      <c r="R54" s="85"/>
      <c r="S54" s="85"/>
      <c r="T54" s="87"/>
    </row>
    <row r="55" ht="14.25" customHeight="1">
      <c r="A55" s="93" t="s">
        <v>89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5"/>
    </row>
    <row r="56" ht="37.5" customHeight="1">
      <c r="A56" s="96"/>
      <c r="B56" s="97"/>
      <c r="C56" s="97"/>
      <c r="D56" s="97"/>
      <c r="E56" s="97"/>
      <c r="F56" s="98"/>
      <c r="G56" s="99"/>
      <c r="H56" s="99"/>
      <c r="I56" s="100"/>
      <c r="J56" s="100"/>
      <c r="K56" s="100"/>
      <c r="L56" s="101"/>
      <c r="M56" s="101"/>
      <c r="N56" s="101"/>
      <c r="O56" s="101"/>
      <c r="P56" s="101"/>
      <c r="Q56" s="101"/>
      <c r="R56" s="101"/>
      <c r="S56" s="102"/>
      <c r="T56" s="98"/>
    </row>
    <row r="57" ht="19.5" customHeight="1">
      <c r="A57" s="10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9"/>
    </row>
    <row r="58" ht="14.25" customHeight="1">
      <c r="A58" s="104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6"/>
    </row>
    <row r="59" ht="14.25" customHeight="1"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4"/>
    </row>
    <row r="60" ht="14.25" customHeight="1"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4"/>
    </row>
    <row r="61" ht="14.25" customHeight="1"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4"/>
    </row>
    <row r="62" ht="14.25" customHeight="1"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4"/>
    </row>
    <row r="63" ht="14.25" customHeight="1"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4"/>
    </row>
    <row r="64" ht="14.25" customHeight="1"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4"/>
    </row>
    <row r="65" ht="14.25" customHeight="1"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4"/>
    </row>
    <row r="66" ht="14.25" customHeight="1"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4"/>
    </row>
    <row r="67" ht="14.25" customHeight="1"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4"/>
    </row>
    <row r="68" ht="14.25" customHeight="1"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4"/>
    </row>
    <row r="69" ht="14.25" customHeight="1"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4"/>
    </row>
    <row r="70" ht="14.25" customHeight="1"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4"/>
    </row>
    <row r="71" ht="14.25" customHeight="1"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4"/>
    </row>
    <row r="72" ht="14.25" customHeight="1"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4"/>
    </row>
    <row r="73" ht="14.25" customHeight="1"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4"/>
    </row>
    <row r="74" ht="14.25" customHeight="1"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4"/>
    </row>
    <row r="75" ht="14.25" customHeight="1"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4"/>
    </row>
    <row r="76" ht="14.25" customHeight="1"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4"/>
    </row>
    <row r="77" ht="14.25" customHeight="1"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4"/>
    </row>
    <row r="78" ht="14.25" customHeight="1"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4"/>
    </row>
    <row r="79" ht="14.25" customHeight="1"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4"/>
    </row>
    <row r="80" ht="14.25" customHeight="1"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4"/>
    </row>
    <row r="81" ht="14.25" customHeight="1"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4"/>
    </row>
    <row r="82" ht="14.25" customHeight="1"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4"/>
    </row>
    <row r="83" ht="14.25" customHeight="1"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4"/>
    </row>
    <row r="84" ht="14.25" customHeight="1"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4"/>
    </row>
    <row r="85" ht="14.25" customHeight="1"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4"/>
    </row>
    <row r="86" ht="14.25" customHeight="1"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4"/>
    </row>
    <row r="87" ht="14.25" customHeight="1"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4"/>
    </row>
    <row r="88" ht="14.25" customHeight="1"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4"/>
    </row>
    <row r="89" ht="14.25" customHeight="1"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4"/>
    </row>
    <row r="90" ht="14.25" customHeight="1"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4"/>
    </row>
    <row r="91" ht="14.25" customHeight="1"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4"/>
    </row>
    <row r="92" ht="14.25" customHeight="1"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4"/>
    </row>
    <row r="93" ht="14.25" customHeight="1"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4"/>
    </row>
    <row r="94" ht="14.25" customHeight="1"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4"/>
    </row>
    <row r="95" ht="14.25" customHeight="1"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4"/>
    </row>
    <row r="96" ht="14.25" customHeight="1"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4"/>
    </row>
    <row r="97" ht="14.25" customHeight="1"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4"/>
    </row>
    <row r="98" ht="14.25" customHeight="1"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4"/>
    </row>
    <row r="99" ht="14.25" customHeight="1"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4"/>
    </row>
    <row r="100" ht="14.25" customHeight="1"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4"/>
    </row>
    <row r="101" ht="14.25" customHeight="1"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4"/>
    </row>
    <row r="102" ht="14.25" customHeight="1"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4"/>
    </row>
    <row r="103" ht="14.25" customHeight="1"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4"/>
    </row>
    <row r="104" ht="14.25" customHeight="1"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4"/>
    </row>
    <row r="105" ht="14.25" customHeight="1"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4"/>
    </row>
    <row r="106" ht="14.25" customHeight="1"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4"/>
    </row>
    <row r="107" ht="14.25" customHeight="1"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4"/>
    </row>
    <row r="108" ht="14.25" customHeight="1"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4"/>
    </row>
    <row r="109" ht="14.25" customHeight="1"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4"/>
    </row>
    <row r="110" ht="14.25" customHeight="1"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4"/>
    </row>
    <row r="111" ht="14.25" customHeight="1"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4"/>
    </row>
    <row r="112" ht="14.25" customHeight="1"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4"/>
    </row>
    <row r="113" ht="14.25" customHeight="1"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4"/>
    </row>
    <row r="114" ht="14.25" customHeight="1"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4"/>
    </row>
    <row r="115" ht="14.25" customHeight="1"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4"/>
    </row>
    <row r="116" ht="14.25" customHeight="1"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4"/>
    </row>
    <row r="117" ht="14.25" customHeight="1"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4"/>
    </row>
    <row r="118" ht="14.25" customHeight="1"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4"/>
    </row>
    <row r="119" ht="14.25" customHeight="1"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4"/>
    </row>
    <row r="120" ht="14.25" customHeight="1"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4"/>
    </row>
    <row r="121" ht="14.25" customHeight="1"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4"/>
    </row>
    <row r="122" ht="14.25" customHeight="1"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4"/>
    </row>
    <row r="123" ht="14.25" customHeight="1"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4"/>
    </row>
    <row r="124" ht="14.25" customHeight="1"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4"/>
    </row>
    <row r="125" ht="14.25" customHeight="1"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4"/>
    </row>
    <row r="126" ht="14.25" customHeight="1"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4"/>
    </row>
    <row r="127" ht="14.25" customHeight="1"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4"/>
    </row>
    <row r="128" ht="14.25" customHeight="1"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4"/>
    </row>
    <row r="129" ht="14.25" customHeight="1"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4"/>
    </row>
    <row r="130" ht="14.25" customHeight="1"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4"/>
    </row>
    <row r="131" ht="14.25" customHeight="1"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4"/>
    </row>
    <row r="132" ht="14.25" customHeight="1"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4"/>
    </row>
    <row r="133" ht="14.25" customHeight="1"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4"/>
    </row>
    <row r="134" ht="14.25" customHeight="1"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4"/>
    </row>
    <row r="135" ht="14.25" customHeight="1"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4"/>
    </row>
    <row r="136" ht="14.25" customHeight="1"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4"/>
    </row>
    <row r="137" ht="14.25" customHeight="1"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4"/>
    </row>
    <row r="138" ht="14.25" customHeight="1"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4"/>
    </row>
    <row r="139" ht="14.25" customHeight="1"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4"/>
    </row>
    <row r="140" ht="14.25" customHeight="1"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4"/>
    </row>
    <row r="141" ht="14.25" customHeight="1"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4"/>
    </row>
    <row r="142" ht="14.25" customHeight="1"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4"/>
    </row>
    <row r="143" ht="14.25" customHeight="1"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4"/>
    </row>
    <row r="144" ht="14.25" customHeight="1"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4"/>
    </row>
    <row r="145" ht="14.25" customHeight="1"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4"/>
    </row>
    <row r="146" ht="14.25" customHeight="1"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4"/>
    </row>
    <row r="147" ht="14.25" customHeight="1"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4"/>
    </row>
    <row r="148" ht="14.25" customHeight="1"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4"/>
    </row>
    <row r="149" ht="14.25" customHeight="1"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4"/>
    </row>
    <row r="150" ht="14.25" customHeight="1"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4"/>
    </row>
    <row r="151" ht="14.25" customHeight="1"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4"/>
    </row>
    <row r="152" ht="14.25" customHeight="1"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4"/>
    </row>
    <row r="153" ht="14.25" customHeight="1"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4"/>
    </row>
    <row r="154" ht="14.25" customHeight="1"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4"/>
    </row>
    <row r="155" ht="14.25" customHeight="1"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4"/>
    </row>
    <row r="156" ht="14.25" customHeight="1"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4"/>
    </row>
    <row r="157" ht="14.25" customHeight="1"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4"/>
    </row>
    <row r="158" ht="14.25" customHeight="1"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4"/>
    </row>
    <row r="159" ht="14.25" customHeight="1"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4"/>
    </row>
    <row r="160" ht="14.25" customHeight="1"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4"/>
    </row>
    <row r="161" ht="14.25" customHeight="1"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4"/>
    </row>
    <row r="162" ht="14.25" customHeight="1"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4"/>
    </row>
    <row r="163" ht="14.25" customHeight="1"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4"/>
    </row>
    <row r="164" ht="14.25" customHeight="1"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4"/>
    </row>
    <row r="165" ht="14.25" customHeight="1"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4"/>
    </row>
    <row r="166" ht="14.25" customHeight="1"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4"/>
    </row>
    <row r="167" ht="14.25" customHeight="1"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4"/>
    </row>
    <row r="168" ht="14.25" customHeight="1"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4"/>
    </row>
    <row r="169" ht="14.25" customHeight="1"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4"/>
    </row>
    <row r="170" ht="14.25" customHeight="1"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4"/>
    </row>
    <row r="171" ht="14.25" customHeight="1"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4"/>
    </row>
    <row r="172" ht="14.25" customHeight="1"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4"/>
    </row>
    <row r="173" ht="14.25" customHeight="1"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4"/>
    </row>
    <row r="174" ht="14.25" customHeight="1"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4"/>
    </row>
    <row r="175" ht="14.25" customHeight="1"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4"/>
    </row>
    <row r="176" ht="14.25" customHeight="1"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4"/>
    </row>
    <row r="177" ht="14.25" customHeight="1"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4"/>
    </row>
    <row r="178" ht="14.25" customHeight="1"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4"/>
    </row>
    <row r="179" ht="14.25" customHeight="1"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4"/>
    </row>
    <row r="180" ht="14.25" customHeight="1"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4"/>
    </row>
    <row r="181" ht="14.25" customHeight="1"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4"/>
    </row>
    <row r="182" ht="14.25" customHeight="1"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4"/>
    </row>
    <row r="183" ht="14.25" customHeight="1"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4"/>
    </row>
    <row r="184" ht="14.25" customHeight="1"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4"/>
    </row>
    <row r="185" ht="14.25" customHeight="1"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4"/>
    </row>
    <row r="186" ht="14.25" customHeight="1"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4"/>
    </row>
    <row r="187" ht="14.25" customHeight="1"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4"/>
    </row>
    <row r="188" ht="14.25" customHeight="1"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4"/>
    </row>
    <row r="189" ht="14.25" customHeight="1"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4"/>
    </row>
    <row r="190" ht="14.25" customHeight="1"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4"/>
    </row>
    <row r="191" ht="14.25" customHeight="1"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4"/>
    </row>
    <row r="192" ht="14.25" customHeight="1"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4"/>
    </row>
    <row r="193" ht="14.25" customHeight="1"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4"/>
    </row>
    <row r="194" ht="14.25" customHeight="1"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4"/>
    </row>
    <row r="195" ht="14.25" customHeight="1"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4"/>
    </row>
    <row r="196" ht="14.25" customHeight="1"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4"/>
    </row>
    <row r="197" ht="14.25" customHeight="1"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4"/>
    </row>
    <row r="198" ht="14.25" customHeight="1"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4"/>
    </row>
    <row r="199" ht="14.25" customHeight="1"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4"/>
    </row>
    <row r="200" ht="14.25" customHeight="1"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4"/>
    </row>
    <row r="201" ht="14.25" customHeight="1"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4"/>
    </row>
    <row r="202" ht="14.25" customHeight="1"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4"/>
    </row>
    <row r="203" ht="14.25" customHeight="1"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4"/>
    </row>
    <row r="204" ht="14.25" customHeight="1"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4"/>
    </row>
    <row r="205" ht="14.25" customHeight="1"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4"/>
    </row>
    <row r="206" ht="14.25" customHeight="1"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4"/>
    </row>
    <row r="207" ht="14.25" customHeight="1"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4"/>
    </row>
    <row r="208" ht="14.25" customHeight="1"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4"/>
    </row>
    <row r="209" ht="14.25" customHeight="1"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4"/>
    </row>
    <row r="210" ht="14.25" customHeight="1"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4"/>
    </row>
    <row r="211" ht="14.25" customHeight="1"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4"/>
    </row>
    <row r="212" ht="14.25" customHeight="1"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4"/>
    </row>
    <row r="213" ht="14.25" customHeight="1"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4"/>
    </row>
    <row r="214" ht="14.25" customHeight="1"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4"/>
    </row>
    <row r="215" ht="14.25" customHeight="1"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4"/>
    </row>
    <row r="216" ht="14.25" customHeight="1"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4"/>
    </row>
    <row r="217" ht="14.25" customHeight="1"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4"/>
    </row>
    <row r="218" ht="14.25" customHeight="1"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4"/>
    </row>
    <row r="219" ht="14.25" customHeight="1"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4"/>
    </row>
    <row r="220" ht="14.25" customHeight="1"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4"/>
    </row>
    <row r="221" ht="14.25" customHeight="1"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4"/>
    </row>
    <row r="222" ht="14.25" customHeight="1"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4"/>
    </row>
    <row r="223" ht="14.25" customHeight="1"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4"/>
    </row>
    <row r="224" ht="14.25" customHeight="1"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4"/>
    </row>
    <row r="225" ht="14.25" customHeight="1"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4"/>
    </row>
    <row r="226" ht="14.25" customHeight="1"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4"/>
    </row>
    <row r="227" ht="14.25" customHeight="1"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4"/>
    </row>
    <row r="228" ht="14.25" customHeight="1"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4"/>
    </row>
    <row r="229" ht="14.25" customHeight="1"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4"/>
    </row>
    <row r="230" ht="14.25" customHeight="1"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4"/>
    </row>
    <row r="231" ht="14.25" customHeight="1"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4"/>
    </row>
    <row r="232" ht="14.25" customHeight="1"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4"/>
    </row>
    <row r="233" ht="14.25" customHeight="1"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4"/>
    </row>
    <row r="234" ht="14.25" customHeight="1"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4"/>
    </row>
    <row r="235" ht="14.25" customHeight="1"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4"/>
    </row>
    <row r="236" ht="14.25" customHeight="1"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4"/>
    </row>
    <row r="237" ht="14.25" customHeight="1"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4"/>
    </row>
    <row r="238" ht="14.25" customHeight="1"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4"/>
    </row>
    <row r="239" ht="14.25" customHeight="1"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4"/>
    </row>
    <row r="240" ht="14.25" customHeight="1"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4"/>
    </row>
    <row r="241" ht="14.25" customHeight="1"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4"/>
    </row>
    <row r="242" ht="14.25" customHeight="1"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4"/>
    </row>
    <row r="243" ht="14.25" customHeight="1"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4"/>
    </row>
    <row r="244" ht="14.25" customHeight="1"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4"/>
    </row>
    <row r="245" ht="14.25" customHeight="1"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4"/>
    </row>
    <row r="246" ht="14.25" customHeight="1"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4"/>
    </row>
    <row r="247" ht="14.25" customHeight="1"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4"/>
    </row>
    <row r="248" ht="14.25" customHeight="1"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4"/>
    </row>
    <row r="249" ht="14.25" customHeight="1"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4"/>
    </row>
    <row r="250" ht="14.25" customHeight="1"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4"/>
    </row>
    <row r="251" ht="14.25" customHeight="1"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4"/>
    </row>
    <row r="252" ht="14.25" customHeight="1"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4"/>
    </row>
    <row r="253" ht="14.25" customHeight="1"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4"/>
    </row>
    <row r="254" ht="14.25" customHeight="1"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4"/>
    </row>
    <row r="255" ht="14.25" customHeight="1"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4"/>
    </row>
    <row r="256" ht="14.25" customHeight="1"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4"/>
    </row>
    <row r="257" ht="14.25" customHeight="1"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4"/>
    </row>
    <row r="258" ht="14.25" customHeight="1"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4"/>
    </row>
    <row r="259" ht="14.25" customHeight="1"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4"/>
    </row>
    <row r="260" ht="14.25" customHeight="1"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4"/>
    </row>
    <row r="261" ht="14.25" customHeight="1"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4"/>
    </row>
    <row r="262" ht="14.25" customHeight="1"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4"/>
    </row>
    <row r="263" ht="14.25" customHeight="1"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4"/>
    </row>
    <row r="264" ht="14.25" customHeight="1"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4"/>
    </row>
    <row r="265" ht="14.25" customHeight="1"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4"/>
    </row>
    <row r="266" ht="14.25" customHeight="1"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4"/>
    </row>
    <row r="267" ht="14.25" customHeight="1"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4"/>
    </row>
    <row r="268" ht="14.25" customHeight="1"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4"/>
    </row>
    <row r="269" ht="14.25" customHeight="1"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4"/>
    </row>
    <row r="270" ht="14.25" customHeight="1"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4"/>
    </row>
    <row r="271" ht="14.25" customHeight="1"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4"/>
    </row>
    <row r="272" ht="14.25" customHeight="1"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4"/>
    </row>
    <row r="273" ht="14.25" customHeight="1"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4"/>
    </row>
    <row r="274" ht="14.25" customHeight="1"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4"/>
    </row>
    <row r="275" ht="14.25" customHeight="1"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4"/>
    </row>
    <row r="276" ht="14.25" customHeight="1"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4"/>
    </row>
    <row r="277" ht="14.25" customHeight="1"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4"/>
    </row>
    <row r="278" ht="14.25" customHeight="1"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4"/>
    </row>
    <row r="279" ht="14.25" customHeight="1"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4"/>
    </row>
    <row r="280" ht="14.25" customHeight="1"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4"/>
    </row>
    <row r="281" ht="14.25" customHeight="1"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4"/>
    </row>
    <row r="282" ht="14.25" customHeight="1"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4"/>
    </row>
    <row r="283" ht="14.25" customHeight="1"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4"/>
    </row>
    <row r="284" ht="14.25" customHeight="1"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4"/>
    </row>
    <row r="285" ht="14.25" customHeight="1"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4"/>
    </row>
    <row r="286" ht="14.25" customHeight="1"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4"/>
    </row>
    <row r="287" ht="14.25" customHeight="1"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4"/>
    </row>
    <row r="288" ht="14.25" customHeight="1"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4"/>
    </row>
    <row r="289" ht="14.25" customHeight="1"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4"/>
    </row>
    <row r="290" ht="14.25" customHeight="1"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4"/>
    </row>
    <row r="291" ht="14.25" customHeight="1"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4"/>
    </row>
    <row r="292" ht="14.25" customHeight="1"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4"/>
    </row>
    <row r="293" ht="14.25" customHeight="1"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4"/>
    </row>
    <row r="294" ht="14.25" customHeight="1"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4"/>
    </row>
    <row r="295" ht="14.25" customHeight="1"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4"/>
    </row>
    <row r="296" ht="14.25" customHeight="1"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4"/>
    </row>
    <row r="297" ht="14.25" customHeight="1"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4"/>
    </row>
    <row r="298" ht="14.25" customHeight="1"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4"/>
    </row>
    <row r="299" ht="14.25" customHeight="1"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4"/>
    </row>
    <row r="300" ht="14.25" customHeight="1"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4"/>
    </row>
    <row r="301" ht="14.25" customHeight="1"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4"/>
    </row>
    <row r="302" ht="14.25" customHeight="1"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4"/>
    </row>
    <row r="303" ht="14.25" customHeight="1"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4"/>
    </row>
    <row r="304" ht="14.25" customHeight="1"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4"/>
    </row>
    <row r="305" ht="14.25" customHeight="1"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4"/>
    </row>
    <row r="306" ht="14.25" customHeight="1"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4"/>
    </row>
    <row r="307" ht="14.25" customHeight="1"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4"/>
    </row>
    <row r="308" ht="14.25" customHeight="1"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4"/>
    </row>
    <row r="309" ht="14.25" customHeight="1"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4"/>
    </row>
    <row r="310" ht="14.25" customHeight="1"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4"/>
    </row>
    <row r="311" ht="14.25" customHeight="1"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4"/>
    </row>
    <row r="312" ht="14.25" customHeight="1"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4"/>
    </row>
    <row r="313" ht="14.25" customHeight="1"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4"/>
    </row>
    <row r="314" ht="14.25" customHeight="1"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4"/>
    </row>
    <row r="315" ht="14.25" customHeight="1"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4"/>
    </row>
    <row r="316" ht="14.25" customHeight="1"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4"/>
    </row>
    <row r="317" ht="14.25" customHeight="1"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4"/>
    </row>
    <row r="318" ht="14.25" customHeight="1"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4"/>
    </row>
    <row r="319" ht="14.25" customHeight="1"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4"/>
    </row>
    <row r="320" ht="14.25" customHeight="1"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4"/>
    </row>
    <row r="321" ht="14.25" customHeight="1"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4"/>
    </row>
    <row r="322" ht="14.25" customHeight="1"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4"/>
    </row>
    <row r="323" ht="14.25" customHeight="1"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4"/>
    </row>
    <row r="324" ht="14.25" customHeight="1"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4"/>
    </row>
    <row r="325" ht="14.25" customHeight="1"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4"/>
    </row>
    <row r="326" ht="14.25" customHeight="1"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4"/>
    </row>
    <row r="327" ht="14.25" customHeight="1"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4"/>
    </row>
    <row r="328" ht="14.25" customHeight="1"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4"/>
    </row>
    <row r="329" ht="14.25" customHeight="1"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4"/>
    </row>
    <row r="330" ht="14.25" customHeight="1"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4"/>
    </row>
    <row r="331" ht="14.25" customHeight="1"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4"/>
    </row>
    <row r="332" ht="14.25" customHeight="1"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4"/>
    </row>
    <row r="333" ht="14.25" customHeight="1"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4"/>
    </row>
    <row r="334" ht="14.25" customHeight="1"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4"/>
    </row>
    <row r="335" ht="14.25" customHeight="1"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4"/>
    </row>
    <row r="336" ht="14.25" customHeight="1"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4"/>
    </row>
    <row r="337" ht="14.25" customHeight="1"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4"/>
    </row>
    <row r="338" ht="14.25" customHeight="1"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4"/>
    </row>
    <row r="339" ht="14.25" customHeight="1"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4"/>
    </row>
    <row r="340" ht="14.25" customHeight="1"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4"/>
    </row>
    <row r="341" ht="14.25" customHeight="1"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4"/>
    </row>
    <row r="342" ht="14.25" customHeight="1"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4"/>
    </row>
    <row r="343" ht="14.25" customHeight="1"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4"/>
    </row>
    <row r="344" ht="14.25" customHeight="1"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4"/>
    </row>
    <row r="345" ht="14.25" customHeight="1"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4"/>
    </row>
    <row r="346" ht="14.25" customHeight="1"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4"/>
    </row>
    <row r="347" ht="14.25" customHeight="1"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4"/>
    </row>
    <row r="348" ht="14.25" customHeight="1"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4"/>
    </row>
    <row r="349" ht="14.25" customHeight="1"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4"/>
    </row>
    <row r="350" ht="14.25" customHeight="1"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4"/>
    </row>
    <row r="351" ht="14.25" customHeight="1"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4"/>
    </row>
    <row r="352" ht="14.25" customHeight="1"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4"/>
    </row>
    <row r="353" ht="14.25" customHeight="1"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4"/>
    </row>
    <row r="354" ht="14.25" customHeight="1"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4"/>
    </row>
    <row r="355" ht="14.25" customHeight="1"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4"/>
    </row>
    <row r="356" ht="14.25" customHeight="1"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4"/>
    </row>
    <row r="357" ht="14.25" customHeight="1"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4"/>
    </row>
    <row r="358" ht="14.25" customHeight="1"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4"/>
    </row>
    <row r="359" ht="14.25" customHeight="1"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4"/>
    </row>
    <row r="360" ht="14.25" customHeight="1"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4"/>
    </row>
    <row r="361" ht="14.25" customHeight="1"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4"/>
    </row>
    <row r="362" ht="14.25" customHeight="1"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4"/>
    </row>
    <row r="363" ht="14.25" customHeight="1"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4"/>
    </row>
    <row r="364" ht="14.25" customHeight="1"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4"/>
    </row>
    <row r="365" ht="14.25" customHeight="1"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4"/>
    </row>
    <row r="366" ht="14.25" customHeight="1"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4"/>
    </row>
    <row r="367" ht="14.25" customHeight="1"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4"/>
    </row>
    <row r="368" ht="14.25" customHeight="1"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4"/>
    </row>
    <row r="369" ht="14.25" customHeight="1"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4"/>
    </row>
    <row r="370" ht="14.25" customHeight="1"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4"/>
    </row>
    <row r="371" ht="14.25" customHeight="1"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4"/>
    </row>
    <row r="372" ht="14.25" customHeight="1"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4"/>
    </row>
    <row r="373" ht="14.25" customHeight="1"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4"/>
    </row>
    <row r="374" ht="14.25" customHeight="1"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4"/>
    </row>
    <row r="375" ht="14.25" customHeight="1"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4"/>
    </row>
    <row r="376" ht="14.25" customHeight="1"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4"/>
    </row>
    <row r="377" ht="14.25" customHeight="1"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4"/>
    </row>
    <row r="378" ht="14.25" customHeight="1"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4"/>
    </row>
    <row r="379" ht="14.25" customHeight="1"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4"/>
    </row>
    <row r="380" ht="14.25" customHeight="1"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4"/>
    </row>
    <row r="381" ht="14.25" customHeight="1"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4"/>
    </row>
    <row r="382" ht="14.25" customHeight="1"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4"/>
    </row>
    <row r="383" ht="14.25" customHeight="1"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4"/>
    </row>
    <row r="384" ht="14.25" customHeight="1"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4"/>
    </row>
    <row r="385" ht="14.25" customHeight="1"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4"/>
    </row>
    <row r="386" ht="14.25" customHeight="1"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4"/>
    </row>
    <row r="387" ht="14.25" customHeight="1"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4"/>
    </row>
    <row r="388" ht="14.25" customHeight="1"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4"/>
    </row>
    <row r="389" ht="14.25" customHeight="1"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4"/>
    </row>
    <row r="390" ht="14.25" customHeight="1"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4"/>
    </row>
    <row r="391" ht="14.25" customHeight="1"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4"/>
    </row>
    <row r="392" ht="14.25" customHeight="1"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4"/>
    </row>
    <row r="393" ht="14.25" customHeight="1"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4"/>
    </row>
    <row r="394" ht="14.25" customHeight="1"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4"/>
    </row>
    <row r="395" ht="14.25" customHeight="1"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4"/>
    </row>
    <row r="396" ht="14.25" customHeight="1"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4"/>
    </row>
    <row r="397" ht="14.25" customHeight="1"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4"/>
    </row>
    <row r="398" ht="14.25" customHeight="1"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4"/>
    </row>
    <row r="399" ht="14.25" customHeight="1"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4"/>
    </row>
    <row r="400" ht="14.25" customHeight="1"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4"/>
    </row>
    <row r="401" ht="14.25" customHeight="1"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4"/>
    </row>
    <row r="402" ht="14.25" customHeight="1"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4"/>
    </row>
    <row r="403" ht="14.25" customHeight="1"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4"/>
    </row>
    <row r="404" ht="14.25" customHeight="1"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4"/>
    </row>
    <row r="405" ht="14.25" customHeight="1"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4"/>
    </row>
    <row r="406" ht="14.25" customHeight="1"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4"/>
    </row>
    <row r="407" ht="14.25" customHeight="1"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4"/>
    </row>
    <row r="408" ht="14.25" customHeight="1"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4"/>
    </row>
    <row r="409" ht="14.25" customHeight="1"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4"/>
    </row>
    <row r="410" ht="14.25" customHeight="1"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4"/>
    </row>
    <row r="411" ht="14.25" customHeight="1"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4"/>
    </row>
    <row r="412" ht="14.25" customHeight="1"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4"/>
    </row>
    <row r="413" ht="14.25" customHeight="1"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4"/>
    </row>
    <row r="414" ht="14.25" customHeight="1"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4"/>
    </row>
    <row r="415" ht="14.25" customHeight="1"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4"/>
    </row>
    <row r="416" ht="14.25" customHeight="1"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4"/>
    </row>
    <row r="417" ht="14.25" customHeight="1"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4"/>
    </row>
    <row r="418" ht="14.25" customHeight="1"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4"/>
    </row>
    <row r="419" ht="14.25" customHeight="1"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4"/>
    </row>
    <row r="420" ht="14.25" customHeight="1"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4"/>
    </row>
    <row r="421" ht="14.25" customHeight="1"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4"/>
    </row>
    <row r="422" ht="14.25" customHeight="1"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4"/>
    </row>
    <row r="423" ht="14.25" customHeight="1"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4"/>
    </row>
    <row r="424" ht="14.25" customHeight="1"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4"/>
    </row>
    <row r="425" ht="14.25" customHeight="1"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4"/>
    </row>
    <row r="426" ht="14.25" customHeight="1"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4"/>
    </row>
    <row r="427" ht="14.25" customHeight="1"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4"/>
    </row>
    <row r="428" ht="14.25" customHeight="1"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4"/>
    </row>
    <row r="429" ht="14.25" customHeight="1"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4"/>
    </row>
    <row r="430" ht="14.25" customHeight="1"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4"/>
    </row>
    <row r="431" ht="14.25" customHeight="1"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4"/>
    </row>
    <row r="432" ht="14.25" customHeight="1"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4"/>
    </row>
    <row r="433" ht="14.25" customHeight="1"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4"/>
    </row>
    <row r="434" ht="14.25" customHeight="1"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4"/>
    </row>
    <row r="435" ht="14.25" customHeight="1"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4"/>
    </row>
    <row r="436" ht="14.25" customHeight="1"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4"/>
    </row>
    <row r="437" ht="14.25" customHeight="1"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4"/>
    </row>
    <row r="438" ht="14.25" customHeight="1"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4"/>
    </row>
    <row r="439" ht="14.25" customHeight="1"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4"/>
    </row>
    <row r="440" ht="14.25" customHeight="1"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4"/>
    </row>
    <row r="441" ht="14.25" customHeight="1"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4"/>
    </row>
    <row r="442" ht="14.25" customHeight="1"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4"/>
    </row>
    <row r="443" ht="14.25" customHeight="1"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4"/>
    </row>
    <row r="444" ht="14.25" customHeight="1"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4"/>
    </row>
    <row r="445" ht="14.25" customHeight="1"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4"/>
    </row>
    <row r="446" ht="14.25" customHeight="1"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4"/>
    </row>
    <row r="447" ht="14.25" customHeight="1"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4"/>
    </row>
    <row r="448" ht="14.25" customHeight="1"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4"/>
    </row>
    <row r="449" ht="14.25" customHeight="1"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4"/>
    </row>
    <row r="450" ht="14.25" customHeight="1"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4"/>
    </row>
    <row r="451" ht="14.25" customHeight="1"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4"/>
    </row>
    <row r="452" ht="14.25" customHeight="1"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4"/>
    </row>
    <row r="453" ht="14.25" customHeight="1"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4"/>
    </row>
    <row r="454" ht="14.25" customHeight="1"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4"/>
    </row>
    <row r="455" ht="14.25" customHeight="1"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4"/>
    </row>
    <row r="456" ht="14.25" customHeight="1"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4"/>
    </row>
    <row r="457" ht="14.25" customHeight="1"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4"/>
    </row>
    <row r="458" ht="14.25" customHeight="1"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4"/>
    </row>
    <row r="459" ht="14.25" customHeight="1"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4"/>
    </row>
    <row r="460" ht="14.25" customHeight="1"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4"/>
    </row>
    <row r="461" ht="14.25" customHeight="1"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4"/>
    </row>
    <row r="462" ht="14.25" customHeight="1"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4"/>
    </row>
    <row r="463" ht="14.25" customHeight="1"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4"/>
    </row>
    <row r="464" ht="14.25" customHeight="1"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4"/>
    </row>
    <row r="465" ht="14.25" customHeight="1"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4"/>
    </row>
    <row r="466" ht="14.25" customHeight="1"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4"/>
    </row>
    <row r="467" ht="14.25" customHeight="1"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4"/>
    </row>
    <row r="468" ht="14.25" customHeight="1"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4"/>
    </row>
    <row r="469" ht="14.25" customHeight="1"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4"/>
    </row>
    <row r="470" ht="14.25" customHeight="1"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4"/>
    </row>
    <row r="471" ht="14.25" customHeight="1"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4"/>
    </row>
    <row r="472" ht="14.25" customHeight="1"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4"/>
    </row>
    <row r="473" ht="14.25" customHeight="1"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4"/>
    </row>
    <row r="474" ht="14.25" customHeight="1"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4"/>
    </row>
    <row r="475" ht="14.25" customHeight="1"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4"/>
    </row>
    <row r="476" ht="14.25" customHeight="1"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4"/>
    </row>
    <row r="477" ht="14.25" customHeight="1"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4"/>
    </row>
    <row r="478" ht="14.25" customHeight="1"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4"/>
    </row>
    <row r="479" ht="14.25" customHeight="1"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4"/>
    </row>
    <row r="480" ht="14.25" customHeight="1"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4"/>
    </row>
    <row r="481" ht="14.25" customHeight="1"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4"/>
    </row>
    <row r="482" ht="14.25" customHeight="1"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4"/>
    </row>
    <row r="483" ht="14.25" customHeight="1"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4"/>
    </row>
    <row r="484" ht="14.25" customHeight="1"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4"/>
    </row>
    <row r="485" ht="14.25" customHeight="1"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4"/>
    </row>
    <row r="486" ht="14.25" customHeight="1"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4"/>
    </row>
    <row r="487" ht="14.25" customHeight="1"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4"/>
    </row>
    <row r="488" ht="14.25" customHeight="1"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4"/>
    </row>
    <row r="489" ht="14.25" customHeight="1"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4"/>
    </row>
    <row r="490" ht="14.25" customHeight="1"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4"/>
    </row>
    <row r="491" ht="14.25" customHeight="1"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4"/>
    </row>
    <row r="492" ht="14.25" customHeight="1"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4"/>
    </row>
    <row r="493" ht="14.25" customHeight="1"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4"/>
    </row>
    <row r="494" ht="14.25" customHeight="1"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4"/>
    </row>
    <row r="495" ht="14.25" customHeight="1"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4"/>
    </row>
    <row r="496" ht="14.25" customHeight="1"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4"/>
    </row>
    <row r="497" ht="14.25" customHeight="1"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4"/>
    </row>
    <row r="498" ht="14.25" customHeight="1"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4"/>
    </row>
    <row r="499" ht="14.25" customHeight="1"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4"/>
    </row>
    <row r="500" ht="14.25" customHeight="1"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4"/>
    </row>
    <row r="501" ht="14.25" customHeight="1"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4"/>
    </row>
    <row r="502" ht="14.25" customHeight="1"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4"/>
    </row>
    <row r="503" ht="14.25" customHeight="1"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4"/>
    </row>
    <row r="504" ht="14.25" customHeight="1"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4"/>
    </row>
    <row r="505" ht="14.25" customHeight="1"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4"/>
    </row>
    <row r="506" ht="14.25" customHeight="1"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4"/>
    </row>
    <row r="507" ht="14.25" customHeight="1"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4"/>
    </row>
    <row r="508" ht="14.25" customHeight="1"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4"/>
    </row>
    <row r="509" ht="14.25" customHeight="1"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4"/>
    </row>
    <row r="510" ht="14.25" customHeight="1"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4"/>
    </row>
    <row r="511" ht="14.25" customHeight="1"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4"/>
    </row>
    <row r="512" ht="14.25" customHeight="1"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4"/>
    </row>
    <row r="513" ht="14.25" customHeight="1"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4"/>
    </row>
    <row r="514" ht="14.25" customHeight="1"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4"/>
    </row>
    <row r="515" ht="14.25" customHeight="1"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4"/>
    </row>
    <row r="516" ht="14.25" customHeight="1"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4"/>
    </row>
    <row r="517" ht="14.25" customHeight="1"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4"/>
    </row>
    <row r="518" ht="14.25" customHeight="1"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4"/>
    </row>
    <row r="519" ht="14.25" customHeight="1"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4"/>
    </row>
    <row r="520" ht="14.25" customHeight="1"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4"/>
    </row>
    <row r="521" ht="14.25" customHeight="1"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4"/>
    </row>
    <row r="522" ht="14.25" customHeight="1"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4"/>
    </row>
    <row r="523" ht="14.25" customHeight="1"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4"/>
    </row>
    <row r="524" ht="14.25" customHeight="1"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4"/>
    </row>
    <row r="525" ht="14.25" customHeight="1"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4"/>
    </row>
    <row r="526" ht="14.25" customHeight="1"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4"/>
    </row>
    <row r="527" ht="14.25" customHeight="1"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4"/>
    </row>
    <row r="528" ht="14.25" customHeight="1"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4"/>
    </row>
    <row r="529" ht="14.25" customHeight="1"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4"/>
    </row>
    <row r="530" ht="14.25" customHeight="1"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4"/>
    </row>
    <row r="531" ht="14.25" customHeight="1"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4"/>
    </row>
    <row r="532" ht="14.25" customHeight="1"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4"/>
    </row>
    <row r="533" ht="14.25" customHeight="1"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4"/>
    </row>
    <row r="534" ht="14.25" customHeight="1"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4"/>
    </row>
    <row r="535" ht="14.25" customHeight="1"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4"/>
    </row>
    <row r="536" ht="14.25" customHeight="1"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4"/>
    </row>
    <row r="537" ht="14.25" customHeight="1"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4"/>
    </row>
    <row r="538" ht="14.25" customHeight="1"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4"/>
    </row>
    <row r="539" ht="14.25" customHeight="1"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4"/>
    </row>
    <row r="540" ht="14.25" customHeight="1"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4"/>
    </row>
    <row r="541" ht="14.25" customHeight="1"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4"/>
    </row>
    <row r="542" ht="14.25" customHeight="1"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4"/>
    </row>
    <row r="543" ht="14.25" customHeight="1"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4"/>
    </row>
    <row r="544" ht="14.25" customHeight="1"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4"/>
    </row>
    <row r="545" ht="14.25" customHeight="1"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4"/>
    </row>
    <row r="546" ht="14.25" customHeight="1"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4"/>
    </row>
    <row r="547" ht="14.25" customHeight="1"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4"/>
    </row>
    <row r="548" ht="14.25" customHeight="1"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4"/>
    </row>
    <row r="549" ht="14.25" customHeight="1"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4"/>
    </row>
    <row r="550" ht="14.25" customHeight="1"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4"/>
    </row>
    <row r="551" ht="14.25" customHeight="1"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4"/>
    </row>
    <row r="552" ht="14.25" customHeight="1"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4"/>
    </row>
    <row r="553" ht="14.25" customHeight="1"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4"/>
    </row>
    <row r="554" ht="14.25" customHeight="1"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4"/>
    </row>
    <row r="555" ht="14.25" customHeight="1"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4"/>
    </row>
    <row r="556" ht="14.25" customHeight="1"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4"/>
    </row>
    <row r="557" ht="14.25" customHeight="1"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4"/>
    </row>
    <row r="558" ht="14.25" customHeight="1"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4"/>
    </row>
    <row r="559" ht="14.25" customHeight="1"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4"/>
    </row>
    <row r="560" ht="14.25" customHeight="1"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4"/>
    </row>
    <row r="561" ht="14.25" customHeight="1"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4"/>
    </row>
    <row r="562" ht="14.25" customHeight="1"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4"/>
    </row>
    <row r="563" ht="14.25" customHeight="1"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4"/>
    </row>
    <row r="564" ht="14.25" customHeight="1"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4"/>
    </row>
    <row r="565" ht="14.25" customHeight="1"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4"/>
    </row>
    <row r="566" ht="14.25" customHeight="1"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4"/>
    </row>
    <row r="567" ht="14.25" customHeight="1"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4"/>
    </row>
    <row r="568" ht="14.25" customHeight="1"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4"/>
    </row>
    <row r="569" ht="14.25" customHeight="1"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4"/>
    </row>
    <row r="570" ht="14.25" customHeight="1"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4"/>
    </row>
    <row r="571" ht="14.25" customHeight="1"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4"/>
    </row>
    <row r="572" ht="14.25" customHeight="1"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4"/>
    </row>
    <row r="573" ht="14.25" customHeight="1"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4"/>
    </row>
    <row r="574" ht="14.25" customHeight="1"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4"/>
    </row>
    <row r="575" ht="14.25" customHeight="1"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4"/>
    </row>
    <row r="576" ht="14.25" customHeight="1"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4"/>
    </row>
    <row r="577" ht="14.25" customHeight="1"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4"/>
    </row>
    <row r="578" ht="14.25" customHeight="1"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4"/>
    </row>
    <row r="579" ht="14.25" customHeight="1"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4"/>
    </row>
    <row r="580" ht="14.25" customHeight="1"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4"/>
    </row>
    <row r="581" ht="14.25" customHeight="1"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4"/>
    </row>
    <row r="582" ht="14.25" customHeight="1"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4"/>
    </row>
    <row r="583" ht="14.25" customHeight="1"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4"/>
    </row>
    <row r="584" ht="14.25" customHeight="1"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4"/>
    </row>
    <row r="585" ht="14.25" customHeight="1"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4"/>
    </row>
    <row r="586" ht="14.25" customHeight="1"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4"/>
    </row>
    <row r="587" ht="14.25" customHeight="1"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4"/>
    </row>
    <row r="588" ht="14.25" customHeight="1"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4"/>
    </row>
    <row r="589" ht="14.25" customHeight="1"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4"/>
    </row>
    <row r="590" ht="14.25" customHeight="1"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4"/>
    </row>
    <row r="591" ht="14.25" customHeight="1"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4"/>
    </row>
    <row r="592" ht="14.25" customHeight="1"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4"/>
    </row>
    <row r="593" ht="14.25" customHeight="1"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4"/>
    </row>
    <row r="594" ht="14.25" customHeight="1"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4"/>
    </row>
    <row r="595" ht="14.25" customHeight="1"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4"/>
    </row>
    <row r="596" ht="14.25" customHeight="1"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4"/>
    </row>
    <row r="597" ht="14.25" customHeight="1"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4"/>
    </row>
    <row r="598" ht="14.25" customHeight="1"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4"/>
    </row>
    <row r="599" ht="14.25" customHeight="1"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4"/>
    </row>
    <row r="600" ht="14.25" customHeight="1"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4"/>
    </row>
    <row r="601" ht="14.25" customHeight="1"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4"/>
    </row>
    <row r="602" ht="14.25" customHeight="1"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4"/>
    </row>
    <row r="603" ht="14.25" customHeight="1"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4"/>
    </row>
    <row r="604" ht="14.25" customHeight="1"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4"/>
    </row>
    <row r="605" ht="14.25" customHeight="1"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4"/>
    </row>
    <row r="606" ht="14.25" customHeight="1"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4"/>
    </row>
    <row r="607" ht="14.25" customHeight="1"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4"/>
    </row>
    <row r="608" ht="14.25" customHeight="1"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4"/>
    </row>
    <row r="609" ht="14.25" customHeight="1"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4"/>
    </row>
    <row r="610" ht="14.25" customHeight="1"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4"/>
    </row>
    <row r="611" ht="14.25" customHeight="1"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4"/>
    </row>
    <row r="612" ht="14.25" customHeight="1"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4"/>
    </row>
    <row r="613" ht="14.25" customHeight="1"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4"/>
    </row>
    <row r="614" ht="14.25" customHeight="1"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4"/>
    </row>
    <row r="615" ht="14.25" customHeight="1"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4"/>
    </row>
    <row r="616" ht="14.25" customHeight="1"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4"/>
    </row>
    <row r="617" ht="14.25" customHeight="1"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4"/>
    </row>
    <row r="618" ht="14.25" customHeight="1"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4"/>
    </row>
    <row r="619" ht="14.25" customHeight="1"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4"/>
    </row>
    <row r="620" ht="14.25" customHeight="1"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4"/>
    </row>
    <row r="621" ht="14.25" customHeight="1"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4"/>
    </row>
    <row r="622" ht="14.25" customHeight="1"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4"/>
    </row>
    <row r="623" ht="14.25" customHeight="1"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4"/>
    </row>
    <row r="624" ht="14.25" customHeight="1"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4"/>
    </row>
    <row r="625" ht="14.25" customHeight="1"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4"/>
    </row>
    <row r="626" ht="14.25" customHeight="1"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4"/>
    </row>
    <row r="627" ht="14.25" customHeight="1"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4"/>
    </row>
    <row r="628" ht="14.25" customHeight="1"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4"/>
    </row>
    <row r="629" ht="14.25" customHeight="1"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4"/>
    </row>
    <row r="630" ht="14.25" customHeight="1"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4"/>
    </row>
    <row r="631" ht="14.25" customHeight="1"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4"/>
    </row>
    <row r="632" ht="14.25" customHeight="1"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4"/>
    </row>
    <row r="633" ht="14.25" customHeight="1"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4"/>
    </row>
    <row r="634" ht="14.25" customHeight="1"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4"/>
    </row>
    <row r="635" ht="14.25" customHeight="1"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4"/>
    </row>
    <row r="636" ht="14.25" customHeight="1"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4"/>
    </row>
    <row r="637" ht="14.25" customHeight="1"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4"/>
    </row>
    <row r="638" ht="14.25" customHeight="1"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4"/>
    </row>
    <row r="639" ht="14.25" customHeight="1"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4"/>
    </row>
    <row r="640" ht="14.25" customHeight="1"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4"/>
    </row>
    <row r="641" ht="14.25" customHeight="1"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4"/>
    </row>
    <row r="642" ht="14.25" customHeight="1"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4"/>
    </row>
    <row r="643" ht="14.25" customHeight="1"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4"/>
    </row>
    <row r="644" ht="14.25" customHeight="1"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4"/>
    </row>
    <row r="645" ht="14.25" customHeight="1"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4"/>
    </row>
    <row r="646" ht="14.25" customHeight="1"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4"/>
    </row>
    <row r="647" ht="14.25" customHeight="1"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4"/>
    </row>
    <row r="648" ht="14.25" customHeight="1"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4"/>
    </row>
    <row r="649" ht="14.25" customHeight="1"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4"/>
    </row>
    <row r="650" ht="14.25" customHeight="1"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4"/>
    </row>
    <row r="651" ht="14.25" customHeight="1"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4"/>
    </row>
    <row r="652" ht="14.25" customHeight="1"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4"/>
    </row>
    <row r="653" ht="14.25" customHeight="1"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4"/>
    </row>
    <row r="654" ht="14.25" customHeight="1"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4"/>
    </row>
    <row r="655" ht="14.25" customHeight="1"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4"/>
    </row>
    <row r="656" ht="14.25" customHeight="1"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4"/>
    </row>
    <row r="657" ht="14.25" customHeight="1"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4"/>
    </row>
    <row r="658" ht="14.25" customHeight="1"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4"/>
    </row>
    <row r="659" ht="14.25" customHeight="1"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4"/>
    </row>
    <row r="660" ht="14.25" customHeight="1"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4"/>
    </row>
    <row r="661" ht="14.25" customHeight="1"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4"/>
    </row>
    <row r="662" ht="14.25" customHeight="1"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4"/>
    </row>
    <row r="663" ht="14.25" customHeight="1"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4"/>
    </row>
    <row r="664" ht="14.25" customHeight="1"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4"/>
    </row>
    <row r="665" ht="14.25" customHeight="1"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4"/>
    </row>
    <row r="666" ht="14.25" customHeight="1"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4"/>
    </row>
    <row r="667" ht="14.25" customHeight="1"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4"/>
    </row>
    <row r="668" ht="14.25" customHeight="1"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4"/>
    </row>
    <row r="669" ht="14.25" customHeight="1"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4"/>
    </row>
    <row r="670" ht="14.25" customHeight="1"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4"/>
    </row>
    <row r="671" ht="14.25" customHeight="1"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4"/>
    </row>
    <row r="672" ht="14.25" customHeight="1"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4"/>
    </row>
    <row r="673" ht="14.25" customHeight="1"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4"/>
    </row>
    <row r="674" ht="14.25" customHeight="1"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4"/>
    </row>
    <row r="675" ht="14.25" customHeight="1"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4"/>
    </row>
    <row r="676" ht="14.25" customHeight="1"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4"/>
    </row>
    <row r="677" ht="14.25" customHeight="1"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4"/>
    </row>
    <row r="678" ht="14.25" customHeight="1"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4"/>
    </row>
    <row r="679" ht="14.25" customHeight="1"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4"/>
    </row>
    <row r="680" ht="14.25" customHeight="1"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4"/>
    </row>
    <row r="681" ht="14.25" customHeight="1"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4"/>
    </row>
    <row r="682" ht="14.25" customHeight="1"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4"/>
    </row>
    <row r="683" ht="14.25" customHeight="1"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4"/>
    </row>
    <row r="684" ht="14.25" customHeight="1"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4"/>
    </row>
    <row r="685" ht="14.25" customHeight="1"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4"/>
    </row>
    <row r="686" ht="14.25" customHeight="1"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4"/>
    </row>
    <row r="687" ht="14.25" customHeight="1"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4"/>
    </row>
    <row r="688" ht="14.25" customHeight="1"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4"/>
    </row>
    <row r="689" ht="14.25" customHeight="1"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4"/>
    </row>
    <row r="690" ht="14.25" customHeight="1"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4"/>
    </row>
    <row r="691" ht="14.25" customHeight="1"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4"/>
    </row>
    <row r="692" ht="14.25" customHeight="1"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4"/>
    </row>
    <row r="693" ht="14.25" customHeight="1"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4"/>
    </row>
    <row r="694" ht="14.25" customHeight="1"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4"/>
    </row>
    <row r="695" ht="14.25" customHeight="1"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4"/>
    </row>
    <row r="696" ht="14.25" customHeight="1"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4"/>
    </row>
    <row r="697" ht="14.25" customHeight="1"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4"/>
    </row>
    <row r="698" ht="14.25" customHeight="1"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4"/>
    </row>
    <row r="699" ht="14.25" customHeight="1"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4"/>
    </row>
    <row r="700" ht="14.25" customHeight="1"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4"/>
    </row>
    <row r="701" ht="14.25" customHeight="1"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4"/>
    </row>
    <row r="702" ht="14.25" customHeight="1"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4"/>
    </row>
    <row r="703" ht="14.25" customHeight="1"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4"/>
    </row>
    <row r="704" ht="14.25" customHeight="1"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4"/>
    </row>
    <row r="705" ht="14.25" customHeight="1"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4"/>
    </row>
    <row r="706" ht="14.25" customHeight="1"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4"/>
    </row>
    <row r="707" ht="14.25" customHeight="1"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4"/>
    </row>
    <row r="708" ht="14.25" customHeight="1"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4"/>
    </row>
    <row r="709" ht="14.25" customHeight="1"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4"/>
    </row>
    <row r="710" ht="14.25" customHeight="1"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4"/>
    </row>
    <row r="711" ht="14.25" customHeight="1"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4"/>
    </row>
    <row r="712" ht="14.25" customHeight="1"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4"/>
    </row>
    <row r="713" ht="14.25" customHeight="1"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4"/>
    </row>
    <row r="714" ht="14.25" customHeight="1"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4"/>
    </row>
    <row r="715" ht="14.25" customHeight="1"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4"/>
    </row>
    <row r="716" ht="14.25" customHeight="1"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4"/>
    </row>
    <row r="717" ht="14.25" customHeight="1"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4"/>
    </row>
    <row r="718" ht="14.25" customHeight="1"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4"/>
    </row>
    <row r="719" ht="14.25" customHeight="1"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4"/>
    </row>
    <row r="720" ht="14.25" customHeight="1"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4"/>
    </row>
    <row r="721" ht="14.25" customHeight="1"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4"/>
    </row>
    <row r="722" ht="14.25" customHeight="1"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4"/>
    </row>
    <row r="723" ht="14.25" customHeight="1"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4"/>
    </row>
    <row r="724" ht="14.25" customHeight="1"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4"/>
    </row>
    <row r="725" ht="14.25" customHeight="1"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4"/>
    </row>
    <row r="726" ht="14.25" customHeight="1"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4"/>
    </row>
    <row r="727" ht="14.25" customHeight="1"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4"/>
    </row>
    <row r="728" ht="14.25" customHeight="1"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4"/>
    </row>
    <row r="729" ht="14.25" customHeight="1"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4"/>
    </row>
    <row r="730" ht="14.25" customHeight="1"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4"/>
    </row>
    <row r="731" ht="14.25" customHeight="1"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4"/>
    </row>
    <row r="732" ht="14.25" customHeight="1"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4"/>
    </row>
    <row r="733" ht="14.25" customHeight="1"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4"/>
    </row>
    <row r="734" ht="14.25" customHeight="1"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4"/>
    </row>
    <row r="735" ht="14.25" customHeight="1"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4"/>
    </row>
    <row r="736" ht="14.25" customHeight="1"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4"/>
    </row>
    <row r="737" ht="14.25" customHeight="1"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4"/>
    </row>
    <row r="738" ht="14.25" customHeight="1"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4"/>
    </row>
    <row r="739" ht="14.25" customHeight="1"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4"/>
    </row>
    <row r="740" ht="14.25" customHeight="1"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4"/>
    </row>
    <row r="741" ht="14.25" customHeight="1"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4"/>
    </row>
    <row r="742" ht="14.25" customHeight="1"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4"/>
    </row>
    <row r="743" ht="14.25" customHeight="1"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4"/>
    </row>
    <row r="744" ht="14.25" customHeight="1"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4"/>
    </row>
    <row r="745" ht="14.25" customHeight="1"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4"/>
    </row>
    <row r="746" ht="14.25" customHeight="1"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4"/>
    </row>
    <row r="747" ht="14.25" customHeight="1"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4"/>
    </row>
    <row r="748" ht="14.25" customHeight="1"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4"/>
    </row>
    <row r="749" ht="14.25" customHeight="1"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4"/>
    </row>
    <row r="750" ht="14.25" customHeight="1"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4"/>
    </row>
    <row r="751" ht="14.25" customHeight="1"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4"/>
    </row>
    <row r="752" ht="14.25" customHeight="1"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4"/>
    </row>
    <row r="753" ht="14.25" customHeight="1"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4"/>
    </row>
    <row r="754" ht="14.25" customHeight="1"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4"/>
    </row>
    <row r="755" ht="14.25" customHeight="1"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4"/>
    </row>
    <row r="756" ht="14.25" customHeight="1"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4"/>
    </row>
    <row r="757" ht="14.25" customHeight="1"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4"/>
    </row>
    <row r="758" ht="14.25" customHeight="1"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4"/>
    </row>
    <row r="759" ht="14.25" customHeight="1"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4"/>
    </row>
    <row r="760" ht="14.25" customHeight="1"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4"/>
    </row>
    <row r="761" ht="14.25" customHeight="1"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4"/>
    </row>
    <row r="762" ht="14.25" customHeight="1"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4"/>
    </row>
    <row r="763" ht="14.25" customHeight="1"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4"/>
    </row>
    <row r="764" ht="14.25" customHeight="1"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4"/>
    </row>
    <row r="765" ht="14.25" customHeight="1"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4"/>
    </row>
    <row r="766" ht="14.25" customHeight="1"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4"/>
    </row>
    <row r="767" ht="14.25" customHeight="1"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4"/>
    </row>
    <row r="768" ht="14.25" customHeight="1"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4"/>
    </row>
    <row r="769" ht="14.25" customHeight="1"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4"/>
    </row>
    <row r="770" ht="14.25" customHeight="1"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4"/>
    </row>
    <row r="771" ht="14.25" customHeight="1"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4"/>
    </row>
    <row r="772" ht="14.25" customHeight="1"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4"/>
    </row>
    <row r="773" ht="14.25" customHeight="1"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4"/>
    </row>
    <row r="774" ht="14.25" customHeight="1"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4"/>
    </row>
    <row r="775" ht="14.25" customHeight="1"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4"/>
    </row>
    <row r="776" ht="14.25" customHeight="1"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4"/>
    </row>
    <row r="777" ht="14.25" customHeight="1"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4"/>
    </row>
    <row r="778" ht="14.25" customHeight="1"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4"/>
    </row>
    <row r="779" ht="14.25" customHeight="1"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4"/>
    </row>
    <row r="780" ht="14.25" customHeight="1"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4"/>
    </row>
    <row r="781" ht="14.25" customHeight="1"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4"/>
    </row>
    <row r="782" ht="14.25" customHeight="1"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4"/>
    </row>
    <row r="783" ht="14.25" customHeight="1"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4"/>
    </row>
    <row r="784" ht="14.25" customHeight="1"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4"/>
    </row>
    <row r="785" ht="14.25" customHeight="1"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4"/>
    </row>
    <row r="786" ht="14.25" customHeight="1"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4"/>
    </row>
    <row r="787" ht="14.25" customHeight="1"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4"/>
    </row>
    <row r="788" ht="14.25" customHeight="1"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4"/>
    </row>
    <row r="789" ht="14.25" customHeight="1"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4"/>
    </row>
    <row r="790" ht="14.25" customHeight="1"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4"/>
    </row>
    <row r="791" ht="14.25" customHeight="1"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4"/>
    </row>
    <row r="792" ht="14.25" customHeight="1"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4"/>
    </row>
    <row r="793" ht="14.25" customHeight="1"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4"/>
    </row>
    <row r="794" ht="14.25" customHeight="1"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4"/>
    </row>
    <row r="795" ht="14.25" customHeight="1"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4"/>
    </row>
    <row r="796" ht="14.25" customHeight="1"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4"/>
    </row>
    <row r="797" ht="14.25" customHeight="1"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4"/>
    </row>
    <row r="798" ht="14.25" customHeight="1"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4"/>
    </row>
    <row r="799" ht="14.25" customHeight="1"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4"/>
    </row>
    <row r="800" ht="14.25" customHeight="1"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4"/>
    </row>
    <row r="801" ht="14.25" customHeight="1"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4"/>
    </row>
    <row r="802" ht="14.25" customHeight="1"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4"/>
    </row>
    <row r="803" ht="14.25" customHeight="1"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4"/>
    </row>
    <row r="804" ht="14.25" customHeight="1"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4"/>
    </row>
    <row r="805" ht="14.25" customHeight="1"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4"/>
    </row>
    <row r="806" ht="14.25" customHeight="1"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4"/>
    </row>
    <row r="807" ht="14.25" customHeight="1"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4"/>
    </row>
    <row r="808" ht="14.25" customHeight="1"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4"/>
    </row>
    <row r="809" ht="14.25" customHeight="1"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4"/>
    </row>
    <row r="810" ht="14.25" customHeight="1"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4"/>
    </row>
    <row r="811" ht="14.25" customHeight="1"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4"/>
    </row>
    <row r="812" ht="14.25" customHeight="1"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4"/>
    </row>
    <row r="813" ht="14.25" customHeight="1"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4"/>
    </row>
    <row r="814" ht="14.25" customHeight="1"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4"/>
    </row>
    <row r="815" ht="14.25" customHeight="1"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4"/>
    </row>
    <row r="816" ht="14.25" customHeight="1"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4"/>
    </row>
    <row r="817" ht="14.25" customHeight="1"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4"/>
    </row>
    <row r="818" ht="14.25" customHeight="1"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4"/>
    </row>
    <row r="819" ht="14.25" customHeight="1"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4"/>
    </row>
    <row r="820" ht="14.25" customHeight="1"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4"/>
    </row>
    <row r="821" ht="14.25" customHeight="1"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4"/>
    </row>
    <row r="822" ht="14.25" customHeight="1"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4"/>
    </row>
    <row r="823" ht="14.25" customHeight="1"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4"/>
    </row>
    <row r="824" ht="14.25" customHeight="1"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4"/>
    </row>
    <row r="825" ht="14.25" customHeight="1"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4"/>
    </row>
    <row r="826" ht="14.25" customHeight="1"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4"/>
    </row>
    <row r="827" ht="14.25" customHeight="1"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4"/>
    </row>
    <row r="828" ht="14.25" customHeight="1"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4"/>
    </row>
    <row r="829" ht="14.25" customHeight="1"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4"/>
    </row>
    <row r="830" ht="14.25" customHeight="1"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4"/>
    </row>
    <row r="831" ht="14.25" customHeight="1"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4"/>
    </row>
    <row r="832" ht="14.25" customHeight="1"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4"/>
    </row>
    <row r="833" ht="14.25" customHeight="1"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4"/>
    </row>
    <row r="834" ht="14.25" customHeight="1"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4"/>
    </row>
    <row r="835" ht="14.25" customHeight="1"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4"/>
    </row>
    <row r="836" ht="14.25" customHeight="1"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4"/>
    </row>
    <row r="837" ht="14.25" customHeight="1"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4"/>
    </row>
    <row r="838" ht="14.25" customHeight="1"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4"/>
    </row>
    <row r="839" ht="14.25" customHeight="1"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4"/>
    </row>
    <row r="840" ht="14.25" customHeight="1"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4"/>
    </row>
    <row r="841" ht="14.25" customHeight="1"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4"/>
    </row>
    <row r="842" ht="14.25" customHeight="1"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4"/>
    </row>
    <row r="843" ht="14.25" customHeight="1"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4"/>
    </row>
    <row r="844" ht="14.25" customHeight="1"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4"/>
    </row>
    <row r="845" ht="14.25" customHeight="1"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4"/>
    </row>
    <row r="846" ht="14.25" customHeight="1"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4"/>
    </row>
    <row r="847" ht="14.25" customHeight="1"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4"/>
    </row>
    <row r="848" ht="14.25" customHeight="1"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4"/>
    </row>
    <row r="849" ht="14.25" customHeight="1"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4"/>
    </row>
    <row r="850" ht="14.25" customHeight="1"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4"/>
    </row>
    <row r="851" ht="14.25" customHeight="1"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4"/>
    </row>
    <row r="852" ht="14.25" customHeight="1"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4"/>
    </row>
    <row r="853" ht="14.25" customHeight="1"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4"/>
    </row>
    <row r="854" ht="14.25" customHeight="1"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4"/>
    </row>
    <row r="855" ht="14.25" customHeight="1"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4"/>
    </row>
    <row r="856" ht="14.25" customHeight="1"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4"/>
    </row>
    <row r="857" ht="14.25" customHeight="1"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4"/>
    </row>
    <row r="858" ht="14.25" customHeight="1"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4"/>
    </row>
    <row r="859" ht="14.25" customHeight="1"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4"/>
    </row>
    <row r="860" ht="14.25" customHeight="1"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4"/>
    </row>
    <row r="861" ht="14.25" customHeight="1"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4"/>
    </row>
    <row r="862" ht="14.25" customHeight="1"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4"/>
    </row>
    <row r="863" ht="14.25" customHeight="1"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4"/>
    </row>
    <row r="864" ht="14.25" customHeight="1"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4"/>
    </row>
    <row r="865" ht="14.25" customHeight="1"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4"/>
    </row>
    <row r="866" ht="14.25" customHeight="1"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4"/>
    </row>
    <row r="867" ht="14.25" customHeight="1"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4"/>
    </row>
    <row r="868" ht="14.25" customHeight="1"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4"/>
    </row>
    <row r="869" ht="14.25" customHeight="1"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4"/>
    </row>
    <row r="870" ht="14.25" customHeight="1"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4"/>
    </row>
    <row r="871" ht="14.25" customHeight="1"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4"/>
    </row>
    <row r="872" ht="14.25" customHeight="1"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4"/>
    </row>
    <row r="873" ht="14.25" customHeight="1"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4"/>
    </row>
    <row r="874" ht="14.25" customHeight="1"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4"/>
    </row>
    <row r="875" ht="14.25" customHeight="1"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4"/>
    </row>
    <row r="876" ht="14.25" customHeight="1"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4"/>
    </row>
    <row r="877" ht="14.25" customHeight="1"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4"/>
    </row>
    <row r="878" ht="14.25" customHeight="1"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4"/>
    </row>
    <row r="879" ht="14.25" customHeight="1"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4"/>
    </row>
    <row r="880" ht="14.25" customHeight="1"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4"/>
    </row>
    <row r="881" ht="14.25" customHeight="1"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4"/>
    </row>
    <row r="882" ht="14.25" customHeight="1"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4"/>
    </row>
    <row r="883" ht="14.25" customHeight="1"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4"/>
    </row>
    <row r="884" ht="14.25" customHeight="1"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4"/>
    </row>
    <row r="885" ht="14.25" customHeight="1"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4"/>
    </row>
    <row r="886" ht="14.25" customHeight="1"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4"/>
    </row>
    <row r="887" ht="14.25" customHeight="1"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4"/>
    </row>
    <row r="888" ht="14.25" customHeight="1"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4"/>
    </row>
    <row r="889" ht="14.25" customHeight="1"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4"/>
    </row>
    <row r="890" ht="14.25" customHeight="1"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4"/>
    </row>
    <row r="891" ht="14.25" customHeight="1"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4"/>
    </row>
    <row r="892" ht="14.25" customHeight="1"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4"/>
    </row>
    <row r="893" ht="14.25" customHeight="1"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4"/>
    </row>
    <row r="894" ht="14.25" customHeight="1"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4"/>
    </row>
    <row r="895" ht="14.25" customHeight="1"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4"/>
    </row>
    <row r="896" ht="14.25" customHeight="1"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4"/>
    </row>
    <row r="897" ht="14.25" customHeight="1"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4"/>
    </row>
    <row r="898" ht="14.25" customHeight="1"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4"/>
    </row>
    <row r="899" ht="14.25" customHeight="1"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4"/>
    </row>
    <row r="900" ht="14.25" customHeight="1"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4"/>
    </row>
    <row r="901" ht="14.25" customHeight="1"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4"/>
    </row>
    <row r="902" ht="14.25" customHeight="1"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4"/>
    </row>
    <row r="903" ht="14.25" customHeight="1"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4"/>
    </row>
    <row r="904" ht="14.25" customHeight="1"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4"/>
    </row>
    <row r="905" ht="14.25" customHeight="1"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4"/>
    </row>
    <row r="906" ht="14.25" customHeight="1"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4"/>
    </row>
    <row r="907" ht="14.25" customHeight="1"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4"/>
    </row>
    <row r="908" ht="14.25" customHeight="1"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4"/>
    </row>
    <row r="909" ht="14.25" customHeight="1"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4"/>
    </row>
    <row r="910" ht="14.25" customHeight="1"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4"/>
    </row>
    <row r="911" ht="14.25" customHeight="1"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4"/>
    </row>
    <row r="912" ht="14.25" customHeight="1"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4"/>
    </row>
    <row r="913" ht="14.25" customHeight="1"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4"/>
    </row>
    <row r="914" ht="14.25" customHeight="1"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4"/>
    </row>
    <row r="915" ht="14.25" customHeight="1"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4"/>
    </row>
    <row r="916" ht="14.25" customHeight="1"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4"/>
    </row>
    <row r="917" ht="14.25" customHeight="1"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4"/>
    </row>
    <row r="918" ht="14.25" customHeight="1"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4"/>
    </row>
    <row r="919" ht="14.25" customHeight="1"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4"/>
    </row>
    <row r="920" ht="14.25" customHeight="1"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4"/>
    </row>
    <row r="921" ht="14.25" customHeight="1"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4"/>
    </row>
    <row r="922" ht="14.25" customHeight="1"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4"/>
    </row>
    <row r="923" ht="14.25" customHeight="1"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4"/>
    </row>
    <row r="924" ht="14.25" customHeight="1"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4"/>
    </row>
    <row r="925" ht="14.25" customHeight="1"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4"/>
    </row>
    <row r="926" ht="14.25" customHeight="1"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4"/>
    </row>
    <row r="927" ht="14.25" customHeight="1"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4"/>
    </row>
    <row r="928" ht="14.25" customHeight="1"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4"/>
    </row>
    <row r="929" ht="14.25" customHeight="1"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4"/>
    </row>
    <row r="930" ht="14.25" customHeight="1"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4"/>
    </row>
    <row r="931" ht="14.25" customHeight="1"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4"/>
    </row>
    <row r="932" ht="14.25" customHeight="1"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4"/>
    </row>
    <row r="933" ht="14.25" customHeight="1"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4"/>
    </row>
    <row r="934" ht="14.25" customHeight="1"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4"/>
    </row>
    <row r="935" ht="14.25" customHeight="1"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4"/>
    </row>
    <row r="936" ht="14.25" customHeight="1"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4"/>
    </row>
    <row r="937" ht="14.25" customHeight="1"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4"/>
    </row>
    <row r="938" ht="14.25" customHeight="1"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4"/>
    </row>
    <row r="939" ht="14.25" customHeight="1"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4"/>
    </row>
    <row r="940" ht="14.25" customHeight="1"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4"/>
    </row>
    <row r="941" ht="14.25" customHeight="1"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4"/>
    </row>
    <row r="942" ht="14.25" customHeight="1"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4"/>
    </row>
    <row r="943" ht="14.25" customHeight="1"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4"/>
    </row>
    <row r="944" ht="14.25" customHeight="1"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4"/>
    </row>
    <row r="945" ht="14.25" customHeight="1"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4"/>
    </row>
    <row r="946" ht="14.25" customHeight="1"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4"/>
    </row>
    <row r="947" ht="14.25" customHeight="1"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4"/>
    </row>
    <row r="948" ht="14.25" customHeight="1"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4"/>
    </row>
    <row r="949" ht="14.25" customHeight="1"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4"/>
    </row>
    <row r="950" ht="14.25" customHeight="1"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4"/>
    </row>
    <row r="951" ht="14.25" customHeight="1"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4"/>
    </row>
    <row r="952" ht="14.25" customHeight="1"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4"/>
    </row>
    <row r="953" ht="14.25" customHeight="1"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4"/>
    </row>
    <row r="954" ht="14.25" customHeight="1"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4"/>
    </row>
    <row r="955" ht="14.25" customHeight="1"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4"/>
    </row>
    <row r="956" ht="14.25" customHeight="1"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4"/>
    </row>
    <row r="957" ht="14.25" customHeight="1"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4"/>
    </row>
    <row r="958" ht="14.25" customHeight="1"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4"/>
    </row>
    <row r="959" ht="14.25" customHeight="1"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4"/>
    </row>
    <row r="960" ht="14.25" customHeight="1"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4"/>
    </row>
    <row r="961" ht="14.25" customHeight="1"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4"/>
    </row>
    <row r="962" ht="14.25" customHeight="1"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4"/>
    </row>
    <row r="963" ht="14.25" customHeight="1"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4"/>
    </row>
    <row r="964" ht="14.25" customHeight="1"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4"/>
    </row>
    <row r="965" ht="14.25" customHeight="1"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4"/>
    </row>
    <row r="966" ht="14.25" customHeight="1"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4"/>
    </row>
    <row r="967" ht="14.25" customHeight="1"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4"/>
    </row>
    <row r="968" ht="14.25" customHeight="1"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4"/>
    </row>
    <row r="969" ht="14.25" customHeight="1"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4"/>
    </row>
    <row r="970" ht="14.25" customHeight="1"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4"/>
    </row>
    <row r="971" ht="14.25" customHeight="1"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4"/>
    </row>
    <row r="972" ht="14.25" customHeight="1"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4"/>
    </row>
    <row r="973" ht="14.25" customHeight="1"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4"/>
    </row>
    <row r="974" ht="14.25" customHeight="1"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4"/>
    </row>
    <row r="975" ht="14.25" customHeight="1"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4"/>
    </row>
    <row r="976" ht="14.25" customHeight="1"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4"/>
    </row>
    <row r="977" ht="14.25" customHeight="1"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4"/>
    </row>
    <row r="978" ht="14.25" customHeight="1"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4"/>
    </row>
    <row r="979" ht="14.25" customHeight="1"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4"/>
    </row>
    <row r="980" ht="14.25" customHeight="1"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4"/>
    </row>
    <row r="981" ht="14.25" customHeight="1"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4"/>
    </row>
    <row r="982" ht="14.25" customHeight="1"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4"/>
    </row>
    <row r="983" ht="14.25" customHeight="1"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4"/>
    </row>
    <row r="984" ht="14.25" customHeight="1"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4"/>
    </row>
    <row r="985" ht="14.25" customHeight="1"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4"/>
    </row>
    <row r="986" ht="14.25" customHeight="1"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4"/>
    </row>
    <row r="987" ht="14.25" customHeight="1"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4"/>
    </row>
    <row r="988" ht="14.25" customHeight="1"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4"/>
    </row>
    <row r="989" ht="14.25" customHeight="1"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4"/>
    </row>
    <row r="990" ht="14.25" customHeight="1"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4"/>
    </row>
    <row r="991" ht="14.25" customHeight="1"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4"/>
    </row>
    <row r="992" ht="14.25" customHeight="1"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4"/>
    </row>
    <row r="993" ht="14.25" customHeight="1"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4"/>
    </row>
    <row r="994" ht="14.25" customHeight="1"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4"/>
    </row>
    <row r="995" ht="14.25" customHeight="1"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4"/>
    </row>
    <row r="996" ht="14.25" customHeight="1"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4"/>
    </row>
    <row r="997" ht="14.25" customHeight="1"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4"/>
    </row>
    <row r="998" ht="14.25" customHeight="1"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4"/>
    </row>
    <row r="999" ht="14.25" customHeight="1"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4"/>
    </row>
    <row r="1000" ht="14.25" customHeight="1"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4"/>
    </row>
  </sheetData>
  <autoFilter ref="$A$12:$W$48"/>
  <mergeCells count="37">
    <mergeCell ref="P12:P13"/>
    <mergeCell ref="R12:R13"/>
    <mergeCell ref="A9:T9"/>
    <mergeCell ref="A11:T11"/>
    <mergeCell ref="A12:A13"/>
    <mergeCell ref="B12:B13"/>
    <mergeCell ref="C12:C13"/>
    <mergeCell ref="D12:D13"/>
    <mergeCell ref="E12:E13"/>
    <mergeCell ref="A54:H54"/>
    <mergeCell ref="A56:F56"/>
    <mergeCell ref="F12:F13"/>
    <mergeCell ref="G12:G13"/>
    <mergeCell ref="A50:H50"/>
    <mergeCell ref="A51:H51"/>
    <mergeCell ref="A52:H52"/>
    <mergeCell ref="A53:H53"/>
    <mergeCell ref="A55:T55"/>
    <mergeCell ref="A2:T2"/>
    <mergeCell ref="A3:T3"/>
    <mergeCell ref="A4:S4"/>
    <mergeCell ref="A5:T5"/>
    <mergeCell ref="A6:T6"/>
    <mergeCell ref="A7:T7"/>
    <mergeCell ref="A8:T8"/>
    <mergeCell ref="H12:H13"/>
    <mergeCell ref="I12:I13"/>
    <mergeCell ref="J12:J13"/>
    <mergeCell ref="K12:K13"/>
    <mergeCell ref="L12:L13"/>
    <mergeCell ref="M12:M13"/>
    <mergeCell ref="N12:N13"/>
    <mergeCell ref="O12:O13"/>
    <mergeCell ref="S12:S13"/>
    <mergeCell ref="T12:T13"/>
    <mergeCell ref="S56:T56"/>
    <mergeCell ref="A57:T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71"/>
    <col customWidth="1" min="3" max="3" width="11.43"/>
    <col customWidth="1" hidden="1" min="4" max="4" width="14.71"/>
    <col customWidth="1" min="5" max="5" width="17.29"/>
    <col customWidth="1" min="6" max="6" width="12.86"/>
    <col customWidth="1" min="7" max="7" width="11.14"/>
    <col customWidth="1" min="8" max="8" width="27.57"/>
    <col customWidth="1" min="9" max="9" width="9.71"/>
    <col customWidth="1" min="10" max="10" width="14.43"/>
    <col customWidth="1" min="11" max="11" width="14.29"/>
    <col customWidth="1" min="12" max="12" width="7.29"/>
    <col customWidth="1" min="13" max="13" width="12.43"/>
    <col customWidth="1" min="14" max="17" width="11.14"/>
    <col customWidth="1" min="18" max="18" width="16.71"/>
    <col customWidth="1" min="19" max="19" width="15.86"/>
    <col customWidth="1" min="20" max="20" width="9.71"/>
    <col customWidth="1" min="21" max="21" width="8.71"/>
    <col customWidth="1" min="22" max="22" width="20.0"/>
    <col customWidth="1" min="23" max="23" width="22.86"/>
    <col customWidth="1" min="24" max="26" width="8.71"/>
  </cols>
  <sheetData>
    <row r="1" ht="14.25" customHeight="1"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4"/>
    </row>
    <row r="2" ht="14.2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ht="17.2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ht="14.25" customHeight="1">
      <c r="A6" s="11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ht="14.25" customHeight="1">
      <c r="A7" s="11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ht="14.25" customHeight="1">
      <c r="A8" s="11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ht="14.25" customHeight="1">
      <c r="A9" s="11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ht="14.25" customHeight="1">
      <c r="A10" s="11"/>
      <c r="B10" s="12"/>
      <c r="C10" s="12"/>
      <c r="D10" s="12"/>
      <c r="E10" s="12"/>
      <c r="F10" s="12"/>
      <c r="G10" s="12"/>
      <c r="H10" s="12"/>
      <c r="I10" s="13"/>
      <c r="J10" s="13"/>
      <c r="K10" s="13"/>
      <c r="L10" s="15"/>
      <c r="M10" s="15"/>
      <c r="N10" s="15"/>
      <c r="O10" s="15"/>
      <c r="P10" s="15"/>
      <c r="Q10" s="15"/>
      <c r="R10" s="15"/>
      <c r="S10" s="15"/>
      <c r="T10" s="16"/>
    </row>
    <row r="11" ht="18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ht="29.25" customHeight="1">
      <c r="A12" s="20" t="s">
        <v>12</v>
      </c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  <c r="G12" s="21" t="s">
        <v>18</v>
      </c>
      <c r="H12" s="21" t="s">
        <v>19</v>
      </c>
      <c r="I12" s="22" t="s">
        <v>20</v>
      </c>
      <c r="J12" s="22" t="s">
        <v>21</v>
      </c>
      <c r="K12" s="22" t="s">
        <v>22</v>
      </c>
      <c r="L12" s="23" t="s">
        <v>24</v>
      </c>
      <c r="M12" s="23" t="s">
        <v>25</v>
      </c>
      <c r="N12" s="23" t="s">
        <v>26</v>
      </c>
      <c r="O12" s="23" t="s">
        <v>28</v>
      </c>
      <c r="P12" s="25" t="s">
        <v>29</v>
      </c>
      <c r="Q12" s="26"/>
      <c r="R12" s="23" t="s">
        <v>32</v>
      </c>
      <c r="S12" s="23" t="s">
        <v>33</v>
      </c>
      <c r="T12" s="27" t="s">
        <v>34</v>
      </c>
    </row>
    <row r="13" ht="27.0" customHeight="1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 t="s">
        <v>35</v>
      </c>
      <c r="R13" s="30"/>
      <c r="S13" s="30"/>
      <c r="T13" s="33"/>
    </row>
    <row r="14" ht="14.25" customHeight="1">
      <c r="A14" s="34">
        <v>1.0</v>
      </c>
      <c r="B14" s="35">
        <v>45957.0</v>
      </c>
      <c r="C14" s="36">
        <v>45957.0</v>
      </c>
      <c r="D14" s="37" t="s">
        <v>38</v>
      </c>
      <c r="E14" s="37"/>
      <c r="F14" s="38" t="s">
        <v>41</v>
      </c>
      <c r="G14" s="39" t="s">
        <v>42</v>
      </c>
      <c r="H14" s="40" t="s">
        <v>44</v>
      </c>
      <c r="I14" s="41">
        <v>1.0</v>
      </c>
      <c r="J14" s="43"/>
      <c r="K14" s="45">
        <v>7300000.0</v>
      </c>
      <c r="L14" s="46"/>
      <c r="M14" s="47"/>
      <c r="N14" s="46"/>
      <c r="O14" s="47"/>
      <c r="P14" s="47"/>
      <c r="Q14" s="47"/>
      <c r="R14" s="47">
        <f t="shared" ref="R14:R27" si="1">J14+M14+O14+P14+Q14</f>
        <v>0</v>
      </c>
      <c r="S14" s="47">
        <f t="shared" ref="S14:S27" si="2">K14+M14+O14+P14+Q14</f>
        <v>7300000</v>
      </c>
      <c r="T14" s="52"/>
      <c r="U14" s="53"/>
      <c r="V14" s="54"/>
      <c r="W14" s="54"/>
      <c r="X14" s="53"/>
      <c r="Y14" s="53"/>
      <c r="Z14" s="53"/>
    </row>
    <row r="15" ht="14.25" customHeight="1">
      <c r="A15" s="34">
        <f t="shared" ref="A15:A27" si="3">A14+1</f>
        <v>2</v>
      </c>
      <c r="B15" s="35">
        <v>45960.0</v>
      </c>
      <c r="C15" s="36">
        <v>45961.0</v>
      </c>
      <c r="D15" s="37" t="s">
        <v>38</v>
      </c>
      <c r="E15" s="37"/>
      <c r="F15" s="55" t="s">
        <v>41</v>
      </c>
      <c r="G15" s="39" t="s">
        <v>42</v>
      </c>
      <c r="H15" s="40" t="s">
        <v>44</v>
      </c>
      <c r="I15" s="41">
        <v>1.0</v>
      </c>
      <c r="J15" s="43"/>
      <c r="K15" s="45">
        <v>7300000.0</v>
      </c>
      <c r="L15" s="57"/>
      <c r="M15" s="47"/>
      <c r="N15" s="57"/>
      <c r="O15" s="47"/>
      <c r="P15" s="47"/>
      <c r="Q15" s="47"/>
      <c r="R15" s="47">
        <f t="shared" si="1"/>
        <v>0</v>
      </c>
      <c r="S15" s="47">
        <f t="shared" si="2"/>
        <v>7300000</v>
      </c>
      <c r="T15" s="52"/>
      <c r="U15" s="53"/>
      <c r="V15" s="54"/>
      <c r="W15" s="54"/>
      <c r="X15" s="53"/>
      <c r="Y15" s="53"/>
      <c r="Z15" s="53"/>
    </row>
    <row r="16" ht="14.25" customHeight="1">
      <c r="A16" s="34">
        <f t="shared" si="3"/>
        <v>3</v>
      </c>
      <c r="B16" s="35">
        <v>45960.0</v>
      </c>
      <c r="C16" s="36">
        <v>45961.0</v>
      </c>
      <c r="D16" s="37" t="s">
        <v>38</v>
      </c>
      <c r="E16" s="37"/>
      <c r="F16" s="58" t="s">
        <v>54</v>
      </c>
      <c r="G16" s="39" t="s">
        <v>42</v>
      </c>
      <c r="H16" s="40" t="s">
        <v>44</v>
      </c>
      <c r="I16" s="41">
        <v>1.0</v>
      </c>
      <c r="J16" s="43"/>
      <c r="K16" s="45">
        <v>7300000.0</v>
      </c>
      <c r="L16" s="57"/>
      <c r="M16" s="47"/>
      <c r="N16" s="57"/>
      <c r="O16" s="47"/>
      <c r="P16" s="47"/>
      <c r="Q16" s="47"/>
      <c r="R16" s="47">
        <f t="shared" si="1"/>
        <v>0</v>
      </c>
      <c r="S16" s="47">
        <f t="shared" si="2"/>
        <v>7300000</v>
      </c>
      <c r="T16" s="52"/>
      <c r="U16" s="53"/>
      <c r="V16" s="53"/>
      <c r="W16" s="53"/>
      <c r="X16" s="53"/>
      <c r="Y16" s="53"/>
      <c r="Z16" s="53"/>
    </row>
    <row r="17" ht="14.25" customHeight="1">
      <c r="A17" s="34">
        <f t="shared" si="3"/>
        <v>4</v>
      </c>
      <c r="B17" s="61">
        <v>45961.0</v>
      </c>
      <c r="C17" s="36">
        <v>45962.0</v>
      </c>
      <c r="D17" s="37" t="s">
        <v>38</v>
      </c>
      <c r="E17" s="37"/>
      <c r="F17" s="38" t="s">
        <v>53</v>
      </c>
      <c r="G17" s="39" t="s">
        <v>42</v>
      </c>
      <c r="H17" s="62" t="s">
        <v>56</v>
      </c>
      <c r="I17" s="41">
        <v>1.0</v>
      </c>
      <c r="J17" s="43"/>
      <c r="K17" s="45">
        <v>6300000.0</v>
      </c>
      <c r="L17" s="57"/>
      <c r="M17" s="47"/>
      <c r="N17" s="57"/>
      <c r="O17" s="47"/>
      <c r="P17" s="47"/>
      <c r="Q17" s="47"/>
      <c r="R17" s="47">
        <f t="shared" si="1"/>
        <v>0</v>
      </c>
      <c r="S17" s="47">
        <f t="shared" si="2"/>
        <v>6300000</v>
      </c>
      <c r="T17" s="52"/>
      <c r="U17" s="53"/>
      <c r="V17" s="53"/>
      <c r="W17" s="53"/>
      <c r="X17" s="53"/>
      <c r="Y17" s="53"/>
      <c r="Z17" s="53"/>
    </row>
    <row r="18" ht="14.25" customHeight="1">
      <c r="A18" s="34">
        <f t="shared" si="3"/>
        <v>5</v>
      </c>
      <c r="B18" s="35">
        <v>45961.0</v>
      </c>
      <c r="C18" s="36">
        <v>45962.0</v>
      </c>
      <c r="D18" s="37" t="s">
        <v>38</v>
      </c>
      <c r="E18" s="37"/>
      <c r="F18" s="38" t="s">
        <v>58</v>
      </c>
      <c r="G18" s="39" t="s">
        <v>42</v>
      </c>
      <c r="H18" s="62" t="s">
        <v>56</v>
      </c>
      <c r="I18" s="41">
        <v>1.0</v>
      </c>
      <c r="J18" s="43"/>
      <c r="K18" s="45">
        <v>6300000.0</v>
      </c>
      <c r="L18" s="57"/>
      <c r="M18" s="47"/>
      <c r="N18" s="42"/>
      <c r="O18" s="47"/>
      <c r="P18" s="47"/>
      <c r="Q18" s="47"/>
      <c r="R18" s="47">
        <f t="shared" si="1"/>
        <v>0</v>
      </c>
      <c r="S18" s="47">
        <f t="shared" si="2"/>
        <v>6300000</v>
      </c>
      <c r="T18" s="52"/>
      <c r="U18" s="53"/>
      <c r="V18" s="53"/>
      <c r="W18" s="53"/>
      <c r="X18" s="53"/>
      <c r="Y18" s="53"/>
      <c r="Z18" s="53"/>
    </row>
    <row r="19" ht="14.25" customHeight="1">
      <c r="A19" s="34">
        <f t="shared" si="3"/>
        <v>6</v>
      </c>
      <c r="B19" s="61">
        <v>45963.0</v>
      </c>
      <c r="C19" s="36">
        <v>45964.0</v>
      </c>
      <c r="D19" s="37" t="s">
        <v>38</v>
      </c>
      <c r="E19" s="37"/>
      <c r="F19" s="38" t="s">
        <v>60</v>
      </c>
      <c r="G19" s="39" t="s">
        <v>42</v>
      </c>
      <c r="H19" s="62" t="s">
        <v>56</v>
      </c>
      <c r="I19" s="41">
        <v>1.0</v>
      </c>
      <c r="J19" s="43"/>
      <c r="K19" s="45">
        <v>6300000.0</v>
      </c>
      <c r="L19" s="57"/>
      <c r="M19" s="47"/>
      <c r="N19" s="57"/>
      <c r="O19" s="47"/>
      <c r="P19" s="47"/>
      <c r="Q19" s="47"/>
      <c r="R19" s="47">
        <f t="shared" si="1"/>
        <v>0</v>
      </c>
      <c r="S19" s="47">
        <f t="shared" si="2"/>
        <v>6300000</v>
      </c>
      <c r="T19" s="52"/>
      <c r="U19" s="53"/>
      <c r="V19" s="53"/>
      <c r="W19" s="53"/>
      <c r="X19" s="53"/>
      <c r="Y19" s="53"/>
      <c r="Z19" s="53"/>
    </row>
    <row r="20" ht="14.25" customHeight="1">
      <c r="A20" s="34">
        <f t="shared" si="3"/>
        <v>7</v>
      </c>
      <c r="B20" s="36">
        <v>45964.0</v>
      </c>
      <c r="C20" s="36">
        <v>45965.0</v>
      </c>
      <c r="D20" s="37" t="s">
        <v>38</v>
      </c>
      <c r="E20" s="37"/>
      <c r="F20" s="38" t="s">
        <v>61</v>
      </c>
      <c r="G20" s="39" t="s">
        <v>42</v>
      </c>
      <c r="H20" s="62" t="s">
        <v>56</v>
      </c>
      <c r="I20" s="41">
        <v>1.0</v>
      </c>
      <c r="J20" s="43"/>
      <c r="K20" s="45">
        <v>6300000.0</v>
      </c>
      <c r="L20" s="57"/>
      <c r="M20" s="47"/>
      <c r="N20" s="57"/>
      <c r="O20" s="47"/>
      <c r="P20" s="47"/>
      <c r="Q20" s="47"/>
      <c r="R20" s="47">
        <f t="shared" si="1"/>
        <v>0</v>
      </c>
      <c r="S20" s="47">
        <f t="shared" si="2"/>
        <v>6300000</v>
      </c>
      <c r="T20" s="52"/>
      <c r="U20" s="53"/>
      <c r="V20" s="53"/>
      <c r="W20" s="53"/>
      <c r="X20" s="53"/>
      <c r="Y20" s="53"/>
      <c r="Z20" s="53"/>
    </row>
    <row r="21" ht="14.25" customHeight="1">
      <c r="A21" s="34">
        <f t="shared" si="3"/>
        <v>8</v>
      </c>
      <c r="B21" s="36">
        <v>45965.0</v>
      </c>
      <c r="C21" s="36">
        <v>45966.0</v>
      </c>
      <c r="D21" s="37" t="s">
        <v>38</v>
      </c>
      <c r="E21" s="37"/>
      <c r="F21" s="65" t="s">
        <v>62</v>
      </c>
      <c r="G21" s="39" t="s">
        <v>42</v>
      </c>
      <c r="H21" s="40" t="s">
        <v>44</v>
      </c>
      <c r="I21" s="41">
        <v>1.0</v>
      </c>
      <c r="J21" s="43"/>
      <c r="K21" s="45">
        <v>7300000.0</v>
      </c>
      <c r="L21" s="57"/>
      <c r="M21" s="47"/>
      <c r="N21" s="57"/>
      <c r="O21" s="47"/>
      <c r="P21" s="47"/>
      <c r="Q21" s="47"/>
      <c r="R21" s="47">
        <f t="shared" si="1"/>
        <v>0</v>
      </c>
      <c r="S21" s="47">
        <f t="shared" si="2"/>
        <v>7300000</v>
      </c>
      <c r="T21" s="52"/>
      <c r="U21" s="53"/>
      <c r="V21" s="53"/>
      <c r="W21" s="53"/>
      <c r="X21" s="53"/>
      <c r="Y21" s="53"/>
      <c r="Z21" s="53"/>
    </row>
    <row r="22" ht="14.25" customHeight="1">
      <c r="A22" s="34">
        <f t="shared" si="3"/>
        <v>9</v>
      </c>
      <c r="B22" s="36">
        <v>45968.0</v>
      </c>
      <c r="C22" s="36">
        <v>45969.0</v>
      </c>
      <c r="D22" s="37"/>
      <c r="E22" s="37"/>
      <c r="F22" s="65" t="s">
        <v>66</v>
      </c>
      <c r="G22" s="39" t="s">
        <v>42</v>
      </c>
      <c r="H22" s="62" t="s">
        <v>56</v>
      </c>
      <c r="I22" s="41">
        <v>1.0</v>
      </c>
      <c r="J22" s="43"/>
      <c r="K22" s="45">
        <v>6300000.0</v>
      </c>
      <c r="L22" s="57"/>
      <c r="M22" s="47"/>
      <c r="N22" s="57"/>
      <c r="O22" s="47"/>
      <c r="P22" s="47"/>
      <c r="Q22" s="47"/>
      <c r="R22" s="47">
        <f t="shared" si="1"/>
        <v>0</v>
      </c>
      <c r="S22" s="47">
        <f t="shared" si="2"/>
        <v>6300000</v>
      </c>
      <c r="T22" s="52"/>
      <c r="U22" s="53"/>
      <c r="V22" s="53"/>
      <c r="W22" s="53"/>
      <c r="X22" s="53"/>
      <c r="Y22" s="53"/>
      <c r="Z22" s="53"/>
    </row>
    <row r="23" ht="14.25" customHeight="1">
      <c r="A23" s="34">
        <f t="shared" si="3"/>
        <v>10</v>
      </c>
      <c r="B23" s="36">
        <v>45968.0</v>
      </c>
      <c r="C23" s="36">
        <v>45969.0</v>
      </c>
      <c r="D23" s="37"/>
      <c r="E23" s="37"/>
      <c r="F23" s="65" t="s">
        <v>68</v>
      </c>
      <c r="G23" s="39" t="s">
        <v>42</v>
      </c>
      <c r="H23" s="62" t="s">
        <v>56</v>
      </c>
      <c r="I23" s="41">
        <v>1.0</v>
      </c>
      <c r="J23" s="43"/>
      <c r="K23" s="45">
        <v>6300000.0</v>
      </c>
      <c r="L23" s="57"/>
      <c r="M23" s="47"/>
      <c r="N23" s="57"/>
      <c r="O23" s="47"/>
      <c r="P23" s="47"/>
      <c r="Q23" s="47"/>
      <c r="R23" s="47">
        <f t="shared" si="1"/>
        <v>0</v>
      </c>
      <c r="S23" s="47">
        <f t="shared" si="2"/>
        <v>6300000</v>
      </c>
      <c r="T23" s="52"/>
      <c r="U23" s="53"/>
      <c r="V23" s="53"/>
      <c r="W23" s="53"/>
      <c r="X23" s="53"/>
      <c r="Y23" s="53"/>
      <c r="Z23" s="53"/>
    </row>
    <row r="24" ht="14.25" customHeight="1">
      <c r="A24" s="42">
        <f t="shared" si="3"/>
        <v>11</v>
      </c>
      <c r="B24" s="44"/>
      <c r="C24" s="35"/>
      <c r="D24" s="37"/>
      <c r="E24" s="37"/>
      <c r="F24" s="37"/>
      <c r="G24" s="42"/>
      <c r="H24" s="37"/>
      <c r="I24" s="48"/>
      <c r="J24" s="43"/>
      <c r="K24" s="43"/>
      <c r="L24" s="57"/>
      <c r="M24" s="47"/>
      <c r="N24" s="57"/>
      <c r="O24" s="47"/>
      <c r="P24" s="47"/>
      <c r="Q24" s="47"/>
      <c r="R24" s="47">
        <f t="shared" si="1"/>
        <v>0</v>
      </c>
      <c r="S24" s="47">
        <f t="shared" si="2"/>
        <v>0</v>
      </c>
      <c r="T24" s="52"/>
      <c r="U24" s="53"/>
      <c r="V24" s="53"/>
      <c r="W24" s="53"/>
      <c r="X24" s="53"/>
      <c r="Y24" s="53"/>
      <c r="Z24" s="53"/>
    </row>
    <row r="25" ht="14.25" customHeight="1">
      <c r="A25" s="42">
        <f t="shared" si="3"/>
        <v>12</v>
      </c>
      <c r="B25" s="44"/>
      <c r="C25" s="35"/>
      <c r="D25" s="37"/>
      <c r="E25" s="37"/>
      <c r="F25" s="68"/>
      <c r="G25" s="42"/>
      <c r="H25" s="37"/>
      <c r="I25" s="48"/>
      <c r="J25" s="43"/>
      <c r="K25" s="43"/>
      <c r="L25" s="42"/>
      <c r="M25" s="47"/>
      <c r="N25" s="57"/>
      <c r="O25" s="47"/>
      <c r="P25" s="47"/>
      <c r="Q25" s="47"/>
      <c r="R25" s="47">
        <f t="shared" si="1"/>
        <v>0</v>
      </c>
      <c r="S25" s="47">
        <f t="shared" si="2"/>
        <v>0</v>
      </c>
      <c r="T25" s="52"/>
      <c r="U25" s="53"/>
      <c r="V25" s="53"/>
      <c r="W25" s="53"/>
      <c r="X25" s="53"/>
      <c r="Y25" s="53"/>
      <c r="Z25" s="53"/>
    </row>
    <row r="26" ht="14.25" customHeight="1">
      <c r="A26" s="42">
        <f t="shared" si="3"/>
        <v>13</v>
      </c>
      <c r="B26" s="44"/>
      <c r="C26" s="35"/>
      <c r="D26" s="37"/>
      <c r="E26" s="37"/>
      <c r="F26" s="37"/>
      <c r="G26" s="42"/>
      <c r="H26" s="37"/>
      <c r="I26" s="48"/>
      <c r="J26" s="43"/>
      <c r="K26" s="43"/>
      <c r="L26" s="42"/>
      <c r="M26" s="47"/>
      <c r="N26" s="42"/>
      <c r="O26" s="47"/>
      <c r="P26" s="47"/>
      <c r="Q26" s="47"/>
      <c r="R26" s="47">
        <f t="shared" si="1"/>
        <v>0</v>
      </c>
      <c r="S26" s="47">
        <f t="shared" si="2"/>
        <v>0</v>
      </c>
      <c r="T26" s="52"/>
      <c r="U26" s="53"/>
      <c r="V26" s="53"/>
      <c r="W26" s="53"/>
      <c r="X26" s="53"/>
      <c r="Y26" s="53"/>
      <c r="Z26" s="53"/>
    </row>
    <row r="27" ht="14.25" customHeight="1">
      <c r="A27" s="42">
        <f t="shared" si="3"/>
        <v>14</v>
      </c>
      <c r="B27" s="44"/>
      <c r="C27" s="35"/>
      <c r="D27" s="37"/>
      <c r="E27" s="37"/>
      <c r="F27" s="37"/>
      <c r="G27" s="42"/>
      <c r="H27" s="37"/>
      <c r="I27" s="48"/>
      <c r="J27" s="43"/>
      <c r="K27" s="43"/>
      <c r="L27" s="57"/>
      <c r="M27" s="47"/>
      <c r="N27" s="57"/>
      <c r="O27" s="47"/>
      <c r="P27" s="47"/>
      <c r="Q27" s="47"/>
      <c r="R27" s="47">
        <f t="shared" si="1"/>
        <v>0</v>
      </c>
      <c r="S27" s="47">
        <f t="shared" si="2"/>
        <v>0</v>
      </c>
      <c r="T27" s="52"/>
      <c r="U27" s="53"/>
      <c r="V27" s="53"/>
      <c r="W27" s="53"/>
      <c r="X27" s="53"/>
      <c r="Y27" s="53"/>
      <c r="Z27" s="53"/>
    </row>
    <row r="28" ht="14.25" customHeight="1">
      <c r="A28" s="34"/>
      <c r="B28" s="36"/>
      <c r="C28" s="36"/>
      <c r="D28" s="35"/>
      <c r="E28" s="72"/>
      <c r="F28" s="72"/>
      <c r="G28" s="39"/>
      <c r="H28" s="70"/>
      <c r="I28" s="71"/>
      <c r="J28" s="43"/>
      <c r="K28" s="45"/>
      <c r="L28" s="75"/>
      <c r="M28" s="73"/>
      <c r="N28" s="76"/>
      <c r="O28" s="73"/>
      <c r="P28" s="73"/>
      <c r="Q28" s="73"/>
      <c r="R28" s="73"/>
      <c r="S28" s="77"/>
      <c r="T28" s="78"/>
    </row>
    <row r="29" ht="14.25" customHeight="1">
      <c r="A29" s="79" t="s">
        <v>73</v>
      </c>
      <c r="B29" s="80"/>
      <c r="C29" s="80"/>
      <c r="D29" s="80"/>
      <c r="E29" s="80"/>
      <c r="F29" s="80"/>
      <c r="G29" s="80"/>
      <c r="H29" s="81"/>
      <c r="I29" s="77">
        <f t="shared" ref="I29:O29" si="4">SUM(I14:I28)</f>
        <v>10</v>
      </c>
      <c r="J29" s="77">
        <f t="shared" si="4"/>
        <v>0</v>
      </c>
      <c r="K29" s="77">
        <f t="shared" si="4"/>
        <v>67000000</v>
      </c>
      <c r="L29" s="77">
        <f t="shared" si="4"/>
        <v>0</v>
      </c>
      <c r="M29" s="77">
        <f t="shared" si="4"/>
        <v>0</v>
      </c>
      <c r="N29" s="77">
        <f t="shared" si="4"/>
        <v>0</v>
      </c>
      <c r="O29" s="77">
        <f t="shared" si="4"/>
        <v>0</v>
      </c>
      <c r="P29" s="77"/>
      <c r="Q29" s="77"/>
      <c r="R29" s="77">
        <f t="shared" ref="R29:S29" si="5">SUM(R14:R28)</f>
        <v>0</v>
      </c>
      <c r="S29" s="77">
        <f t="shared" si="5"/>
        <v>67000000</v>
      </c>
      <c r="T29" s="78"/>
    </row>
    <row r="30" ht="17.25" customHeight="1">
      <c r="A30" s="79" t="s">
        <v>76</v>
      </c>
      <c r="B30" s="80"/>
      <c r="C30" s="80"/>
      <c r="D30" s="80"/>
      <c r="E30" s="80"/>
      <c r="F30" s="80"/>
      <c r="G30" s="80"/>
      <c r="H30" s="81"/>
      <c r="I30" s="83"/>
      <c r="J30" s="83"/>
      <c r="K30" s="83"/>
      <c r="L30" s="85"/>
      <c r="M30" s="85"/>
      <c r="N30" s="85"/>
      <c r="O30" s="85"/>
      <c r="P30" s="85"/>
      <c r="Q30" s="85"/>
      <c r="R30" s="85">
        <f t="shared" ref="R30:S30" si="6">SUM(R14:R28)</f>
        <v>0</v>
      </c>
      <c r="S30" s="85">
        <f t="shared" si="6"/>
        <v>67000000</v>
      </c>
      <c r="T30" s="87"/>
    </row>
    <row r="31" ht="17.25" customHeight="1">
      <c r="A31" s="79" t="s">
        <v>83</v>
      </c>
      <c r="B31" s="80"/>
      <c r="C31" s="80"/>
      <c r="D31" s="80"/>
      <c r="E31" s="80"/>
      <c r="F31" s="80"/>
      <c r="G31" s="80"/>
      <c r="H31" s="88"/>
      <c r="I31" s="89"/>
      <c r="J31" s="89"/>
      <c r="K31" s="90"/>
      <c r="L31" s="85"/>
      <c r="M31" s="85"/>
      <c r="N31" s="85"/>
      <c r="O31" s="85"/>
      <c r="P31" s="85"/>
      <c r="Q31" s="85"/>
      <c r="R31" s="85"/>
      <c r="S31" s="91">
        <f>S30-R30</f>
        <v>67000000</v>
      </c>
      <c r="T31" s="87"/>
    </row>
    <row r="32" ht="17.25" customHeight="1">
      <c r="A32" s="79" t="s">
        <v>86</v>
      </c>
      <c r="B32" s="80"/>
      <c r="C32" s="80"/>
      <c r="D32" s="80"/>
      <c r="E32" s="80"/>
      <c r="F32" s="80"/>
      <c r="G32" s="80"/>
      <c r="H32" s="81"/>
      <c r="I32" s="83"/>
      <c r="J32" s="83"/>
      <c r="K32" s="83"/>
      <c r="L32" s="85"/>
      <c r="M32" s="85"/>
      <c r="N32" s="85"/>
      <c r="O32" s="85"/>
      <c r="P32" s="85"/>
      <c r="Q32" s="85"/>
      <c r="R32" s="85"/>
      <c r="S32" s="85"/>
      <c r="T32" s="87"/>
    </row>
    <row r="33" ht="17.25" customHeight="1">
      <c r="A33" s="79" t="s">
        <v>88</v>
      </c>
      <c r="B33" s="80"/>
      <c r="C33" s="80"/>
      <c r="D33" s="80"/>
      <c r="E33" s="80"/>
      <c r="F33" s="80"/>
      <c r="G33" s="80"/>
      <c r="H33" s="81"/>
      <c r="I33" s="83"/>
      <c r="J33" s="83"/>
      <c r="K33" s="83"/>
      <c r="L33" s="85"/>
      <c r="M33" s="85"/>
      <c r="N33" s="85"/>
      <c r="O33" s="85"/>
      <c r="P33" s="85"/>
      <c r="Q33" s="85"/>
      <c r="R33" s="85"/>
      <c r="S33" s="85"/>
      <c r="T33" s="87"/>
    </row>
    <row r="34" ht="14.25" customHeight="1">
      <c r="A34" s="93" t="s">
        <v>89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5"/>
    </row>
    <row r="35" ht="37.5" customHeight="1">
      <c r="A35" s="96"/>
      <c r="B35" s="97"/>
      <c r="C35" s="97"/>
      <c r="D35" s="97"/>
      <c r="E35" s="97"/>
      <c r="F35" s="98"/>
      <c r="G35" s="99"/>
      <c r="H35" s="99"/>
      <c r="I35" s="100"/>
      <c r="J35" s="100"/>
      <c r="K35" s="100"/>
      <c r="L35" s="101"/>
      <c r="M35" s="101"/>
      <c r="N35" s="101"/>
      <c r="O35" s="101"/>
      <c r="P35" s="101"/>
      <c r="Q35" s="101"/>
      <c r="R35" s="101"/>
      <c r="S35" s="102"/>
      <c r="T35" s="98"/>
    </row>
    <row r="36" ht="19.5" customHeight="1">
      <c r="A36" s="103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ht="14.25" customHeight="1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</row>
    <row r="38" ht="14.25" customHeight="1"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4"/>
    </row>
    <row r="39" ht="14.25" customHeight="1"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4"/>
    </row>
    <row r="40" ht="14.25" customHeight="1"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4"/>
    </row>
    <row r="41" ht="14.25" customHeight="1"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4"/>
    </row>
    <row r="42" ht="14.25" customHeight="1"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4"/>
    </row>
    <row r="43" ht="14.25" customHeight="1"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4"/>
    </row>
    <row r="44" ht="14.25" customHeight="1"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4"/>
    </row>
    <row r="45" ht="14.25" customHeight="1"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4"/>
    </row>
    <row r="46" ht="14.25" customHeight="1"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4"/>
    </row>
    <row r="47" ht="14.25" customHeight="1"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4"/>
    </row>
    <row r="48" ht="14.25" customHeight="1"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4"/>
    </row>
    <row r="49" ht="14.25" customHeight="1"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4"/>
    </row>
    <row r="50" ht="14.25" customHeight="1">
      <c r="I50" s="2"/>
      <c r="J50" s="2"/>
      <c r="K50" s="2"/>
      <c r="L50" s="3"/>
      <c r="M50" s="3"/>
      <c r="N50" s="3"/>
      <c r="O50" s="3"/>
      <c r="P50" s="3"/>
      <c r="Q50" s="3"/>
      <c r="R50" s="3"/>
      <c r="S50" s="3"/>
      <c r="T50" s="4"/>
    </row>
    <row r="51" ht="14.25" customHeight="1"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4"/>
    </row>
    <row r="52" ht="14.25" customHeight="1"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4"/>
    </row>
    <row r="53" ht="14.25" customHeight="1"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4"/>
    </row>
    <row r="54" ht="14.25" customHeight="1"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4"/>
    </row>
    <row r="55" ht="14.25" customHeight="1"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4"/>
    </row>
    <row r="56" ht="14.25" customHeight="1"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4"/>
    </row>
    <row r="57" ht="14.25" customHeight="1"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4"/>
    </row>
    <row r="58" ht="14.25" customHeight="1"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4"/>
    </row>
    <row r="59" ht="14.25" customHeight="1"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4"/>
    </row>
    <row r="60" ht="14.25" customHeight="1"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4"/>
    </row>
    <row r="61" ht="14.25" customHeight="1"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4"/>
    </row>
    <row r="62" ht="14.25" customHeight="1"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4"/>
    </row>
    <row r="63" ht="14.25" customHeight="1"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4"/>
    </row>
    <row r="64" ht="14.25" customHeight="1"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4"/>
    </row>
    <row r="65" ht="14.25" customHeight="1"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4"/>
    </row>
    <row r="66" ht="14.25" customHeight="1"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4"/>
    </row>
    <row r="67" ht="14.25" customHeight="1"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4"/>
    </row>
    <row r="68" ht="14.25" customHeight="1"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4"/>
    </row>
    <row r="69" ht="14.25" customHeight="1"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4"/>
    </row>
    <row r="70" ht="14.25" customHeight="1"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4"/>
    </row>
    <row r="71" ht="14.25" customHeight="1"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4"/>
    </row>
    <row r="72" ht="14.25" customHeight="1"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4"/>
    </row>
    <row r="73" ht="14.25" customHeight="1"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4"/>
    </row>
    <row r="74" ht="14.25" customHeight="1"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4"/>
    </row>
    <row r="75" ht="14.25" customHeight="1"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4"/>
    </row>
    <row r="76" ht="14.25" customHeight="1"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4"/>
    </row>
    <row r="77" ht="14.25" customHeight="1"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4"/>
    </row>
    <row r="78" ht="14.25" customHeight="1"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4"/>
    </row>
    <row r="79" ht="14.25" customHeight="1"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4"/>
    </row>
    <row r="80" ht="14.25" customHeight="1"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4"/>
    </row>
    <row r="81" ht="14.25" customHeight="1"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4"/>
    </row>
    <row r="82" ht="14.25" customHeight="1"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4"/>
    </row>
    <row r="83" ht="14.25" customHeight="1"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4"/>
    </row>
    <row r="84" ht="14.25" customHeight="1"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4"/>
    </row>
    <row r="85" ht="14.25" customHeight="1"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4"/>
    </row>
    <row r="86" ht="14.25" customHeight="1"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4"/>
    </row>
    <row r="87" ht="14.25" customHeight="1"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4"/>
    </row>
    <row r="88" ht="14.25" customHeight="1"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4"/>
    </row>
    <row r="89" ht="14.25" customHeight="1"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4"/>
    </row>
    <row r="90" ht="14.25" customHeight="1"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4"/>
    </row>
    <row r="91" ht="14.25" customHeight="1"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4"/>
    </row>
    <row r="92" ht="14.25" customHeight="1"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4"/>
    </row>
    <row r="93" ht="14.25" customHeight="1"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4"/>
    </row>
    <row r="94" ht="14.25" customHeight="1"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4"/>
    </row>
    <row r="95" ht="14.25" customHeight="1"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4"/>
    </row>
    <row r="96" ht="14.25" customHeight="1"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4"/>
    </row>
    <row r="97" ht="14.25" customHeight="1"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4"/>
    </row>
    <row r="98" ht="14.25" customHeight="1"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4"/>
    </row>
    <row r="99" ht="14.25" customHeight="1"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4"/>
    </row>
    <row r="100" ht="14.25" customHeight="1"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4"/>
    </row>
    <row r="101" ht="14.25" customHeight="1"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4"/>
    </row>
    <row r="102" ht="14.25" customHeight="1"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4"/>
    </row>
    <row r="103" ht="14.25" customHeight="1"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4"/>
    </row>
    <row r="104" ht="14.25" customHeight="1"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4"/>
    </row>
    <row r="105" ht="14.25" customHeight="1"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4"/>
    </row>
    <row r="106" ht="14.25" customHeight="1"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4"/>
    </row>
    <row r="107" ht="14.25" customHeight="1"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4"/>
    </row>
    <row r="108" ht="14.25" customHeight="1"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4"/>
    </row>
    <row r="109" ht="14.25" customHeight="1"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4"/>
    </row>
    <row r="110" ht="14.25" customHeight="1"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4"/>
    </row>
    <row r="111" ht="14.25" customHeight="1"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4"/>
    </row>
    <row r="112" ht="14.25" customHeight="1"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4"/>
    </row>
    <row r="113" ht="14.25" customHeight="1"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4"/>
    </row>
    <row r="114" ht="14.25" customHeight="1"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4"/>
    </row>
    <row r="115" ht="14.25" customHeight="1"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4"/>
    </row>
    <row r="116" ht="14.25" customHeight="1"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4"/>
    </row>
    <row r="117" ht="14.25" customHeight="1"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4"/>
    </row>
    <row r="118" ht="14.25" customHeight="1"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4"/>
    </row>
    <row r="119" ht="14.25" customHeight="1"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4"/>
    </row>
    <row r="120" ht="14.25" customHeight="1"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4"/>
    </row>
    <row r="121" ht="14.25" customHeight="1"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4"/>
    </row>
    <row r="122" ht="14.25" customHeight="1"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4"/>
    </row>
    <row r="123" ht="14.25" customHeight="1"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4"/>
    </row>
    <row r="124" ht="14.25" customHeight="1"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4"/>
    </row>
    <row r="125" ht="14.25" customHeight="1"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4"/>
    </row>
    <row r="126" ht="14.25" customHeight="1"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4"/>
    </row>
    <row r="127" ht="14.25" customHeight="1"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4"/>
    </row>
    <row r="128" ht="14.25" customHeight="1"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4"/>
    </row>
    <row r="129" ht="14.25" customHeight="1"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4"/>
    </row>
    <row r="130" ht="14.25" customHeight="1"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4"/>
    </row>
    <row r="131" ht="14.25" customHeight="1"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4"/>
    </row>
    <row r="132" ht="14.25" customHeight="1"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4"/>
    </row>
    <row r="133" ht="14.25" customHeight="1"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4"/>
    </row>
    <row r="134" ht="14.25" customHeight="1"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4"/>
    </row>
    <row r="135" ht="14.25" customHeight="1"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4"/>
    </row>
    <row r="136" ht="14.25" customHeight="1"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4"/>
    </row>
    <row r="137" ht="14.25" customHeight="1"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4"/>
    </row>
    <row r="138" ht="14.25" customHeight="1"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4"/>
    </row>
    <row r="139" ht="14.25" customHeight="1"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4"/>
    </row>
    <row r="140" ht="14.25" customHeight="1"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4"/>
    </row>
    <row r="141" ht="14.25" customHeight="1"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4"/>
    </row>
    <row r="142" ht="14.25" customHeight="1"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4"/>
    </row>
    <row r="143" ht="14.25" customHeight="1"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4"/>
    </row>
    <row r="144" ht="14.25" customHeight="1"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4"/>
    </row>
    <row r="145" ht="14.25" customHeight="1"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4"/>
    </row>
    <row r="146" ht="14.25" customHeight="1"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4"/>
    </row>
    <row r="147" ht="14.25" customHeight="1"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4"/>
    </row>
    <row r="148" ht="14.25" customHeight="1"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4"/>
    </row>
    <row r="149" ht="14.25" customHeight="1"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4"/>
    </row>
    <row r="150" ht="14.25" customHeight="1"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4"/>
    </row>
    <row r="151" ht="14.25" customHeight="1"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4"/>
    </row>
    <row r="152" ht="14.25" customHeight="1"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4"/>
    </row>
    <row r="153" ht="14.25" customHeight="1"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4"/>
    </row>
    <row r="154" ht="14.25" customHeight="1"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4"/>
    </row>
    <row r="155" ht="14.25" customHeight="1"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4"/>
    </row>
    <row r="156" ht="14.25" customHeight="1"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4"/>
    </row>
    <row r="157" ht="14.25" customHeight="1"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4"/>
    </row>
    <row r="158" ht="14.25" customHeight="1"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4"/>
    </row>
    <row r="159" ht="14.25" customHeight="1"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4"/>
    </row>
    <row r="160" ht="14.25" customHeight="1"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4"/>
    </row>
    <row r="161" ht="14.25" customHeight="1"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4"/>
    </row>
    <row r="162" ht="14.25" customHeight="1"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4"/>
    </row>
    <row r="163" ht="14.25" customHeight="1"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4"/>
    </row>
    <row r="164" ht="14.25" customHeight="1"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4"/>
    </row>
    <row r="165" ht="14.25" customHeight="1"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4"/>
    </row>
    <row r="166" ht="14.25" customHeight="1"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4"/>
    </row>
    <row r="167" ht="14.25" customHeight="1"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4"/>
    </row>
    <row r="168" ht="14.25" customHeight="1"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4"/>
    </row>
    <row r="169" ht="14.25" customHeight="1"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4"/>
    </row>
    <row r="170" ht="14.25" customHeight="1"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4"/>
    </row>
    <row r="171" ht="14.25" customHeight="1"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4"/>
    </row>
    <row r="172" ht="14.25" customHeight="1"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4"/>
    </row>
    <row r="173" ht="14.25" customHeight="1"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4"/>
    </row>
    <row r="174" ht="14.25" customHeight="1"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4"/>
    </row>
    <row r="175" ht="14.25" customHeight="1"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4"/>
    </row>
    <row r="176" ht="14.25" customHeight="1"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4"/>
    </row>
    <row r="177" ht="14.25" customHeight="1"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4"/>
    </row>
    <row r="178" ht="14.25" customHeight="1"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4"/>
    </row>
    <row r="179" ht="14.25" customHeight="1"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4"/>
    </row>
    <row r="180" ht="14.25" customHeight="1"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4"/>
    </row>
    <row r="181" ht="14.25" customHeight="1"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4"/>
    </row>
    <row r="182" ht="14.25" customHeight="1"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4"/>
    </row>
    <row r="183" ht="14.25" customHeight="1"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4"/>
    </row>
    <row r="184" ht="14.25" customHeight="1"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4"/>
    </row>
    <row r="185" ht="14.25" customHeight="1"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4"/>
    </row>
    <row r="186" ht="14.25" customHeight="1"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4"/>
    </row>
    <row r="187" ht="14.25" customHeight="1"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4"/>
    </row>
    <row r="188" ht="14.25" customHeight="1"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4"/>
    </row>
    <row r="189" ht="14.25" customHeight="1"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4"/>
    </row>
    <row r="190" ht="14.25" customHeight="1"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4"/>
    </row>
    <row r="191" ht="14.25" customHeight="1"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4"/>
    </row>
    <row r="192" ht="14.25" customHeight="1"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4"/>
    </row>
    <row r="193" ht="14.25" customHeight="1"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4"/>
    </row>
    <row r="194" ht="14.25" customHeight="1"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4"/>
    </row>
    <row r="195" ht="14.25" customHeight="1"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4"/>
    </row>
    <row r="196" ht="14.25" customHeight="1"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4"/>
    </row>
    <row r="197" ht="14.25" customHeight="1"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4"/>
    </row>
    <row r="198" ht="14.25" customHeight="1"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4"/>
    </row>
    <row r="199" ht="14.25" customHeight="1"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4"/>
    </row>
    <row r="200" ht="14.25" customHeight="1"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4"/>
    </row>
    <row r="201" ht="14.25" customHeight="1"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4"/>
    </row>
    <row r="202" ht="14.25" customHeight="1"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4"/>
    </row>
    <row r="203" ht="14.25" customHeight="1"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4"/>
    </row>
    <row r="204" ht="14.25" customHeight="1"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4"/>
    </row>
    <row r="205" ht="14.25" customHeight="1"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4"/>
    </row>
    <row r="206" ht="14.25" customHeight="1"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4"/>
    </row>
    <row r="207" ht="14.25" customHeight="1"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4"/>
    </row>
    <row r="208" ht="14.25" customHeight="1"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4"/>
    </row>
    <row r="209" ht="14.25" customHeight="1"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4"/>
    </row>
    <row r="210" ht="14.25" customHeight="1"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4"/>
    </row>
    <row r="211" ht="14.25" customHeight="1"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4"/>
    </row>
    <row r="212" ht="14.25" customHeight="1"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4"/>
    </row>
    <row r="213" ht="14.25" customHeight="1"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4"/>
    </row>
    <row r="214" ht="14.25" customHeight="1"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4"/>
    </row>
    <row r="215" ht="14.25" customHeight="1"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4"/>
    </row>
    <row r="216" ht="14.25" customHeight="1"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4"/>
    </row>
    <row r="217" ht="14.25" customHeight="1"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4"/>
    </row>
    <row r="218" ht="14.25" customHeight="1"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4"/>
    </row>
    <row r="219" ht="14.25" customHeight="1"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4"/>
    </row>
    <row r="220" ht="14.25" customHeight="1"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4"/>
    </row>
    <row r="221" ht="14.25" customHeight="1"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4"/>
    </row>
    <row r="222" ht="14.25" customHeight="1"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4"/>
    </row>
    <row r="223" ht="14.25" customHeight="1"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4"/>
    </row>
    <row r="224" ht="14.25" customHeight="1"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4"/>
    </row>
    <row r="225" ht="14.25" customHeight="1"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4"/>
    </row>
    <row r="226" ht="14.25" customHeight="1"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4"/>
    </row>
    <row r="227" ht="14.25" customHeight="1"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4"/>
    </row>
    <row r="228" ht="14.25" customHeight="1"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4"/>
    </row>
    <row r="229" ht="14.25" customHeight="1"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4"/>
    </row>
    <row r="230" ht="14.25" customHeight="1"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4"/>
    </row>
    <row r="231" ht="14.25" customHeight="1"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4"/>
    </row>
    <row r="232" ht="14.25" customHeight="1"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4"/>
    </row>
    <row r="233" ht="14.25" customHeight="1"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4"/>
    </row>
    <row r="234" ht="14.25" customHeight="1"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4"/>
    </row>
    <row r="235" ht="14.25" customHeight="1"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4"/>
    </row>
    <row r="236" ht="14.25" customHeight="1"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4"/>
    </row>
    <row r="237" ht="14.25" customHeight="1"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4"/>
    </row>
    <row r="238" ht="14.25" customHeight="1"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4"/>
    </row>
    <row r="239" ht="14.25" customHeight="1"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4"/>
    </row>
    <row r="240" ht="14.25" customHeight="1"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4"/>
    </row>
    <row r="241" ht="14.25" customHeight="1"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4"/>
    </row>
    <row r="242" ht="14.25" customHeight="1"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4"/>
    </row>
    <row r="243" ht="14.25" customHeight="1"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4"/>
    </row>
    <row r="244" ht="14.25" customHeight="1"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4"/>
    </row>
    <row r="245" ht="14.25" customHeight="1"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4"/>
    </row>
    <row r="246" ht="14.25" customHeight="1"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4"/>
    </row>
    <row r="247" ht="14.25" customHeight="1"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4"/>
    </row>
    <row r="248" ht="14.25" customHeight="1"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4"/>
    </row>
    <row r="249" ht="14.25" customHeight="1"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4"/>
    </row>
    <row r="250" ht="14.25" customHeight="1"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4"/>
    </row>
    <row r="251" ht="14.25" customHeight="1"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4"/>
    </row>
    <row r="252" ht="14.25" customHeight="1"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4"/>
    </row>
    <row r="253" ht="14.25" customHeight="1"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4"/>
    </row>
    <row r="254" ht="14.25" customHeight="1"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4"/>
    </row>
    <row r="255" ht="14.25" customHeight="1"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4"/>
    </row>
    <row r="256" ht="14.25" customHeight="1"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4"/>
    </row>
    <row r="257" ht="14.25" customHeight="1"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4"/>
    </row>
    <row r="258" ht="14.25" customHeight="1"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4"/>
    </row>
    <row r="259" ht="14.25" customHeight="1"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4"/>
    </row>
    <row r="260" ht="14.25" customHeight="1"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4"/>
    </row>
    <row r="261" ht="14.25" customHeight="1"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4"/>
    </row>
    <row r="262" ht="14.25" customHeight="1"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4"/>
    </row>
    <row r="263" ht="14.25" customHeight="1"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4"/>
    </row>
    <row r="264" ht="14.25" customHeight="1"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4"/>
    </row>
    <row r="265" ht="14.25" customHeight="1"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4"/>
    </row>
    <row r="266" ht="14.25" customHeight="1"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4"/>
    </row>
    <row r="267" ht="14.25" customHeight="1"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4"/>
    </row>
    <row r="268" ht="14.25" customHeight="1"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4"/>
    </row>
    <row r="269" ht="14.25" customHeight="1"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4"/>
    </row>
    <row r="270" ht="14.25" customHeight="1"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4"/>
    </row>
    <row r="271" ht="14.25" customHeight="1"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4"/>
    </row>
    <row r="272" ht="14.25" customHeight="1"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4"/>
    </row>
    <row r="273" ht="14.25" customHeight="1"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4"/>
    </row>
    <row r="274" ht="14.25" customHeight="1"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4"/>
    </row>
    <row r="275" ht="14.25" customHeight="1"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4"/>
    </row>
    <row r="276" ht="14.25" customHeight="1"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4"/>
    </row>
    <row r="277" ht="14.25" customHeight="1"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4"/>
    </row>
    <row r="278" ht="14.25" customHeight="1"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4"/>
    </row>
    <row r="279" ht="14.25" customHeight="1"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4"/>
    </row>
    <row r="280" ht="14.25" customHeight="1"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4"/>
    </row>
    <row r="281" ht="14.25" customHeight="1"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4"/>
    </row>
    <row r="282" ht="14.25" customHeight="1"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4"/>
    </row>
    <row r="283" ht="14.25" customHeight="1"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4"/>
    </row>
    <row r="284" ht="14.25" customHeight="1"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4"/>
    </row>
    <row r="285" ht="14.25" customHeight="1"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4"/>
    </row>
    <row r="286" ht="14.25" customHeight="1"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4"/>
    </row>
    <row r="287" ht="14.25" customHeight="1"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4"/>
    </row>
    <row r="288" ht="14.25" customHeight="1"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4"/>
    </row>
    <row r="289" ht="14.25" customHeight="1"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4"/>
    </row>
    <row r="290" ht="14.25" customHeight="1"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4"/>
    </row>
    <row r="291" ht="14.25" customHeight="1"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4"/>
    </row>
    <row r="292" ht="14.25" customHeight="1"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4"/>
    </row>
    <row r="293" ht="14.25" customHeight="1"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4"/>
    </row>
    <row r="294" ht="14.25" customHeight="1"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4"/>
    </row>
    <row r="295" ht="14.25" customHeight="1"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4"/>
    </row>
    <row r="296" ht="14.25" customHeight="1"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4"/>
    </row>
    <row r="297" ht="14.25" customHeight="1"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4"/>
    </row>
    <row r="298" ht="14.25" customHeight="1"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4"/>
    </row>
    <row r="299" ht="14.25" customHeight="1"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4"/>
    </row>
    <row r="300" ht="14.25" customHeight="1"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4"/>
    </row>
    <row r="301" ht="14.25" customHeight="1"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4"/>
    </row>
    <row r="302" ht="14.25" customHeight="1"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4"/>
    </row>
    <row r="303" ht="14.25" customHeight="1"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4"/>
    </row>
    <row r="304" ht="14.25" customHeight="1"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4"/>
    </row>
    <row r="305" ht="14.25" customHeight="1"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4"/>
    </row>
    <row r="306" ht="14.25" customHeight="1"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4"/>
    </row>
    <row r="307" ht="14.25" customHeight="1"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4"/>
    </row>
    <row r="308" ht="14.25" customHeight="1"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4"/>
    </row>
    <row r="309" ht="14.25" customHeight="1"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4"/>
    </row>
    <row r="310" ht="14.25" customHeight="1"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4"/>
    </row>
    <row r="311" ht="14.25" customHeight="1"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4"/>
    </row>
    <row r="312" ht="14.25" customHeight="1"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4"/>
    </row>
    <row r="313" ht="14.25" customHeight="1"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4"/>
    </row>
    <row r="314" ht="14.25" customHeight="1"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4"/>
    </row>
    <row r="315" ht="14.25" customHeight="1"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4"/>
    </row>
    <row r="316" ht="14.25" customHeight="1"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4"/>
    </row>
    <row r="317" ht="14.25" customHeight="1"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4"/>
    </row>
    <row r="318" ht="14.25" customHeight="1"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4"/>
    </row>
    <row r="319" ht="14.25" customHeight="1"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4"/>
    </row>
    <row r="320" ht="14.25" customHeight="1"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4"/>
    </row>
    <row r="321" ht="14.25" customHeight="1"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4"/>
    </row>
    <row r="322" ht="14.25" customHeight="1"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4"/>
    </row>
    <row r="323" ht="14.25" customHeight="1"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4"/>
    </row>
    <row r="324" ht="14.25" customHeight="1"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4"/>
    </row>
    <row r="325" ht="14.25" customHeight="1"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4"/>
    </row>
    <row r="326" ht="14.25" customHeight="1"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4"/>
    </row>
    <row r="327" ht="14.25" customHeight="1"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4"/>
    </row>
    <row r="328" ht="14.25" customHeight="1"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4"/>
    </row>
    <row r="329" ht="14.25" customHeight="1"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4"/>
    </row>
    <row r="330" ht="14.25" customHeight="1"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4"/>
    </row>
    <row r="331" ht="14.25" customHeight="1"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4"/>
    </row>
    <row r="332" ht="14.25" customHeight="1"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4"/>
    </row>
    <row r="333" ht="14.25" customHeight="1"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4"/>
    </row>
    <row r="334" ht="14.25" customHeight="1"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4"/>
    </row>
    <row r="335" ht="14.25" customHeight="1"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4"/>
    </row>
    <row r="336" ht="14.25" customHeight="1"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4"/>
    </row>
    <row r="337" ht="14.25" customHeight="1"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4"/>
    </row>
    <row r="338" ht="14.25" customHeight="1"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4"/>
    </row>
    <row r="339" ht="14.25" customHeight="1"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4"/>
    </row>
    <row r="340" ht="14.25" customHeight="1"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4"/>
    </row>
    <row r="341" ht="14.25" customHeight="1"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4"/>
    </row>
    <row r="342" ht="14.25" customHeight="1"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4"/>
    </row>
    <row r="343" ht="14.25" customHeight="1"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4"/>
    </row>
    <row r="344" ht="14.25" customHeight="1"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4"/>
    </row>
    <row r="345" ht="14.25" customHeight="1"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4"/>
    </row>
    <row r="346" ht="14.25" customHeight="1"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4"/>
    </row>
    <row r="347" ht="14.25" customHeight="1"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4"/>
    </row>
    <row r="348" ht="14.25" customHeight="1"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4"/>
    </row>
    <row r="349" ht="14.25" customHeight="1"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4"/>
    </row>
    <row r="350" ht="14.25" customHeight="1"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4"/>
    </row>
    <row r="351" ht="14.25" customHeight="1"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4"/>
    </row>
    <row r="352" ht="14.25" customHeight="1"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4"/>
    </row>
    <row r="353" ht="14.25" customHeight="1"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4"/>
    </row>
    <row r="354" ht="14.25" customHeight="1"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4"/>
    </row>
    <row r="355" ht="14.25" customHeight="1"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4"/>
    </row>
    <row r="356" ht="14.25" customHeight="1"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4"/>
    </row>
    <row r="357" ht="14.25" customHeight="1"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4"/>
    </row>
    <row r="358" ht="14.25" customHeight="1"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4"/>
    </row>
    <row r="359" ht="14.25" customHeight="1"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4"/>
    </row>
    <row r="360" ht="14.25" customHeight="1"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4"/>
    </row>
    <row r="361" ht="14.25" customHeight="1"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4"/>
    </row>
    <row r="362" ht="14.25" customHeight="1"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4"/>
    </row>
    <row r="363" ht="14.25" customHeight="1"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4"/>
    </row>
    <row r="364" ht="14.25" customHeight="1"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4"/>
    </row>
    <row r="365" ht="14.25" customHeight="1"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4"/>
    </row>
    <row r="366" ht="14.25" customHeight="1"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4"/>
    </row>
    <row r="367" ht="14.25" customHeight="1"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4"/>
    </row>
    <row r="368" ht="14.25" customHeight="1"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4"/>
    </row>
    <row r="369" ht="14.25" customHeight="1"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4"/>
    </row>
    <row r="370" ht="14.25" customHeight="1"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4"/>
    </row>
    <row r="371" ht="14.25" customHeight="1"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4"/>
    </row>
    <row r="372" ht="14.25" customHeight="1"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4"/>
    </row>
    <row r="373" ht="14.25" customHeight="1"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4"/>
    </row>
    <row r="374" ht="14.25" customHeight="1"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4"/>
    </row>
    <row r="375" ht="14.25" customHeight="1"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4"/>
    </row>
    <row r="376" ht="14.25" customHeight="1"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4"/>
    </row>
    <row r="377" ht="14.25" customHeight="1"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4"/>
    </row>
    <row r="378" ht="14.25" customHeight="1"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4"/>
    </row>
    <row r="379" ht="14.25" customHeight="1"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4"/>
    </row>
    <row r="380" ht="14.25" customHeight="1"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4"/>
    </row>
    <row r="381" ht="14.25" customHeight="1"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4"/>
    </row>
    <row r="382" ht="14.25" customHeight="1"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4"/>
    </row>
    <row r="383" ht="14.25" customHeight="1"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4"/>
    </row>
    <row r="384" ht="14.25" customHeight="1"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4"/>
    </row>
    <row r="385" ht="14.25" customHeight="1"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4"/>
    </row>
    <row r="386" ht="14.25" customHeight="1"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4"/>
    </row>
    <row r="387" ht="14.25" customHeight="1"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4"/>
    </row>
    <row r="388" ht="14.25" customHeight="1"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4"/>
    </row>
    <row r="389" ht="14.25" customHeight="1"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4"/>
    </row>
    <row r="390" ht="14.25" customHeight="1"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4"/>
    </row>
    <row r="391" ht="14.25" customHeight="1"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4"/>
    </row>
    <row r="392" ht="14.25" customHeight="1"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4"/>
    </row>
    <row r="393" ht="14.25" customHeight="1"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4"/>
    </row>
    <row r="394" ht="14.25" customHeight="1"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4"/>
    </row>
    <row r="395" ht="14.25" customHeight="1"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4"/>
    </row>
    <row r="396" ht="14.25" customHeight="1"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4"/>
    </row>
    <row r="397" ht="14.25" customHeight="1"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4"/>
    </row>
    <row r="398" ht="14.25" customHeight="1"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4"/>
    </row>
    <row r="399" ht="14.25" customHeight="1"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4"/>
    </row>
    <row r="400" ht="14.25" customHeight="1"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4"/>
    </row>
    <row r="401" ht="14.25" customHeight="1"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4"/>
    </row>
    <row r="402" ht="14.25" customHeight="1"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4"/>
    </row>
    <row r="403" ht="14.25" customHeight="1"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4"/>
    </row>
    <row r="404" ht="14.25" customHeight="1"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4"/>
    </row>
    <row r="405" ht="14.25" customHeight="1"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4"/>
    </row>
    <row r="406" ht="14.25" customHeight="1"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4"/>
    </row>
    <row r="407" ht="14.25" customHeight="1"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4"/>
    </row>
    <row r="408" ht="14.25" customHeight="1"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4"/>
    </row>
    <row r="409" ht="14.25" customHeight="1"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4"/>
    </row>
    <row r="410" ht="14.25" customHeight="1"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4"/>
    </row>
    <row r="411" ht="14.25" customHeight="1"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4"/>
    </row>
    <row r="412" ht="14.25" customHeight="1"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4"/>
    </row>
    <row r="413" ht="14.25" customHeight="1"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4"/>
    </row>
    <row r="414" ht="14.25" customHeight="1"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4"/>
    </row>
    <row r="415" ht="14.25" customHeight="1"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4"/>
    </row>
    <row r="416" ht="14.25" customHeight="1"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4"/>
    </row>
    <row r="417" ht="14.25" customHeight="1"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4"/>
    </row>
    <row r="418" ht="14.25" customHeight="1"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4"/>
    </row>
    <row r="419" ht="14.25" customHeight="1"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4"/>
    </row>
    <row r="420" ht="14.25" customHeight="1"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4"/>
    </row>
    <row r="421" ht="14.25" customHeight="1"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4"/>
    </row>
    <row r="422" ht="14.25" customHeight="1"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4"/>
    </row>
    <row r="423" ht="14.25" customHeight="1"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4"/>
    </row>
    <row r="424" ht="14.25" customHeight="1"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4"/>
    </row>
    <row r="425" ht="14.25" customHeight="1"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4"/>
    </row>
    <row r="426" ht="14.25" customHeight="1"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4"/>
    </row>
    <row r="427" ht="14.25" customHeight="1"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4"/>
    </row>
    <row r="428" ht="14.25" customHeight="1"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4"/>
    </row>
    <row r="429" ht="14.25" customHeight="1"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4"/>
    </row>
    <row r="430" ht="14.25" customHeight="1"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4"/>
    </row>
    <row r="431" ht="14.25" customHeight="1"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4"/>
    </row>
    <row r="432" ht="14.25" customHeight="1"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4"/>
    </row>
    <row r="433" ht="14.25" customHeight="1"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4"/>
    </row>
    <row r="434" ht="14.25" customHeight="1"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4"/>
    </row>
    <row r="435" ht="14.25" customHeight="1"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4"/>
    </row>
    <row r="436" ht="14.25" customHeight="1"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4"/>
    </row>
    <row r="437" ht="14.25" customHeight="1"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4"/>
    </row>
    <row r="438" ht="14.25" customHeight="1"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4"/>
    </row>
    <row r="439" ht="14.25" customHeight="1"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4"/>
    </row>
    <row r="440" ht="14.25" customHeight="1"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4"/>
    </row>
    <row r="441" ht="14.25" customHeight="1"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4"/>
    </row>
    <row r="442" ht="14.25" customHeight="1"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4"/>
    </row>
    <row r="443" ht="14.25" customHeight="1"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4"/>
    </row>
    <row r="444" ht="14.25" customHeight="1"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4"/>
    </row>
    <row r="445" ht="14.25" customHeight="1"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4"/>
    </row>
    <row r="446" ht="14.25" customHeight="1"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4"/>
    </row>
    <row r="447" ht="14.25" customHeight="1"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4"/>
    </row>
    <row r="448" ht="14.25" customHeight="1"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4"/>
    </row>
    <row r="449" ht="14.25" customHeight="1"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4"/>
    </row>
    <row r="450" ht="14.25" customHeight="1"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4"/>
    </row>
    <row r="451" ht="14.25" customHeight="1"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4"/>
    </row>
    <row r="452" ht="14.25" customHeight="1"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4"/>
    </row>
    <row r="453" ht="14.25" customHeight="1"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4"/>
    </row>
    <row r="454" ht="14.25" customHeight="1"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4"/>
    </row>
    <row r="455" ht="14.25" customHeight="1"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4"/>
    </row>
    <row r="456" ht="14.25" customHeight="1"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4"/>
    </row>
    <row r="457" ht="14.25" customHeight="1"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4"/>
    </row>
    <row r="458" ht="14.25" customHeight="1"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4"/>
    </row>
    <row r="459" ht="14.25" customHeight="1"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4"/>
    </row>
    <row r="460" ht="14.25" customHeight="1"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4"/>
    </row>
    <row r="461" ht="14.25" customHeight="1"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4"/>
    </row>
    <row r="462" ht="14.25" customHeight="1"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4"/>
    </row>
    <row r="463" ht="14.25" customHeight="1"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4"/>
    </row>
    <row r="464" ht="14.25" customHeight="1"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4"/>
    </row>
    <row r="465" ht="14.25" customHeight="1"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4"/>
    </row>
    <row r="466" ht="14.25" customHeight="1"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4"/>
    </row>
    <row r="467" ht="14.25" customHeight="1"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4"/>
    </row>
    <row r="468" ht="14.25" customHeight="1"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4"/>
    </row>
    <row r="469" ht="14.25" customHeight="1"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4"/>
    </row>
    <row r="470" ht="14.25" customHeight="1"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4"/>
    </row>
    <row r="471" ht="14.25" customHeight="1"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4"/>
    </row>
    <row r="472" ht="14.25" customHeight="1"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4"/>
    </row>
    <row r="473" ht="14.25" customHeight="1"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4"/>
    </row>
    <row r="474" ht="14.25" customHeight="1"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4"/>
    </row>
    <row r="475" ht="14.25" customHeight="1"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4"/>
    </row>
    <row r="476" ht="14.25" customHeight="1"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4"/>
    </row>
    <row r="477" ht="14.25" customHeight="1"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4"/>
    </row>
    <row r="478" ht="14.25" customHeight="1"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4"/>
    </row>
    <row r="479" ht="14.25" customHeight="1"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4"/>
    </row>
    <row r="480" ht="14.25" customHeight="1"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4"/>
    </row>
    <row r="481" ht="14.25" customHeight="1"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4"/>
    </row>
    <row r="482" ht="14.25" customHeight="1"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4"/>
    </row>
    <row r="483" ht="14.25" customHeight="1"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4"/>
    </row>
    <row r="484" ht="14.25" customHeight="1"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4"/>
    </row>
    <row r="485" ht="14.25" customHeight="1"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4"/>
    </row>
    <row r="486" ht="14.25" customHeight="1"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4"/>
    </row>
    <row r="487" ht="14.25" customHeight="1"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4"/>
    </row>
    <row r="488" ht="14.25" customHeight="1"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4"/>
    </row>
    <row r="489" ht="14.25" customHeight="1"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4"/>
    </row>
    <row r="490" ht="14.25" customHeight="1"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4"/>
    </row>
    <row r="491" ht="14.25" customHeight="1"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4"/>
    </row>
    <row r="492" ht="14.25" customHeight="1"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4"/>
    </row>
    <row r="493" ht="14.25" customHeight="1"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4"/>
    </row>
    <row r="494" ht="14.25" customHeight="1"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4"/>
    </row>
    <row r="495" ht="14.25" customHeight="1"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4"/>
    </row>
    <row r="496" ht="14.25" customHeight="1"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4"/>
    </row>
    <row r="497" ht="14.25" customHeight="1"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4"/>
    </row>
    <row r="498" ht="14.25" customHeight="1"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4"/>
    </row>
    <row r="499" ht="14.25" customHeight="1"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4"/>
    </row>
    <row r="500" ht="14.25" customHeight="1"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4"/>
    </row>
    <row r="501" ht="14.25" customHeight="1"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4"/>
    </row>
    <row r="502" ht="14.25" customHeight="1"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4"/>
    </row>
    <row r="503" ht="14.25" customHeight="1"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4"/>
    </row>
    <row r="504" ht="14.25" customHeight="1"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4"/>
    </row>
    <row r="505" ht="14.25" customHeight="1"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4"/>
    </row>
    <row r="506" ht="14.25" customHeight="1"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4"/>
    </row>
    <row r="507" ht="14.25" customHeight="1"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4"/>
    </row>
    <row r="508" ht="14.25" customHeight="1"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4"/>
    </row>
    <row r="509" ht="14.25" customHeight="1"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4"/>
    </row>
    <row r="510" ht="14.25" customHeight="1"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4"/>
    </row>
    <row r="511" ht="14.25" customHeight="1"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4"/>
    </row>
    <row r="512" ht="14.25" customHeight="1"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4"/>
    </row>
    <row r="513" ht="14.25" customHeight="1"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4"/>
    </row>
    <row r="514" ht="14.25" customHeight="1"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4"/>
    </row>
    <row r="515" ht="14.25" customHeight="1"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4"/>
    </row>
    <row r="516" ht="14.25" customHeight="1"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4"/>
    </row>
    <row r="517" ht="14.25" customHeight="1"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4"/>
    </row>
    <row r="518" ht="14.25" customHeight="1"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4"/>
    </row>
    <row r="519" ht="14.25" customHeight="1"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4"/>
    </row>
    <row r="520" ht="14.25" customHeight="1"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4"/>
    </row>
    <row r="521" ht="14.25" customHeight="1"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4"/>
    </row>
    <row r="522" ht="14.25" customHeight="1"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4"/>
    </row>
    <row r="523" ht="14.25" customHeight="1"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4"/>
    </row>
    <row r="524" ht="14.25" customHeight="1"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4"/>
    </row>
    <row r="525" ht="14.25" customHeight="1"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4"/>
    </row>
    <row r="526" ht="14.25" customHeight="1"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4"/>
    </row>
    <row r="527" ht="14.25" customHeight="1"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4"/>
    </row>
    <row r="528" ht="14.25" customHeight="1"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4"/>
    </row>
    <row r="529" ht="14.25" customHeight="1"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4"/>
    </row>
    <row r="530" ht="14.25" customHeight="1"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4"/>
    </row>
    <row r="531" ht="14.25" customHeight="1"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4"/>
    </row>
    <row r="532" ht="14.25" customHeight="1"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4"/>
    </row>
    <row r="533" ht="14.25" customHeight="1"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4"/>
    </row>
    <row r="534" ht="14.25" customHeight="1"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4"/>
    </row>
    <row r="535" ht="14.25" customHeight="1"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4"/>
    </row>
    <row r="536" ht="14.25" customHeight="1"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4"/>
    </row>
    <row r="537" ht="14.25" customHeight="1"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4"/>
    </row>
    <row r="538" ht="14.25" customHeight="1"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4"/>
    </row>
    <row r="539" ht="14.25" customHeight="1"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4"/>
    </row>
    <row r="540" ht="14.25" customHeight="1"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4"/>
    </row>
    <row r="541" ht="14.25" customHeight="1"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4"/>
    </row>
    <row r="542" ht="14.25" customHeight="1"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4"/>
    </row>
    <row r="543" ht="14.25" customHeight="1"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4"/>
    </row>
    <row r="544" ht="14.25" customHeight="1"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4"/>
    </row>
    <row r="545" ht="14.25" customHeight="1"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4"/>
    </row>
    <row r="546" ht="14.25" customHeight="1"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4"/>
    </row>
    <row r="547" ht="14.25" customHeight="1"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4"/>
    </row>
    <row r="548" ht="14.25" customHeight="1"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4"/>
    </row>
    <row r="549" ht="14.25" customHeight="1"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4"/>
    </row>
    <row r="550" ht="14.25" customHeight="1"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4"/>
    </row>
    <row r="551" ht="14.25" customHeight="1"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4"/>
    </row>
    <row r="552" ht="14.25" customHeight="1"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4"/>
    </row>
    <row r="553" ht="14.25" customHeight="1"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4"/>
    </row>
    <row r="554" ht="14.25" customHeight="1"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4"/>
    </row>
    <row r="555" ht="14.25" customHeight="1"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4"/>
    </row>
    <row r="556" ht="14.25" customHeight="1"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4"/>
    </row>
    <row r="557" ht="14.25" customHeight="1"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4"/>
    </row>
    <row r="558" ht="14.25" customHeight="1"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4"/>
    </row>
    <row r="559" ht="14.25" customHeight="1"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4"/>
    </row>
    <row r="560" ht="14.25" customHeight="1"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4"/>
    </row>
    <row r="561" ht="14.25" customHeight="1"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4"/>
    </row>
    <row r="562" ht="14.25" customHeight="1"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4"/>
    </row>
    <row r="563" ht="14.25" customHeight="1"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4"/>
    </row>
    <row r="564" ht="14.25" customHeight="1"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4"/>
    </row>
    <row r="565" ht="14.25" customHeight="1"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4"/>
    </row>
    <row r="566" ht="14.25" customHeight="1"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4"/>
    </row>
    <row r="567" ht="14.25" customHeight="1"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4"/>
    </row>
    <row r="568" ht="14.25" customHeight="1"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4"/>
    </row>
    <row r="569" ht="14.25" customHeight="1"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4"/>
    </row>
    <row r="570" ht="14.25" customHeight="1"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4"/>
    </row>
    <row r="571" ht="14.25" customHeight="1"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4"/>
    </row>
    <row r="572" ht="14.25" customHeight="1"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4"/>
    </row>
    <row r="573" ht="14.25" customHeight="1"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4"/>
    </row>
    <row r="574" ht="14.25" customHeight="1"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4"/>
    </row>
    <row r="575" ht="14.25" customHeight="1"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4"/>
    </row>
    <row r="576" ht="14.25" customHeight="1"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4"/>
    </row>
    <row r="577" ht="14.25" customHeight="1"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4"/>
    </row>
    <row r="578" ht="14.25" customHeight="1"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4"/>
    </row>
    <row r="579" ht="14.25" customHeight="1"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4"/>
    </row>
    <row r="580" ht="14.25" customHeight="1"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4"/>
    </row>
    <row r="581" ht="14.25" customHeight="1"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4"/>
    </row>
    <row r="582" ht="14.25" customHeight="1"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4"/>
    </row>
    <row r="583" ht="14.25" customHeight="1"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4"/>
    </row>
    <row r="584" ht="14.25" customHeight="1"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4"/>
    </row>
    <row r="585" ht="14.25" customHeight="1"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4"/>
    </row>
    <row r="586" ht="14.25" customHeight="1"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4"/>
    </row>
    <row r="587" ht="14.25" customHeight="1"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4"/>
    </row>
    <row r="588" ht="14.25" customHeight="1"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4"/>
    </row>
    <row r="589" ht="14.25" customHeight="1"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4"/>
    </row>
    <row r="590" ht="14.25" customHeight="1"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4"/>
    </row>
    <row r="591" ht="14.25" customHeight="1"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4"/>
    </row>
    <row r="592" ht="14.25" customHeight="1"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4"/>
    </row>
    <row r="593" ht="14.25" customHeight="1"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4"/>
    </row>
    <row r="594" ht="14.25" customHeight="1"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4"/>
    </row>
    <row r="595" ht="14.25" customHeight="1"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4"/>
    </row>
    <row r="596" ht="14.25" customHeight="1"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4"/>
    </row>
    <row r="597" ht="14.25" customHeight="1"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4"/>
    </row>
    <row r="598" ht="14.25" customHeight="1"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4"/>
    </row>
    <row r="599" ht="14.25" customHeight="1"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4"/>
    </row>
    <row r="600" ht="14.25" customHeight="1"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4"/>
    </row>
    <row r="601" ht="14.25" customHeight="1"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4"/>
    </row>
    <row r="602" ht="14.25" customHeight="1"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4"/>
    </row>
    <row r="603" ht="14.25" customHeight="1"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4"/>
    </row>
    <row r="604" ht="14.25" customHeight="1"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4"/>
    </row>
    <row r="605" ht="14.25" customHeight="1"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4"/>
    </row>
    <row r="606" ht="14.25" customHeight="1"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4"/>
    </row>
    <row r="607" ht="14.25" customHeight="1"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4"/>
    </row>
    <row r="608" ht="14.25" customHeight="1"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4"/>
    </row>
    <row r="609" ht="14.25" customHeight="1"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4"/>
    </row>
    <row r="610" ht="14.25" customHeight="1"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4"/>
    </row>
    <row r="611" ht="14.25" customHeight="1"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4"/>
    </row>
    <row r="612" ht="14.25" customHeight="1"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4"/>
    </row>
    <row r="613" ht="14.25" customHeight="1"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4"/>
    </row>
    <row r="614" ht="14.25" customHeight="1"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4"/>
    </row>
    <row r="615" ht="14.25" customHeight="1"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4"/>
    </row>
    <row r="616" ht="14.25" customHeight="1"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4"/>
    </row>
    <row r="617" ht="14.25" customHeight="1"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4"/>
    </row>
    <row r="618" ht="14.25" customHeight="1"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4"/>
    </row>
    <row r="619" ht="14.25" customHeight="1"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4"/>
    </row>
    <row r="620" ht="14.25" customHeight="1"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4"/>
    </row>
    <row r="621" ht="14.25" customHeight="1"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4"/>
    </row>
    <row r="622" ht="14.25" customHeight="1"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4"/>
    </row>
    <row r="623" ht="14.25" customHeight="1"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4"/>
    </row>
    <row r="624" ht="14.25" customHeight="1"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4"/>
    </row>
    <row r="625" ht="14.25" customHeight="1"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4"/>
    </row>
    <row r="626" ht="14.25" customHeight="1"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4"/>
    </row>
    <row r="627" ht="14.25" customHeight="1"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4"/>
    </row>
    <row r="628" ht="14.25" customHeight="1"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4"/>
    </row>
    <row r="629" ht="14.25" customHeight="1"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4"/>
    </row>
    <row r="630" ht="14.25" customHeight="1"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4"/>
    </row>
    <row r="631" ht="14.25" customHeight="1"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4"/>
    </row>
    <row r="632" ht="14.25" customHeight="1"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4"/>
    </row>
    <row r="633" ht="14.25" customHeight="1"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4"/>
    </row>
    <row r="634" ht="14.25" customHeight="1"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4"/>
    </row>
    <row r="635" ht="14.25" customHeight="1"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4"/>
    </row>
    <row r="636" ht="14.25" customHeight="1"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4"/>
    </row>
    <row r="637" ht="14.25" customHeight="1"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4"/>
    </row>
    <row r="638" ht="14.25" customHeight="1"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4"/>
    </row>
    <row r="639" ht="14.25" customHeight="1"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4"/>
    </row>
    <row r="640" ht="14.25" customHeight="1"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4"/>
    </row>
    <row r="641" ht="14.25" customHeight="1"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4"/>
    </row>
    <row r="642" ht="14.25" customHeight="1"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4"/>
    </row>
    <row r="643" ht="14.25" customHeight="1"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4"/>
    </row>
    <row r="644" ht="14.25" customHeight="1"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4"/>
    </row>
    <row r="645" ht="14.25" customHeight="1"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4"/>
    </row>
    <row r="646" ht="14.25" customHeight="1"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4"/>
    </row>
    <row r="647" ht="14.25" customHeight="1"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4"/>
    </row>
    <row r="648" ht="14.25" customHeight="1"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4"/>
    </row>
    <row r="649" ht="14.25" customHeight="1"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4"/>
    </row>
    <row r="650" ht="14.25" customHeight="1"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4"/>
    </row>
    <row r="651" ht="14.25" customHeight="1"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4"/>
    </row>
    <row r="652" ht="14.25" customHeight="1"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4"/>
    </row>
    <row r="653" ht="14.25" customHeight="1"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4"/>
    </row>
    <row r="654" ht="14.25" customHeight="1"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4"/>
    </row>
    <row r="655" ht="14.25" customHeight="1"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4"/>
    </row>
    <row r="656" ht="14.25" customHeight="1"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4"/>
    </row>
    <row r="657" ht="14.25" customHeight="1"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4"/>
    </row>
    <row r="658" ht="14.25" customHeight="1"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4"/>
    </row>
    <row r="659" ht="14.25" customHeight="1"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4"/>
    </row>
    <row r="660" ht="14.25" customHeight="1"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4"/>
    </row>
    <row r="661" ht="14.25" customHeight="1"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4"/>
    </row>
    <row r="662" ht="14.25" customHeight="1"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4"/>
    </row>
    <row r="663" ht="14.25" customHeight="1"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4"/>
    </row>
    <row r="664" ht="14.25" customHeight="1"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4"/>
    </row>
    <row r="665" ht="14.25" customHeight="1"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4"/>
    </row>
    <row r="666" ht="14.25" customHeight="1"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4"/>
    </row>
    <row r="667" ht="14.25" customHeight="1"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4"/>
    </row>
    <row r="668" ht="14.25" customHeight="1"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4"/>
    </row>
    <row r="669" ht="14.25" customHeight="1"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4"/>
    </row>
    <row r="670" ht="14.25" customHeight="1"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4"/>
    </row>
    <row r="671" ht="14.25" customHeight="1"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4"/>
    </row>
    <row r="672" ht="14.25" customHeight="1"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4"/>
    </row>
    <row r="673" ht="14.25" customHeight="1"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4"/>
    </row>
    <row r="674" ht="14.25" customHeight="1"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4"/>
    </row>
    <row r="675" ht="14.25" customHeight="1"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4"/>
    </row>
    <row r="676" ht="14.25" customHeight="1"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4"/>
    </row>
    <row r="677" ht="14.25" customHeight="1"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4"/>
    </row>
    <row r="678" ht="14.25" customHeight="1"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4"/>
    </row>
    <row r="679" ht="14.25" customHeight="1"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4"/>
    </row>
    <row r="680" ht="14.25" customHeight="1"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4"/>
    </row>
    <row r="681" ht="14.25" customHeight="1"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4"/>
    </row>
    <row r="682" ht="14.25" customHeight="1"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4"/>
    </row>
    <row r="683" ht="14.25" customHeight="1"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4"/>
    </row>
    <row r="684" ht="14.25" customHeight="1"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4"/>
    </row>
    <row r="685" ht="14.25" customHeight="1"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4"/>
    </row>
    <row r="686" ht="14.25" customHeight="1"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4"/>
    </row>
    <row r="687" ht="14.25" customHeight="1"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4"/>
    </row>
    <row r="688" ht="14.25" customHeight="1"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4"/>
    </row>
    <row r="689" ht="14.25" customHeight="1"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4"/>
    </row>
    <row r="690" ht="14.25" customHeight="1"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4"/>
    </row>
    <row r="691" ht="14.25" customHeight="1"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4"/>
    </row>
    <row r="692" ht="14.25" customHeight="1"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4"/>
    </row>
    <row r="693" ht="14.25" customHeight="1"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4"/>
    </row>
    <row r="694" ht="14.25" customHeight="1"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4"/>
    </row>
    <row r="695" ht="14.25" customHeight="1"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4"/>
    </row>
    <row r="696" ht="14.25" customHeight="1"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4"/>
    </row>
    <row r="697" ht="14.25" customHeight="1"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4"/>
    </row>
    <row r="698" ht="14.25" customHeight="1"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4"/>
    </row>
    <row r="699" ht="14.25" customHeight="1"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4"/>
    </row>
    <row r="700" ht="14.25" customHeight="1"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4"/>
    </row>
    <row r="701" ht="14.25" customHeight="1"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4"/>
    </row>
    <row r="702" ht="14.25" customHeight="1"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4"/>
    </row>
    <row r="703" ht="14.25" customHeight="1"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4"/>
    </row>
    <row r="704" ht="14.25" customHeight="1"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4"/>
    </row>
    <row r="705" ht="14.25" customHeight="1"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4"/>
    </row>
    <row r="706" ht="14.25" customHeight="1"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4"/>
    </row>
    <row r="707" ht="14.25" customHeight="1"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4"/>
    </row>
    <row r="708" ht="14.25" customHeight="1"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4"/>
    </row>
    <row r="709" ht="14.25" customHeight="1"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4"/>
    </row>
    <row r="710" ht="14.25" customHeight="1"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4"/>
    </row>
    <row r="711" ht="14.25" customHeight="1"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4"/>
    </row>
    <row r="712" ht="14.25" customHeight="1"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4"/>
    </row>
    <row r="713" ht="14.25" customHeight="1"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4"/>
    </row>
    <row r="714" ht="14.25" customHeight="1"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4"/>
    </row>
    <row r="715" ht="14.25" customHeight="1"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4"/>
    </row>
    <row r="716" ht="14.25" customHeight="1"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4"/>
    </row>
    <row r="717" ht="14.25" customHeight="1"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4"/>
    </row>
    <row r="718" ht="14.25" customHeight="1"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4"/>
    </row>
    <row r="719" ht="14.25" customHeight="1"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4"/>
    </row>
    <row r="720" ht="14.25" customHeight="1"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4"/>
    </row>
    <row r="721" ht="14.25" customHeight="1"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4"/>
    </row>
    <row r="722" ht="14.25" customHeight="1"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4"/>
    </row>
    <row r="723" ht="14.25" customHeight="1"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4"/>
    </row>
    <row r="724" ht="14.25" customHeight="1"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4"/>
    </row>
    <row r="725" ht="14.25" customHeight="1"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4"/>
    </row>
    <row r="726" ht="14.25" customHeight="1"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4"/>
    </row>
    <row r="727" ht="14.25" customHeight="1"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4"/>
    </row>
    <row r="728" ht="14.25" customHeight="1"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4"/>
    </row>
    <row r="729" ht="14.25" customHeight="1"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4"/>
    </row>
    <row r="730" ht="14.25" customHeight="1"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4"/>
    </row>
    <row r="731" ht="14.25" customHeight="1"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4"/>
    </row>
    <row r="732" ht="14.25" customHeight="1"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4"/>
    </row>
    <row r="733" ht="14.25" customHeight="1"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4"/>
    </row>
    <row r="734" ht="14.25" customHeight="1"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4"/>
    </row>
    <row r="735" ht="14.25" customHeight="1"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4"/>
    </row>
    <row r="736" ht="14.25" customHeight="1"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4"/>
    </row>
    <row r="737" ht="14.25" customHeight="1"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4"/>
    </row>
    <row r="738" ht="14.25" customHeight="1"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4"/>
    </row>
    <row r="739" ht="14.25" customHeight="1"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4"/>
    </row>
    <row r="740" ht="14.25" customHeight="1"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4"/>
    </row>
    <row r="741" ht="14.25" customHeight="1"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4"/>
    </row>
    <row r="742" ht="14.25" customHeight="1"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4"/>
    </row>
    <row r="743" ht="14.25" customHeight="1"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4"/>
    </row>
    <row r="744" ht="14.25" customHeight="1"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4"/>
    </row>
    <row r="745" ht="14.25" customHeight="1"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4"/>
    </row>
    <row r="746" ht="14.25" customHeight="1"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4"/>
    </row>
    <row r="747" ht="14.25" customHeight="1"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4"/>
    </row>
    <row r="748" ht="14.25" customHeight="1"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4"/>
    </row>
    <row r="749" ht="14.25" customHeight="1"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4"/>
    </row>
    <row r="750" ht="14.25" customHeight="1"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4"/>
    </row>
    <row r="751" ht="14.25" customHeight="1"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4"/>
    </row>
    <row r="752" ht="14.25" customHeight="1"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4"/>
    </row>
    <row r="753" ht="14.25" customHeight="1"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4"/>
    </row>
    <row r="754" ht="14.25" customHeight="1"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4"/>
    </row>
    <row r="755" ht="14.25" customHeight="1"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4"/>
    </row>
    <row r="756" ht="14.25" customHeight="1"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4"/>
    </row>
    <row r="757" ht="14.25" customHeight="1"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4"/>
    </row>
    <row r="758" ht="14.25" customHeight="1"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4"/>
    </row>
    <row r="759" ht="14.25" customHeight="1"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4"/>
    </row>
    <row r="760" ht="14.25" customHeight="1"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4"/>
    </row>
    <row r="761" ht="14.25" customHeight="1"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4"/>
    </row>
    <row r="762" ht="14.25" customHeight="1"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4"/>
    </row>
    <row r="763" ht="14.25" customHeight="1"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4"/>
    </row>
    <row r="764" ht="14.25" customHeight="1"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4"/>
    </row>
    <row r="765" ht="14.25" customHeight="1"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4"/>
    </row>
    <row r="766" ht="14.25" customHeight="1"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4"/>
    </row>
    <row r="767" ht="14.25" customHeight="1"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4"/>
    </row>
    <row r="768" ht="14.25" customHeight="1"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4"/>
    </row>
    <row r="769" ht="14.25" customHeight="1"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4"/>
    </row>
    <row r="770" ht="14.25" customHeight="1"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4"/>
    </row>
    <row r="771" ht="14.25" customHeight="1"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4"/>
    </row>
    <row r="772" ht="14.25" customHeight="1"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4"/>
    </row>
    <row r="773" ht="14.25" customHeight="1"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4"/>
    </row>
    <row r="774" ht="14.25" customHeight="1"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4"/>
    </row>
    <row r="775" ht="14.25" customHeight="1"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4"/>
    </row>
    <row r="776" ht="14.25" customHeight="1"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4"/>
    </row>
    <row r="777" ht="14.25" customHeight="1"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4"/>
    </row>
    <row r="778" ht="14.25" customHeight="1"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4"/>
    </row>
    <row r="779" ht="14.25" customHeight="1"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4"/>
    </row>
    <row r="780" ht="14.25" customHeight="1"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4"/>
    </row>
    <row r="781" ht="14.25" customHeight="1"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4"/>
    </row>
    <row r="782" ht="14.25" customHeight="1"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4"/>
    </row>
    <row r="783" ht="14.25" customHeight="1"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4"/>
    </row>
    <row r="784" ht="14.25" customHeight="1"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4"/>
    </row>
    <row r="785" ht="14.25" customHeight="1"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4"/>
    </row>
    <row r="786" ht="14.25" customHeight="1"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4"/>
    </row>
    <row r="787" ht="14.25" customHeight="1"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4"/>
    </row>
    <row r="788" ht="14.25" customHeight="1"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4"/>
    </row>
    <row r="789" ht="14.25" customHeight="1"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4"/>
    </row>
    <row r="790" ht="14.25" customHeight="1"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4"/>
    </row>
    <row r="791" ht="14.25" customHeight="1"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4"/>
    </row>
    <row r="792" ht="14.25" customHeight="1"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4"/>
    </row>
    <row r="793" ht="14.25" customHeight="1"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4"/>
    </row>
    <row r="794" ht="14.25" customHeight="1"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4"/>
    </row>
    <row r="795" ht="14.25" customHeight="1"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4"/>
    </row>
    <row r="796" ht="14.25" customHeight="1"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4"/>
    </row>
    <row r="797" ht="14.25" customHeight="1"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4"/>
    </row>
    <row r="798" ht="14.25" customHeight="1"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4"/>
    </row>
    <row r="799" ht="14.25" customHeight="1"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4"/>
    </row>
    <row r="800" ht="14.25" customHeight="1"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4"/>
    </row>
    <row r="801" ht="14.25" customHeight="1"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4"/>
    </row>
    <row r="802" ht="14.25" customHeight="1"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4"/>
    </row>
    <row r="803" ht="14.25" customHeight="1"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4"/>
    </row>
    <row r="804" ht="14.25" customHeight="1"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4"/>
    </row>
    <row r="805" ht="14.25" customHeight="1"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4"/>
    </row>
    <row r="806" ht="14.25" customHeight="1"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4"/>
    </row>
    <row r="807" ht="14.25" customHeight="1"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4"/>
    </row>
    <row r="808" ht="14.25" customHeight="1"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4"/>
    </row>
    <row r="809" ht="14.25" customHeight="1"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4"/>
    </row>
    <row r="810" ht="14.25" customHeight="1"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4"/>
    </row>
    <row r="811" ht="14.25" customHeight="1"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4"/>
    </row>
    <row r="812" ht="14.25" customHeight="1"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4"/>
    </row>
    <row r="813" ht="14.25" customHeight="1"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4"/>
    </row>
    <row r="814" ht="14.25" customHeight="1"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4"/>
    </row>
    <row r="815" ht="14.25" customHeight="1"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4"/>
    </row>
    <row r="816" ht="14.25" customHeight="1"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4"/>
    </row>
    <row r="817" ht="14.25" customHeight="1"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4"/>
    </row>
    <row r="818" ht="14.25" customHeight="1"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4"/>
    </row>
    <row r="819" ht="14.25" customHeight="1"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4"/>
    </row>
    <row r="820" ht="14.25" customHeight="1"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4"/>
    </row>
    <row r="821" ht="14.25" customHeight="1"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4"/>
    </row>
    <row r="822" ht="14.25" customHeight="1"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4"/>
    </row>
    <row r="823" ht="14.25" customHeight="1"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4"/>
    </row>
    <row r="824" ht="14.25" customHeight="1"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4"/>
    </row>
    <row r="825" ht="14.25" customHeight="1"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4"/>
    </row>
    <row r="826" ht="14.25" customHeight="1"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4"/>
    </row>
    <row r="827" ht="14.25" customHeight="1"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4"/>
    </row>
    <row r="828" ht="14.25" customHeight="1"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4"/>
    </row>
    <row r="829" ht="14.25" customHeight="1"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4"/>
    </row>
    <row r="830" ht="14.25" customHeight="1"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4"/>
    </row>
    <row r="831" ht="14.25" customHeight="1"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4"/>
    </row>
    <row r="832" ht="14.25" customHeight="1"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4"/>
    </row>
    <row r="833" ht="14.25" customHeight="1"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4"/>
    </row>
    <row r="834" ht="14.25" customHeight="1"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4"/>
    </row>
    <row r="835" ht="14.25" customHeight="1"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4"/>
    </row>
    <row r="836" ht="14.25" customHeight="1"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4"/>
    </row>
    <row r="837" ht="14.25" customHeight="1"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4"/>
    </row>
    <row r="838" ht="14.25" customHeight="1"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4"/>
    </row>
    <row r="839" ht="14.25" customHeight="1"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4"/>
    </row>
    <row r="840" ht="14.25" customHeight="1"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4"/>
    </row>
    <row r="841" ht="14.25" customHeight="1"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4"/>
    </row>
    <row r="842" ht="14.25" customHeight="1"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4"/>
    </row>
    <row r="843" ht="14.25" customHeight="1"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4"/>
    </row>
    <row r="844" ht="14.25" customHeight="1"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4"/>
    </row>
    <row r="845" ht="14.25" customHeight="1"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4"/>
    </row>
    <row r="846" ht="14.25" customHeight="1"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4"/>
    </row>
    <row r="847" ht="14.25" customHeight="1"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4"/>
    </row>
    <row r="848" ht="14.25" customHeight="1"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4"/>
    </row>
    <row r="849" ht="14.25" customHeight="1"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4"/>
    </row>
    <row r="850" ht="14.25" customHeight="1"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4"/>
    </row>
    <row r="851" ht="14.25" customHeight="1"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4"/>
    </row>
    <row r="852" ht="14.25" customHeight="1"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4"/>
    </row>
    <row r="853" ht="14.25" customHeight="1"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4"/>
    </row>
    <row r="854" ht="14.25" customHeight="1"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4"/>
    </row>
    <row r="855" ht="14.25" customHeight="1"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4"/>
    </row>
    <row r="856" ht="14.25" customHeight="1"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4"/>
    </row>
    <row r="857" ht="14.25" customHeight="1"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4"/>
    </row>
    <row r="858" ht="14.25" customHeight="1"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4"/>
    </row>
    <row r="859" ht="14.25" customHeight="1"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4"/>
    </row>
    <row r="860" ht="14.25" customHeight="1"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4"/>
    </row>
    <row r="861" ht="14.25" customHeight="1"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4"/>
    </row>
    <row r="862" ht="14.25" customHeight="1"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4"/>
    </row>
    <row r="863" ht="14.25" customHeight="1"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4"/>
    </row>
    <row r="864" ht="14.25" customHeight="1"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4"/>
    </row>
    <row r="865" ht="14.25" customHeight="1"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4"/>
    </row>
    <row r="866" ht="14.25" customHeight="1"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4"/>
    </row>
    <row r="867" ht="14.25" customHeight="1"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4"/>
    </row>
    <row r="868" ht="14.25" customHeight="1"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4"/>
    </row>
    <row r="869" ht="14.25" customHeight="1"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4"/>
    </row>
    <row r="870" ht="14.25" customHeight="1"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4"/>
    </row>
    <row r="871" ht="14.25" customHeight="1"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4"/>
    </row>
    <row r="872" ht="14.25" customHeight="1"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4"/>
    </row>
    <row r="873" ht="14.25" customHeight="1"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4"/>
    </row>
    <row r="874" ht="14.25" customHeight="1"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4"/>
    </row>
    <row r="875" ht="14.25" customHeight="1"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4"/>
    </row>
    <row r="876" ht="14.25" customHeight="1"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4"/>
    </row>
    <row r="877" ht="14.25" customHeight="1"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4"/>
    </row>
    <row r="878" ht="14.25" customHeight="1"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4"/>
    </row>
    <row r="879" ht="14.25" customHeight="1"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4"/>
    </row>
    <row r="880" ht="14.25" customHeight="1"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4"/>
    </row>
    <row r="881" ht="14.25" customHeight="1"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4"/>
    </row>
    <row r="882" ht="14.25" customHeight="1"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4"/>
    </row>
    <row r="883" ht="14.25" customHeight="1"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4"/>
    </row>
    <row r="884" ht="14.25" customHeight="1"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4"/>
    </row>
    <row r="885" ht="14.25" customHeight="1"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4"/>
    </row>
    <row r="886" ht="14.25" customHeight="1"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4"/>
    </row>
    <row r="887" ht="14.25" customHeight="1"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4"/>
    </row>
    <row r="888" ht="14.25" customHeight="1"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4"/>
    </row>
    <row r="889" ht="14.25" customHeight="1"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4"/>
    </row>
    <row r="890" ht="14.25" customHeight="1"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4"/>
    </row>
    <row r="891" ht="14.25" customHeight="1"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4"/>
    </row>
    <row r="892" ht="14.25" customHeight="1"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4"/>
    </row>
    <row r="893" ht="14.25" customHeight="1"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4"/>
    </row>
    <row r="894" ht="14.25" customHeight="1"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4"/>
    </row>
    <row r="895" ht="14.25" customHeight="1"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4"/>
    </row>
    <row r="896" ht="14.25" customHeight="1"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4"/>
    </row>
    <row r="897" ht="14.25" customHeight="1"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4"/>
    </row>
    <row r="898" ht="14.25" customHeight="1"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4"/>
    </row>
    <row r="899" ht="14.25" customHeight="1"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4"/>
    </row>
    <row r="900" ht="14.25" customHeight="1"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4"/>
    </row>
    <row r="901" ht="14.25" customHeight="1"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4"/>
    </row>
    <row r="902" ht="14.25" customHeight="1"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4"/>
    </row>
    <row r="903" ht="14.25" customHeight="1"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4"/>
    </row>
    <row r="904" ht="14.25" customHeight="1"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4"/>
    </row>
    <row r="905" ht="14.25" customHeight="1"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4"/>
    </row>
    <row r="906" ht="14.25" customHeight="1"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4"/>
    </row>
    <row r="907" ht="14.25" customHeight="1"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4"/>
    </row>
    <row r="908" ht="14.25" customHeight="1"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4"/>
    </row>
    <row r="909" ht="14.25" customHeight="1"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4"/>
    </row>
    <row r="910" ht="14.25" customHeight="1"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4"/>
    </row>
    <row r="911" ht="14.25" customHeight="1"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4"/>
    </row>
    <row r="912" ht="14.25" customHeight="1"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4"/>
    </row>
    <row r="913" ht="14.25" customHeight="1"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4"/>
    </row>
    <row r="914" ht="14.25" customHeight="1"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4"/>
    </row>
    <row r="915" ht="14.25" customHeight="1"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4"/>
    </row>
    <row r="916" ht="14.25" customHeight="1"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4"/>
    </row>
    <row r="917" ht="14.25" customHeight="1"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4"/>
    </row>
    <row r="918" ht="14.25" customHeight="1"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4"/>
    </row>
    <row r="919" ht="14.25" customHeight="1"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4"/>
    </row>
    <row r="920" ht="14.25" customHeight="1"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4"/>
    </row>
    <row r="921" ht="14.25" customHeight="1"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4"/>
    </row>
    <row r="922" ht="14.25" customHeight="1"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4"/>
    </row>
    <row r="923" ht="14.25" customHeight="1"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4"/>
    </row>
    <row r="924" ht="14.25" customHeight="1"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4"/>
    </row>
    <row r="925" ht="14.25" customHeight="1"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4"/>
    </row>
    <row r="926" ht="14.25" customHeight="1"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4"/>
    </row>
    <row r="927" ht="14.25" customHeight="1"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4"/>
    </row>
    <row r="928" ht="14.25" customHeight="1"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4"/>
    </row>
    <row r="929" ht="14.25" customHeight="1"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4"/>
    </row>
    <row r="930" ht="14.25" customHeight="1"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4"/>
    </row>
    <row r="931" ht="14.25" customHeight="1"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4"/>
    </row>
    <row r="932" ht="14.25" customHeight="1"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4"/>
    </row>
    <row r="933" ht="14.25" customHeight="1"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4"/>
    </row>
    <row r="934" ht="14.25" customHeight="1"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4"/>
    </row>
    <row r="935" ht="14.25" customHeight="1"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4"/>
    </row>
    <row r="936" ht="14.25" customHeight="1"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4"/>
    </row>
    <row r="937" ht="14.25" customHeight="1"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4"/>
    </row>
    <row r="938" ht="14.25" customHeight="1"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4"/>
    </row>
    <row r="939" ht="14.25" customHeight="1"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4"/>
    </row>
    <row r="940" ht="14.25" customHeight="1"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4"/>
    </row>
    <row r="941" ht="14.25" customHeight="1"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4"/>
    </row>
    <row r="942" ht="14.25" customHeight="1"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4"/>
    </row>
    <row r="943" ht="14.25" customHeight="1"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4"/>
    </row>
    <row r="944" ht="14.25" customHeight="1"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4"/>
    </row>
    <row r="945" ht="14.25" customHeight="1"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4"/>
    </row>
    <row r="946" ht="14.25" customHeight="1"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4"/>
    </row>
    <row r="947" ht="14.25" customHeight="1"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4"/>
    </row>
    <row r="948" ht="14.25" customHeight="1"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4"/>
    </row>
    <row r="949" ht="14.25" customHeight="1"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4"/>
    </row>
    <row r="950" ht="14.25" customHeight="1"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4"/>
    </row>
    <row r="951" ht="14.25" customHeight="1"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4"/>
    </row>
    <row r="952" ht="14.25" customHeight="1"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4"/>
    </row>
    <row r="953" ht="14.25" customHeight="1"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4"/>
    </row>
    <row r="954" ht="14.25" customHeight="1"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4"/>
    </row>
    <row r="955" ht="14.25" customHeight="1"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4"/>
    </row>
    <row r="956" ht="14.25" customHeight="1"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4"/>
    </row>
    <row r="957" ht="14.25" customHeight="1"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4"/>
    </row>
    <row r="958" ht="14.25" customHeight="1"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4"/>
    </row>
    <row r="959" ht="14.25" customHeight="1"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4"/>
    </row>
    <row r="960" ht="14.25" customHeight="1"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4"/>
    </row>
    <row r="961" ht="14.25" customHeight="1"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4"/>
    </row>
    <row r="962" ht="14.25" customHeight="1"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4"/>
    </row>
    <row r="963" ht="14.25" customHeight="1"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4"/>
    </row>
    <row r="964" ht="14.25" customHeight="1"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4"/>
    </row>
    <row r="965" ht="14.25" customHeight="1"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4"/>
    </row>
    <row r="966" ht="14.25" customHeight="1"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4"/>
    </row>
    <row r="967" ht="14.25" customHeight="1"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4"/>
    </row>
    <row r="968" ht="14.25" customHeight="1"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4"/>
    </row>
    <row r="969" ht="14.25" customHeight="1"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4"/>
    </row>
    <row r="970" ht="14.25" customHeight="1"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4"/>
    </row>
    <row r="971" ht="14.25" customHeight="1"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4"/>
    </row>
    <row r="972" ht="14.25" customHeight="1"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4"/>
    </row>
    <row r="973" ht="14.25" customHeight="1"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4"/>
    </row>
    <row r="974" ht="14.25" customHeight="1"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4"/>
    </row>
    <row r="975" ht="14.25" customHeight="1"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4"/>
    </row>
    <row r="976" ht="14.25" customHeight="1"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4"/>
    </row>
    <row r="977" ht="14.25" customHeight="1"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4"/>
    </row>
    <row r="978" ht="14.25" customHeight="1"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4"/>
    </row>
    <row r="979" ht="14.25" customHeight="1"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4"/>
    </row>
    <row r="980" ht="14.25" customHeight="1"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4"/>
    </row>
    <row r="981" ht="14.25" customHeight="1"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4"/>
    </row>
    <row r="982" ht="14.25" customHeight="1"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4"/>
    </row>
    <row r="983" ht="14.25" customHeight="1"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4"/>
    </row>
    <row r="984" ht="14.25" customHeight="1"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4"/>
    </row>
    <row r="985" ht="14.25" customHeight="1"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4"/>
    </row>
    <row r="986" ht="14.25" customHeight="1"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4"/>
    </row>
    <row r="987" ht="14.25" customHeight="1"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4"/>
    </row>
    <row r="988" ht="14.25" customHeight="1"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4"/>
    </row>
    <row r="989" ht="14.25" customHeight="1"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4"/>
    </row>
    <row r="990" ht="14.25" customHeight="1"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4"/>
    </row>
    <row r="991" ht="14.25" customHeight="1"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4"/>
    </row>
    <row r="992" ht="14.25" customHeight="1"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4"/>
    </row>
    <row r="993" ht="14.25" customHeight="1"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4"/>
    </row>
    <row r="994" ht="14.25" customHeight="1"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4"/>
    </row>
    <row r="995" ht="14.25" customHeight="1"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4"/>
    </row>
    <row r="996" ht="14.25" customHeight="1"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4"/>
    </row>
    <row r="997" ht="14.25" customHeight="1"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4"/>
    </row>
    <row r="998" ht="14.25" customHeight="1"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4"/>
    </row>
    <row r="999" ht="14.25" customHeight="1"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4"/>
    </row>
    <row r="1000" ht="14.25" customHeight="1"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4"/>
    </row>
  </sheetData>
  <mergeCells count="37">
    <mergeCell ref="P12:P13"/>
    <mergeCell ref="R12:R13"/>
    <mergeCell ref="A9:T9"/>
    <mergeCell ref="A11:T11"/>
    <mergeCell ref="A12:A13"/>
    <mergeCell ref="B12:B13"/>
    <mergeCell ref="C12:C13"/>
    <mergeCell ref="D12:D13"/>
    <mergeCell ref="E12:E13"/>
    <mergeCell ref="A33:H33"/>
    <mergeCell ref="A35:F35"/>
    <mergeCell ref="F12:F13"/>
    <mergeCell ref="G12:G13"/>
    <mergeCell ref="A29:H29"/>
    <mergeCell ref="A30:H30"/>
    <mergeCell ref="A31:H31"/>
    <mergeCell ref="A32:H32"/>
    <mergeCell ref="A34:T34"/>
    <mergeCell ref="A2:T2"/>
    <mergeCell ref="A3:T3"/>
    <mergeCell ref="A4:S4"/>
    <mergeCell ref="A5:T5"/>
    <mergeCell ref="A6:T6"/>
    <mergeCell ref="A7:T7"/>
    <mergeCell ref="A8:T8"/>
    <mergeCell ref="H12:H13"/>
    <mergeCell ref="I12:I13"/>
    <mergeCell ref="J12:J13"/>
    <mergeCell ref="K12:K13"/>
    <mergeCell ref="L12:L13"/>
    <mergeCell ref="M12:M13"/>
    <mergeCell ref="N12:N13"/>
    <mergeCell ref="O12:O13"/>
    <mergeCell ref="S12:S13"/>
    <mergeCell ref="T12:T13"/>
    <mergeCell ref="S35:T35"/>
    <mergeCell ref="A36:T3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71"/>
    <col customWidth="1" min="3" max="3" width="11.71"/>
    <col customWidth="1" min="4" max="4" width="11.43"/>
    <col customWidth="1" hidden="1" min="5" max="5" width="14.71"/>
    <col customWidth="1" min="6" max="6" width="17.29"/>
    <col customWidth="1" min="7" max="7" width="14.43"/>
    <col customWidth="1" min="8" max="8" width="12.29"/>
    <col customWidth="1" min="9" max="9" width="12.86"/>
    <col customWidth="1" min="10" max="10" width="11.14"/>
    <col customWidth="1" min="11" max="11" width="27.57"/>
    <col customWidth="1" min="12" max="12" width="9.71"/>
    <col customWidth="1" min="13" max="13" width="11.57"/>
    <col customWidth="1" min="14" max="14" width="14.29"/>
    <col customWidth="1" min="15" max="15" width="4.71"/>
    <col customWidth="1" min="16" max="16" width="12.43"/>
    <col customWidth="1" min="17" max="21" width="11.14"/>
    <col customWidth="1" min="22" max="24" width="15.29"/>
    <col customWidth="1" min="25" max="25" width="17.57"/>
    <col customWidth="1" min="26" max="26" width="16.71"/>
    <col customWidth="1" min="27" max="27" width="16.0"/>
    <col customWidth="1" min="28" max="28" width="9.71"/>
    <col customWidth="1" min="29" max="29" width="8.71"/>
    <col customWidth="1" min="30" max="30" width="20.0"/>
    <col customWidth="1" min="31" max="31" width="22.86"/>
  </cols>
  <sheetData>
    <row r="1" ht="14.25" customHeight="1">
      <c r="G1" s="1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ht="14.2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/>
    </row>
    <row r="4" ht="17.25" customHeight="1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7"/>
    </row>
    <row r="6" ht="14.25" customHeight="1">
      <c r="A6" s="11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ht="14.25" customHeight="1">
      <c r="A7" s="11"/>
      <c r="B7" s="12"/>
      <c r="C7" s="12"/>
      <c r="D7" s="12"/>
      <c r="E7" s="12"/>
      <c r="F7" s="12"/>
      <c r="G7" s="14"/>
      <c r="H7" s="12"/>
      <c r="I7" s="12"/>
      <c r="J7" s="12"/>
      <c r="K7" s="12"/>
      <c r="L7" s="13"/>
      <c r="M7" s="13"/>
      <c r="N7" s="13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6"/>
    </row>
    <row r="8" ht="18.7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</row>
    <row r="9" ht="29.25" customHeight="1">
      <c r="A9" s="20" t="s">
        <v>12</v>
      </c>
      <c r="B9" s="21" t="s">
        <v>15</v>
      </c>
      <c r="C9" s="21" t="s">
        <v>13</v>
      </c>
      <c r="D9" s="21" t="s">
        <v>14</v>
      </c>
      <c r="E9" s="21" t="s">
        <v>15</v>
      </c>
      <c r="F9" s="21" t="s">
        <v>16</v>
      </c>
      <c r="G9" s="24" t="s">
        <v>23</v>
      </c>
      <c r="H9" s="21" t="s">
        <v>27</v>
      </c>
      <c r="I9" s="21" t="s">
        <v>30</v>
      </c>
      <c r="J9" s="21" t="s">
        <v>18</v>
      </c>
      <c r="K9" s="21" t="s">
        <v>31</v>
      </c>
      <c r="L9" s="22" t="s">
        <v>20</v>
      </c>
      <c r="M9" s="21" t="s">
        <v>21</v>
      </c>
      <c r="N9" s="21" t="s">
        <v>22</v>
      </c>
      <c r="O9" s="32" t="s">
        <v>24</v>
      </c>
      <c r="P9" s="23" t="s">
        <v>25</v>
      </c>
      <c r="Q9" s="25" t="s">
        <v>36</v>
      </c>
      <c r="R9" s="25" t="s">
        <v>37</v>
      </c>
      <c r="S9" s="25" t="s">
        <v>39</v>
      </c>
      <c r="T9" s="25" t="s">
        <v>40</v>
      </c>
      <c r="U9" s="25" t="s">
        <v>43</v>
      </c>
      <c r="V9" s="25" t="s">
        <v>45</v>
      </c>
      <c r="W9" s="25" t="s">
        <v>46</v>
      </c>
      <c r="X9" s="25" t="s">
        <v>47</v>
      </c>
      <c r="Y9" s="25" t="s">
        <v>48</v>
      </c>
      <c r="Z9" s="23" t="s">
        <v>32</v>
      </c>
      <c r="AA9" s="23" t="s">
        <v>33</v>
      </c>
      <c r="AB9" s="27" t="s">
        <v>34</v>
      </c>
    </row>
    <row r="10" ht="27.0" customHeight="1">
      <c r="A10" s="28"/>
      <c r="B10" s="30"/>
      <c r="C10" s="29"/>
      <c r="D10" s="29"/>
      <c r="E10" s="29"/>
      <c r="F10" s="29"/>
      <c r="G10" s="30"/>
      <c r="H10" s="29"/>
      <c r="I10" s="30"/>
      <c r="J10" s="29"/>
      <c r="K10" s="29"/>
      <c r="L10" s="29"/>
      <c r="M10" s="29"/>
      <c r="N10" s="29"/>
      <c r="O10" s="29"/>
      <c r="P10" s="29"/>
      <c r="Q10" s="29"/>
      <c r="R10" s="29"/>
      <c r="S10" s="30"/>
      <c r="T10" s="30"/>
      <c r="U10" s="30"/>
      <c r="V10" s="30"/>
      <c r="W10" s="30"/>
      <c r="X10" s="30"/>
      <c r="Y10" s="30"/>
      <c r="Z10" s="30"/>
      <c r="AA10" s="30"/>
      <c r="AB10" s="33"/>
    </row>
    <row r="11" ht="14.25" customHeight="1">
      <c r="A11" s="42">
        <v>1.0</v>
      </c>
      <c r="B11" s="42"/>
      <c r="C11" s="44"/>
      <c r="D11" s="35"/>
      <c r="E11" s="37"/>
      <c r="F11" s="37"/>
      <c r="G11" s="49"/>
      <c r="H11" s="37"/>
      <c r="I11" s="37"/>
      <c r="J11" s="42"/>
      <c r="K11" s="37"/>
      <c r="L11" s="48"/>
      <c r="M11" s="43"/>
      <c r="N11" s="43"/>
      <c r="O11" s="50"/>
      <c r="P11" s="47"/>
      <c r="Q11" s="51"/>
      <c r="R11" s="47"/>
      <c r="S11" s="47"/>
      <c r="T11" s="47"/>
      <c r="U11" s="47"/>
      <c r="V11" s="47"/>
      <c r="W11" s="47"/>
      <c r="X11" s="47"/>
      <c r="Y11" s="47"/>
      <c r="Z11" s="47"/>
      <c r="AA11" s="47">
        <f t="shared" ref="AA11:AA15" si="1">N11+SUM(P11:Y11)</f>
        <v>0</v>
      </c>
      <c r="AB11" s="52"/>
      <c r="AC11" s="56"/>
      <c r="AD11" s="54"/>
      <c r="AE11" s="54"/>
    </row>
    <row r="12" ht="14.25" customHeight="1">
      <c r="A12" s="42">
        <f t="shared" ref="A12:A23" si="2">A11+1</f>
        <v>2</v>
      </c>
      <c r="B12" s="42"/>
      <c r="C12" s="44"/>
      <c r="D12" s="35"/>
      <c r="E12" s="37"/>
      <c r="F12" s="37"/>
      <c r="G12" s="49"/>
      <c r="H12" s="37"/>
      <c r="I12" s="37"/>
      <c r="J12" s="42"/>
      <c r="K12" s="37"/>
      <c r="L12" s="48"/>
      <c r="M12" s="43"/>
      <c r="N12" s="43"/>
      <c r="O12" s="59"/>
      <c r="P12" s="47"/>
      <c r="Q12" s="60"/>
      <c r="R12" s="47"/>
      <c r="S12" s="47"/>
      <c r="T12" s="47"/>
      <c r="U12" s="47"/>
      <c r="V12" s="47"/>
      <c r="W12" s="47"/>
      <c r="X12" s="47"/>
      <c r="Y12" s="47"/>
      <c r="Z12" s="47"/>
      <c r="AA12" s="47">
        <f t="shared" si="1"/>
        <v>0</v>
      </c>
      <c r="AB12" s="52"/>
      <c r="AC12" s="56"/>
      <c r="AD12" s="54"/>
      <c r="AE12" s="54"/>
    </row>
    <row r="13" ht="14.25" customHeight="1">
      <c r="A13" s="42">
        <f t="shared" si="2"/>
        <v>3</v>
      </c>
      <c r="B13" s="42"/>
      <c r="C13" s="44"/>
      <c r="D13" s="35"/>
      <c r="E13" s="37"/>
      <c r="F13" s="37"/>
      <c r="G13" s="49"/>
      <c r="H13" s="37"/>
      <c r="I13" s="37"/>
      <c r="J13" s="42"/>
      <c r="K13" s="37"/>
      <c r="L13" s="48"/>
      <c r="M13" s="43"/>
      <c r="N13" s="43"/>
      <c r="O13" s="59"/>
      <c r="P13" s="47"/>
      <c r="Q13" s="60"/>
      <c r="R13" s="47"/>
      <c r="S13" s="47"/>
      <c r="T13" s="47"/>
      <c r="U13" s="47"/>
      <c r="V13" s="47"/>
      <c r="W13" s="47"/>
      <c r="X13" s="47"/>
      <c r="Y13" s="47"/>
      <c r="Z13" s="47"/>
      <c r="AA13" s="47">
        <f t="shared" si="1"/>
        <v>0</v>
      </c>
      <c r="AB13" s="52"/>
      <c r="AC13" s="56"/>
      <c r="AD13" s="56"/>
      <c r="AE13" s="56"/>
    </row>
    <row r="14" ht="14.25" customHeight="1">
      <c r="A14" s="42">
        <f t="shared" si="2"/>
        <v>4</v>
      </c>
      <c r="B14" s="42"/>
      <c r="C14" s="44"/>
      <c r="D14" s="35"/>
      <c r="E14" s="37"/>
      <c r="F14" s="37"/>
      <c r="G14" s="49"/>
      <c r="H14" s="37"/>
      <c r="I14" s="37"/>
      <c r="J14" s="42"/>
      <c r="K14" s="37"/>
      <c r="L14" s="48"/>
      <c r="M14" s="43"/>
      <c r="N14" s="43"/>
      <c r="O14" s="59"/>
      <c r="P14" s="47"/>
      <c r="Q14" s="63"/>
      <c r="R14" s="47"/>
      <c r="S14" s="47"/>
      <c r="T14" s="47"/>
      <c r="U14" s="47"/>
      <c r="V14" s="47"/>
      <c r="W14" s="47"/>
      <c r="X14" s="47"/>
      <c r="Y14" s="47"/>
      <c r="Z14" s="47"/>
      <c r="AA14" s="47">
        <f t="shared" si="1"/>
        <v>0</v>
      </c>
      <c r="AB14" s="52"/>
      <c r="AC14" s="56"/>
      <c r="AD14" s="56"/>
      <c r="AE14" s="56"/>
    </row>
    <row r="15" ht="14.25" customHeight="1">
      <c r="A15" s="42">
        <f t="shared" si="2"/>
        <v>5</v>
      </c>
      <c r="B15" s="42"/>
      <c r="C15" s="44"/>
      <c r="D15" s="35"/>
      <c r="E15" s="37"/>
      <c r="F15" s="37"/>
      <c r="G15" s="49"/>
      <c r="H15" s="37"/>
      <c r="I15" s="37"/>
      <c r="J15" s="42"/>
      <c r="K15" s="37"/>
      <c r="L15" s="48"/>
      <c r="M15" s="43"/>
      <c r="N15" s="43"/>
      <c r="O15" s="59"/>
      <c r="P15" s="47"/>
      <c r="Q15" s="60"/>
      <c r="R15" s="47"/>
      <c r="S15" s="47"/>
      <c r="T15" s="47"/>
      <c r="U15" s="47"/>
      <c r="V15" s="47"/>
      <c r="W15" s="47"/>
      <c r="X15" s="47"/>
      <c r="Y15" s="47"/>
      <c r="Z15" s="47"/>
      <c r="AA15" s="47">
        <f t="shared" si="1"/>
        <v>0</v>
      </c>
      <c r="AB15" s="52"/>
      <c r="AC15" s="56"/>
      <c r="AD15" s="56"/>
      <c r="AE15" s="56"/>
    </row>
    <row r="16" ht="14.25" customHeight="1">
      <c r="A16" s="42">
        <f t="shared" si="2"/>
        <v>6</v>
      </c>
      <c r="B16" s="42"/>
      <c r="C16" s="44"/>
      <c r="D16" s="35"/>
      <c r="E16" s="37"/>
      <c r="F16" s="37"/>
      <c r="G16" s="49"/>
      <c r="H16" s="37"/>
      <c r="I16" s="37"/>
      <c r="J16" s="42"/>
      <c r="K16" s="37"/>
      <c r="L16" s="48"/>
      <c r="M16" s="43"/>
      <c r="N16" s="43"/>
      <c r="O16" s="59"/>
      <c r="P16" s="47"/>
      <c r="Q16" s="63"/>
      <c r="R16" s="47"/>
      <c r="S16" s="47"/>
      <c r="T16" s="47"/>
      <c r="U16" s="47"/>
      <c r="V16" s="47"/>
      <c r="W16" s="47"/>
      <c r="X16" s="47"/>
      <c r="Y16" s="47"/>
      <c r="Z16" s="47"/>
      <c r="AA16" s="47">
        <f t="shared" ref="AA16:AA23" si="3">N16+P16+R16+S16+Y16</f>
        <v>0</v>
      </c>
      <c r="AB16" s="52"/>
      <c r="AC16" s="56"/>
      <c r="AD16" s="56"/>
      <c r="AE16" s="56"/>
    </row>
    <row r="17" ht="14.25" customHeight="1">
      <c r="A17" s="42">
        <f t="shared" si="2"/>
        <v>7</v>
      </c>
      <c r="B17" s="42"/>
      <c r="C17" s="44"/>
      <c r="D17" s="35"/>
      <c r="E17" s="37"/>
      <c r="F17" s="37"/>
      <c r="G17" s="49"/>
      <c r="H17" s="68"/>
      <c r="I17" s="68"/>
      <c r="J17" s="42"/>
      <c r="K17" s="37"/>
      <c r="L17" s="48"/>
      <c r="M17" s="43"/>
      <c r="N17" s="43"/>
      <c r="O17" s="59"/>
      <c r="P17" s="47"/>
      <c r="Q17" s="60"/>
      <c r="R17" s="47"/>
      <c r="S17" s="47"/>
      <c r="T17" s="47"/>
      <c r="U17" s="47"/>
      <c r="V17" s="47"/>
      <c r="W17" s="47"/>
      <c r="X17" s="47"/>
      <c r="Y17" s="47"/>
      <c r="Z17" s="47"/>
      <c r="AA17" s="47">
        <f t="shared" si="3"/>
        <v>0</v>
      </c>
      <c r="AB17" s="52"/>
      <c r="AC17" s="56"/>
      <c r="AD17" s="56"/>
      <c r="AE17" s="56"/>
    </row>
    <row r="18" ht="14.25" customHeight="1">
      <c r="A18" s="42">
        <f t="shared" si="2"/>
        <v>8</v>
      </c>
      <c r="B18" s="42"/>
      <c r="C18" s="44"/>
      <c r="D18" s="35"/>
      <c r="E18" s="37"/>
      <c r="F18" s="37"/>
      <c r="G18" s="49"/>
      <c r="H18" s="37"/>
      <c r="I18" s="37"/>
      <c r="J18" s="42"/>
      <c r="K18" s="37"/>
      <c r="L18" s="48"/>
      <c r="M18" s="43"/>
      <c r="N18" s="43"/>
      <c r="O18" s="59"/>
      <c r="P18" s="47"/>
      <c r="Q18" s="60"/>
      <c r="R18" s="47"/>
      <c r="S18" s="47"/>
      <c r="T18" s="47"/>
      <c r="U18" s="47"/>
      <c r="V18" s="47"/>
      <c r="W18" s="47"/>
      <c r="X18" s="47"/>
      <c r="Y18" s="47"/>
      <c r="Z18" s="47"/>
      <c r="AA18" s="47">
        <f t="shared" si="3"/>
        <v>0</v>
      </c>
      <c r="AB18" s="52"/>
      <c r="AC18" s="56"/>
      <c r="AD18" s="56"/>
      <c r="AE18" s="56"/>
    </row>
    <row r="19" ht="14.25" customHeight="1">
      <c r="A19" s="42">
        <f t="shared" si="2"/>
        <v>9</v>
      </c>
      <c r="B19" s="42"/>
      <c r="C19" s="44"/>
      <c r="D19" s="35"/>
      <c r="E19" s="37"/>
      <c r="F19" s="37"/>
      <c r="G19" s="49"/>
      <c r="H19" s="37"/>
      <c r="I19" s="37"/>
      <c r="J19" s="42"/>
      <c r="K19" s="37"/>
      <c r="L19" s="48"/>
      <c r="M19" s="43"/>
      <c r="N19" s="43"/>
      <c r="O19" s="59"/>
      <c r="P19" s="47"/>
      <c r="Q19" s="60"/>
      <c r="R19" s="47"/>
      <c r="S19" s="47"/>
      <c r="T19" s="47"/>
      <c r="U19" s="47"/>
      <c r="V19" s="47"/>
      <c r="W19" s="47"/>
      <c r="X19" s="47"/>
      <c r="Y19" s="47"/>
      <c r="Z19" s="47"/>
      <c r="AA19" s="47">
        <f t="shared" si="3"/>
        <v>0</v>
      </c>
      <c r="AB19" s="52"/>
      <c r="AC19" s="56"/>
      <c r="AD19" s="56"/>
      <c r="AE19" s="56"/>
    </row>
    <row r="20" ht="14.25" customHeight="1">
      <c r="A20" s="42">
        <f t="shared" si="2"/>
        <v>10</v>
      </c>
      <c r="B20" s="42"/>
      <c r="C20" s="44"/>
      <c r="D20" s="35"/>
      <c r="E20" s="37"/>
      <c r="F20" s="37"/>
      <c r="G20" s="49"/>
      <c r="H20" s="37"/>
      <c r="I20" s="37"/>
      <c r="J20" s="42"/>
      <c r="K20" s="37"/>
      <c r="L20" s="48"/>
      <c r="M20" s="43"/>
      <c r="N20" s="43"/>
      <c r="O20" s="59"/>
      <c r="P20" s="47"/>
      <c r="Q20" s="60"/>
      <c r="R20" s="47"/>
      <c r="S20" s="47"/>
      <c r="T20" s="47"/>
      <c r="U20" s="47"/>
      <c r="V20" s="47"/>
      <c r="W20" s="47"/>
      <c r="X20" s="47"/>
      <c r="Y20" s="47"/>
      <c r="Z20" s="47"/>
      <c r="AA20" s="47">
        <f t="shared" si="3"/>
        <v>0</v>
      </c>
      <c r="AB20" s="52"/>
      <c r="AC20" s="56"/>
      <c r="AD20" s="56"/>
      <c r="AE20" s="56"/>
    </row>
    <row r="21" ht="14.25" customHeight="1">
      <c r="A21" s="42">
        <f t="shared" si="2"/>
        <v>11</v>
      </c>
      <c r="B21" s="42"/>
      <c r="C21" s="44"/>
      <c r="D21" s="35"/>
      <c r="E21" s="37"/>
      <c r="F21" s="37"/>
      <c r="G21" s="49"/>
      <c r="H21" s="68"/>
      <c r="I21" s="68"/>
      <c r="J21" s="42"/>
      <c r="K21" s="37"/>
      <c r="L21" s="48"/>
      <c r="M21" s="43"/>
      <c r="N21" s="43"/>
      <c r="O21" s="42"/>
      <c r="P21" s="47"/>
      <c r="Q21" s="60"/>
      <c r="R21" s="47"/>
      <c r="S21" s="47"/>
      <c r="T21" s="47"/>
      <c r="U21" s="47"/>
      <c r="V21" s="47"/>
      <c r="W21" s="47"/>
      <c r="X21" s="47"/>
      <c r="Y21" s="47"/>
      <c r="Z21" s="47"/>
      <c r="AA21" s="47">
        <f t="shared" si="3"/>
        <v>0</v>
      </c>
      <c r="AB21" s="52"/>
      <c r="AC21" s="56"/>
      <c r="AD21" s="56"/>
      <c r="AE21" s="56"/>
    </row>
    <row r="22" ht="14.25" customHeight="1">
      <c r="A22" s="42">
        <f t="shared" si="2"/>
        <v>12</v>
      </c>
      <c r="B22" s="42"/>
      <c r="C22" s="44"/>
      <c r="D22" s="35"/>
      <c r="E22" s="37"/>
      <c r="F22" s="37"/>
      <c r="G22" s="49"/>
      <c r="H22" s="37"/>
      <c r="I22" s="37"/>
      <c r="J22" s="42"/>
      <c r="K22" s="37"/>
      <c r="L22" s="48"/>
      <c r="M22" s="43"/>
      <c r="N22" s="43"/>
      <c r="O22" s="42"/>
      <c r="P22" s="47"/>
      <c r="Q22" s="63"/>
      <c r="R22" s="47"/>
      <c r="S22" s="47"/>
      <c r="T22" s="47"/>
      <c r="U22" s="47"/>
      <c r="V22" s="47"/>
      <c r="W22" s="47"/>
      <c r="X22" s="47"/>
      <c r="Y22" s="47"/>
      <c r="Z22" s="47"/>
      <c r="AA22" s="47">
        <f t="shared" si="3"/>
        <v>0</v>
      </c>
      <c r="AB22" s="52"/>
      <c r="AC22" s="56"/>
      <c r="AD22" s="56"/>
      <c r="AE22" s="56"/>
    </row>
    <row r="23" ht="14.25" customHeight="1">
      <c r="A23" s="42">
        <f t="shared" si="2"/>
        <v>13</v>
      </c>
      <c r="B23" s="42"/>
      <c r="C23" s="44"/>
      <c r="D23" s="35"/>
      <c r="E23" s="37"/>
      <c r="F23" s="37"/>
      <c r="G23" s="49"/>
      <c r="H23" s="37"/>
      <c r="I23" s="37"/>
      <c r="J23" s="42"/>
      <c r="K23" s="37"/>
      <c r="L23" s="48"/>
      <c r="M23" s="43"/>
      <c r="N23" s="43"/>
      <c r="O23" s="59"/>
      <c r="P23" s="47"/>
      <c r="Q23" s="60"/>
      <c r="R23" s="47"/>
      <c r="S23" s="47"/>
      <c r="T23" s="47"/>
      <c r="U23" s="47"/>
      <c r="V23" s="47"/>
      <c r="W23" s="47"/>
      <c r="X23" s="47"/>
      <c r="Y23" s="47"/>
      <c r="Z23" s="47"/>
      <c r="AA23" s="47">
        <f t="shared" si="3"/>
        <v>0</v>
      </c>
      <c r="AB23" s="52"/>
      <c r="AC23" s="56"/>
      <c r="AD23" s="56"/>
      <c r="AE23" s="56"/>
    </row>
    <row r="24" ht="14.25" customHeight="1">
      <c r="A24" s="34"/>
      <c r="B24" s="84"/>
      <c r="C24" s="36"/>
      <c r="D24" s="36"/>
      <c r="E24" s="35"/>
      <c r="F24" s="72"/>
      <c r="G24" s="86"/>
      <c r="H24" s="72"/>
      <c r="I24" s="72"/>
      <c r="J24" s="39"/>
      <c r="K24" s="70"/>
      <c r="L24" s="71"/>
      <c r="M24" s="43"/>
      <c r="N24" s="45"/>
      <c r="O24" s="75"/>
      <c r="P24" s="73"/>
      <c r="Q24" s="76"/>
      <c r="R24" s="73"/>
      <c r="S24" s="73"/>
      <c r="T24" s="73"/>
      <c r="U24" s="73"/>
      <c r="V24" s="73"/>
      <c r="W24" s="73"/>
      <c r="X24" s="73"/>
      <c r="Y24" s="73"/>
      <c r="Z24" s="73"/>
      <c r="AA24" s="77"/>
      <c r="AB24" s="78"/>
      <c r="AC24" s="92"/>
      <c r="AD24" s="92"/>
      <c r="AE24" s="92"/>
    </row>
    <row r="25" ht="14.25" customHeight="1">
      <c r="A25" s="79" t="s">
        <v>73</v>
      </c>
      <c r="B25" s="80"/>
      <c r="C25" s="80"/>
      <c r="D25" s="80"/>
      <c r="E25" s="80"/>
      <c r="F25" s="80"/>
      <c r="G25" s="80"/>
      <c r="H25" s="80"/>
      <c r="I25" s="80"/>
      <c r="J25" s="80"/>
      <c r="K25" s="81"/>
      <c r="L25" s="77">
        <f t="shared" ref="L25:Y25" si="4">SUM(L11:L24)</f>
        <v>0</v>
      </c>
      <c r="M25" s="77">
        <f t="shared" si="4"/>
        <v>0</v>
      </c>
      <c r="N25" s="77">
        <f t="shared" si="4"/>
        <v>0</v>
      </c>
      <c r="O25" s="77">
        <f t="shared" si="4"/>
        <v>0</v>
      </c>
      <c r="P25" s="77">
        <f t="shared" si="4"/>
        <v>0</v>
      </c>
      <c r="Q25" s="77">
        <f t="shared" si="4"/>
        <v>0</v>
      </c>
      <c r="R25" s="77">
        <f t="shared" si="4"/>
        <v>0</v>
      </c>
      <c r="S25" s="77">
        <f t="shared" si="4"/>
        <v>0</v>
      </c>
      <c r="T25" s="77">
        <f t="shared" si="4"/>
        <v>0</v>
      </c>
      <c r="U25" s="77">
        <f t="shared" si="4"/>
        <v>0</v>
      </c>
      <c r="V25" s="77">
        <f t="shared" si="4"/>
        <v>0</v>
      </c>
      <c r="W25" s="77">
        <f t="shared" si="4"/>
        <v>0</v>
      </c>
      <c r="X25" s="77">
        <f t="shared" si="4"/>
        <v>0</v>
      </c>
      <c r="Y25" s="77">
        <f t="shared" si="4"/>
        <v>0</v>
      </c>
      <c r="Z25" s="77"/>
      <c r="AA25" s="77">
        <f>SUM(AA11:AA24)</f>
        <v>0</v>
      </c>
      <c r="AB25" s="78"/>
    </row>
    <row r="26" ht="17.25" customHeight="1">
      <c r="A26" s="79" t="s">
        <v>76</v>
      </c>
      <c r="B26" s="80"/>
      <c r="C26" s="80"/>
      <c r="D26" s="80"/>
      <c r="E26" s="80"/>
      <c r="F26" s="80"/>
      <c r="G26" s="80"/>
      <c r="H26" s="80"/>
      <c r="I26" s="80"/>
      <c r="J26" s="80"/>
      <c r="K26" s="81"/>
      <c r="L26" s="83"/>
      <c r="M26" s="83"/>
      <c r="N26" s="83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>
        <f>SUM(AA11:AA24)</f>
        <v>0</v>
      </c>
      <c r="AB26" s="87"/>
    </row>
    <row r="27" ht="17.25" customHeight="1">
      <c r="A27" s="79" t="s">
        <v>83</v>
      </c>
      <c r="B27" s="80"/>
      <c r="C27" s="80"/>
      <c r="D27" s="80"/>
      <c r="E27" s="80"/>
      <c r="F27" s="80"/>
      <c r="G27" s="80"/>
      <c r="H27" s="80"/>
      <c r="I27" s="80"/>
      <c r="J27" s="80"/>
      <c r="K27" s="88"/>
      <c r="L27" s="89"/>
      <c r="M27" s="89"/>
      <c r="N27" s="90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91">
        <f>AA26-Z26</f>
        <v>0</v>
      </c>
      <c r="AB27" s="87"/>
    </row>
    <row r="28" ht="17.25" customHeight="1">
      <c r="A28" s="79" t="s">
        <v>86</v>
      </c>
      <c r="B28" s="80"/>
      <c r="C28" s="80"/>
      <c r="D28" s="80"/>
      <c r="E28" s="80"/>
      <c r="F28" s="80"/>
      <c r="G28" s="80"/>
      <c r="H28" s="80"/>
      <c r="I28" s="80"/>
      <c r="J28" s="80"/>
      <c r="K28" s="81"/>
      <c r="L28" s="83"/>
      <c r="M28" s="83"/>
      <c r="N28" s="83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7"/>
    </row>
    <row r="29" ht="17.25" customHeight="1">
      <c r="A29" s="79" t="s">
        <v>88</v>
      </c>
      <c r="B29" s="80"/>
      <c r="C29" s="80"/>
      <c r="D29" s="80"/>
      <c r="E29" s="80"/>
      <c r="F29" s="80"/>
      <c r="G29" s="80"/>
      <c r="H29" s="80"/>
      <c r="I29" s="80"/>
      <c r="J29" s="80"/>
      <c r="K29" s="81"/>
      <c r="L29" s="83"/>
      <c r="M29" s="83"/>
      <c r="N29" s="83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7"/>
    </row>
    <row r="30" ht="14.25" customHeight="1">
      <c r="A30" s="93" t="s">
        <v>89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5"/>
    </row>
    <row r="31" ht="37.5" customHeight="1">
      <c r="A31" s="96"/>
      <c r="B31" s="97"/>
      <c r="C31" s="97"/>
      <c r="D31" s="97"/>
      <c r="E31" s="97"/>
      <c r="F31" s="97"/>
      <c r="G31" s="97"/>
      <c r="H31" s="98"/>
      <c r="I31" s="108"/>
      <c r="J31" s="99"/>
      <c r="K31" s="99"/>
      <c r="L31" s="100"/>
      <c r="M31" s="100"/>
      <c r="N31" s="100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2"/>
      <c r="AB31" s="98"/>
    </row>
    <row r="32" ht="19.5" customHeight="1">
      <c r="A32" s="103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9"/>
    </row>
    <row r="33" ht="14.25" customHeight="1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6"/>
    </row>
    <row r="34" ht="14.25" customHeight="1">
      <c r="G34" s="1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4"/>
    </row>
    <row r="35" ht="14.25" customHeight="1">
      <c r="G35" s="1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4"/>
    </row>
    <row r="36" ht="14.25" customHeight="1">
      <c r="G36" s="1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4"/>
    </row>
    <row r="37" ht="14.25" customHeight="1">
      <c r="G37" s="1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4"/>
    </row>
    <row r="38" ht="14.25" customHeight="1">
      <c r="G38" s="1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4"/>
    </row>
    <row r="39" ht="14.25" customHeight="1">
      <c r="G39" s="1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4"/>
    </row>
    <row r="40" ht="14.25" customHeight="1">
      <c r="G40" s="1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4"/>
    </row>
    <row r="41" ht="14.25" customHeight="1">
      <c r="G41" s="1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4"/>
    </row>
    <row r="42" ht="14.25" customHeight="1">
      <c r="G42" s="1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4"/>
    </row>
    <row r="43" ht="14.25" customHeight="1">
      <c r="G43" s="1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4"/>
    </row>
    <row r="44" ht="14.25" customHeight="1">
      <c r="G44" s="1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4"/>
    </row>
    <row r="45" ht="14.25" customHeight="1">
      <c r="G45" s="1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4"/>
    </row>
    <row r="46" ht="14.25" customHeight="1">
      <c r="G46" s="1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4"/>
    </row>
    <row r="47" ht="14.25" customHeight="1">
      <c r="G47" s="1"/>
      <c r="L47" s="2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4"/>
    </row>
    <row r="48" ht="14.25" customHeight="1">
      <c r="G48" s="1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4"/>
    </row>
    <row r="49" ht="14.25" customHeight="1">
      <c r="G49" s="1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4"/>
    </row>
    <row r="50" ht="14.25" customHeight="1">
      <c r="G50" s="1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4"/>
    </row>
    <row r="51" ht="14.25" customHeight="1">
      <c r="G51" s="1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4"/>
    </row>
    <row r="52" ht="14.25" customHeight="1">
      <c r="G52" s="1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4"/>
    </row>
    <row r="53" ht="14.25" customHeight="1">
      <c r="G53" s="1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4"/>
    </row>
    <row r="54" ht="14.25" customHeight="1">
      <c r="G54" s="1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4"/>
    </row>
    <row r="55" ht="14.25" customHeight="1">
      <c r="G55" s="1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4"/>
    </row>
    <row r="56" ht="14.25" customHeight="1">
      <c r="G56" s="1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4"/>
    </row>
    <row r="57" ht="14.25" customHeight="1">
      <c r="G57" s="1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4"/>
    </row>
    <row r="58" ht="14.25" customHeight="1">
      <c r="G58" s="1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4"/>
    </row>
    <row r="59" ht="14.25" customHeight="1">
      <c r="G59" s="1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4"/>
    </row>
    <row r="60" ht="14.25" customHeight="1">
      <c r="G60" s="1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4"/>
    </row>
    <row r="61" ht="14.25" customHeight="1">
      <c r="G61" s="1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4"/>
    </row>
    <row r="62" ht="14.25" customHeight="1">
      <c r="G62" s="1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4"/>
    </row>
    <row r="63" ht="14.25" customHeight="1">
      <c r="G63" s="1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4"/>
    </row>
    <row r="64" ht="14.25" customHeight="1">
      <c r="G64" s="1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4"/>
    </row>
    <row r="65" ht="14.25" customHeight="1">
      <c r="G65" s="1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4"/>
    </row>
    <row r="66" ht="14.25" customHeight="1">
      <c r="G66" s="1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4"/>
    </row>
    <row r="67" ht="14.25" customHeight="1">
      <c r="G67" s="1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4"/>
    </row>
    <row r="68" ht="14.25" customHeight="1">
      <c r="G68" s="1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4"/>
    </row>
    <row r="69" ht="14.25" customHeight="1">
      <c r="G69" s="1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4"/>
    </row>
    <row r="70" ht="14.25" customHeight="1">
      <c r="G70" s="1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4"/>
    </row>
    <row r="71" ht="14.25" customHeight="1">
      <c r="G71" s="1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4"/>
    </row>
    <row r="72" ht="14.25" customHeight="1">
      <c r="G72" s="1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4"/>
    </row>
    <row r="73" ht="14.25" customHeight="1">
      <c r="G73" s="1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4"/>
    </row>
    <row r="74" ht="14.25" customHeight="1">
      <c r="G74" s="1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4"/>
    </row>
    <row r="75" ht="14.25" customHeight="1">
      <c r="G75" s="1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4"/>
    </row>
    <row r="76" ht="14.25" customHeight="1">
      <c r="G76" s="1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4"/>
    </row>
    <row r="77" ht="14.25" customHeight="1">
      <c r="G77" s="1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4"/>
    </row>
    <row r="78" ht="14.25" customHeight="1">
      <c r="G78" s="1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4"/>
    </row>
    <row r="79" ht="14.25" customHeight="1">
      <c r="G79" s="1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4"/>
    </row>
    <row r="80" ht="14.25" customHeight="1">
      <c r="G80" s="1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4"/>
    </row>
    <row r="81" ht="14.25" customHeight="1">
      <c r="G81" s="1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4"/>
    </row>
    <row r="82" ht="14.25" customHeight="1">
      <c r="G82" s="1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4"/>
    </row>
    <row r="83" ht="14.25" customHeight="1">
      <c r="G83" s="1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4"/>
    </row>
    <row r="84" ht="14.25" customHeight="1">
      <c r="G84" s="1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4"/>
    </row>
    <row r="85" ht="14.25" customHeight="1">
      <c r="G85" s="1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4"/>
    </row>
    <row r="86" ht="14.25" customHeight="1">
      <c r="G86" s="1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4"/>
    </row>
    <row r="87" ht="14.25" customHeight="1">
      <c r="G87" s="1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4"/>
    </row>
    <row r="88" ht="14.25" customHeight="1">
      <c r="G88" s="1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4"/>
    </row>
    <row r="89" ht="14.25" customHeight="1">
      <c r="G89" s="1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4"/>
    </row>
    <row r="90" ht="14.25" customHeight="1">
      <c r="G90" s="1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4"/>
    </row>
    <row r="91" ht="14.25" customHeight="1">
      <c r="G91" s="1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4"/>
    </row>
    <row r="92" ht="14.25" customHeight="1">
      <c r="G92" s="1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4"/>
    </row>
    <row r="93" ht="14.25" customHeight="1">
      <c r="G93" s="1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4"/>
    </row>
    <row r="94" ht="14.25" customHeight="1">
      <c r="G94" s="1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4"/>
    </row>
    <row r="95" ht="14.25" customHeight="1">
      <c r="G95" s="1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4"/>
    </row>
    <row r="96" ht="14.25" customHeight="1">
      <c r="G96" s="1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4"/>
    </row>
    <row r="97" ht="14.25" customHeight="1">
      <c r="G97" s="1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4"/>
    </row>
    <row r="98" ht="14.25" customHeight="1">
      <c r="G98" s="1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4"/>
    </row>
    <row r="99" ht="14.25" customHeight="1">
      <c r="G99" s="1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4"/>
    </row>
    <row r="100" ht="14.25" customHeight="1">
      <c r="G100" s="1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4"/>
    </row>
    <row r="101" ht="14.25" customHeight="1">
      <c r="G101" s="1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4"/>
    </row>
    <row r="102" ht="14.25" customHeight="1">
      <c r="G102" s="1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4"/>
    </row>
    <row r="103" ht="14.25" customHeight="1">
      <c r="G103" s="1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4"/>
    </row>
    <row r="104" ht="14.25" customHeight="1">
      <c r="G104" s="1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4"/>
    </row>
    <row r="105" ht="14.25" customHeight="1">
      <c r="G105" s="1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4"/>
    </row>
    <row r="106" ht="14.25" customHeight="1">
      <c r="G106" s="1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4"/>
    </row>
    <row r="107" ht="14.25" customHeight="1">
      <c r="G107" s="1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4"/>
    </row>
    <row r="108" ht="14.25" customHeight="1">
      <c r="G108" s="1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4"/>
    </row>
    <row r="109" ht="14.25" customHeight="1">
      <c r="G109" s="1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4"/>
    </row>
    <row r="110" ht="14.25" customHeight="1">
      <c r="G110" s="1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4"/>
    </row>
    <row r="111" ht="14.25" customHeight="1">
      <c r="G111" s="1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4"/>
    </row>
    <row r="112" ht="14.25" customHeight="1">
      <c r="G112" s="1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4"/>
    </row>
    <row r="113" ht="14.25" customHeight="1">
      <c r="G113" s="1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4"/>
    </row>
    <row r="114" ht="14.25" customHeight="1">
      <c r="G114" s="1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4"/>
    </row>
    <row r="115" ht="14.25" customHeight="1">
      <c r="G115" s="1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4"/>
    </row>
    <row r="116" ht="14.25" customHeight="1">
      <c r="G116" s="1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4"/>
    </row>
    <row r="117" ht="14.25" customHeight="1">
      <c r="G117" s="1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4"/>
    </row>
    <row r="118" ht="14.25" customHeight="1">
      <c r="G118" s="1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4"/>
    </row>
    <row r="119" ht="14.25" customHeight="1">
      <c r="G119" s="1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4"/>
    </row>
    <row r="120" ht="14.25" customHeight="1">
      <c r="G120" s="1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4"/>
    </row>
    <row r="121" ht="14.25" customHeight="1">
      <c r="G121" s="1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4"/>
    </row>
    <row r="122" ht="14.25" customHeight="1">
      <c r="G122" s="1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4"/>
    </row>
    <row r="123" ht="14.25" customHeight="1">
      <c r="G123" s="1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4"/>
    </row>
    <row r="124" ht="14.25" customHeight="1">
      <c r="G124" s="1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4"/>
    </row>
    <row r="125" ht="14.25" customHeight="1">
      <c r="G125" s="1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4"/>
    </row>
    <row r="126" ht="14.25" customHeight="1">
      <c r="G126" s="1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4"/>
    </row>
    <row r="127" ht="14.25" customHeight="1">
      <c r="G127" s="1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4"/>
    </row>
    <row r="128" ht="14.25" customHeight="1">
      <c r="G128" s="1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4"/>
    </row>
    <row r="129" ht="14.25" customHeight="1">
      <c r="G129" s="1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4"/>
    </row>
    <row r="130" ht="14.25" customHeight="1">
      <c r="G130" s="1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4"/>
    </row>
    <row r="131" ht="14.25" customHeight="1">
      <c r="G131" s="1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4"/>
    </row>
    <row r="132" ht="14.25" customHeight="1">
      <c r="G132" s="1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4"/>
    </row>
    <row r="133" ht="14.25" customHeight="1">
      <c r="G133" s="1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4"/>
    </row>
    <row r="134" ht="14.25" customHeight="1">
      <c r="G134" s="1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4"/>
    </row>
    <row r="135" ht="14.25" customHeight="1">
      <c r="G135" s="1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4"/>
    </row>
    <row r="136" ht="14.25" customHeight="1">
      <c r="G136" s="1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4"/>
    </row>
    <row r="137" ht="14.25" customHeight="1">
      <c r="G137" s="1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4"/>
    </row>
    <row r="138" ht="14.25" customHeight="1">
      <c r="G138" s="1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4"/>
    </row>
    <row r="139" ht="14.25" customHeight="1">
      <c r="G139" s="1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4"/>
    </row>
    <row r="140" ht="14.25" customHeight="1">
      <c r="G140" s="1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4"/>
    </row>
    <row r="141" ht="14.25" customHeight="1">
      <c r="G141" s="1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4"/>
    </row>
    <row r="142" ht="14.25" customHeight="1">
      <c r="G142" s="1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4"/>
    </row>
    <row r="143" ht="14.25" customHeight="1">
      <c r="G143" s="1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4"/>
    </row>
    <row r="144" ht="14.25" customHeight="1">
      <c r="G144" s="1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4"/>
    </row>
    <row r="145" ht="14.25" customHeight="1">
      <c r="G145" s="1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4"/>
    </row>
    <row r="146" ht="14.25" customHeight="1">
      <c r="G146" s="1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4"/>
    </row>
    <row r="147" ht="14.25" customHeight="1">
      <c r="G147" s="1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4"/>
    </row>
    <row r="148" ht="14.25" customHeight="1">
      <c r="G148" s="1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4"/>
    </row>
    <row r="149" ht="14.25" customHeight="1">
      <c r="G149" s="1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4"/>
    </row>
    <row r="150" ht="14.25" customHeight="1">
      <c r="G150" s="1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4"/>
    </row>
    <row r="151" ht="14.25" customHeight="1">
      <c r="G151" s="1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4"/>
    </row>
    <row r="152" ht="14.25" customHeight="1">
      <c r="G152" s="1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4"/>
    </row>
    <row r="153" ht="14.25" customHeight="1">
      <c r="G153" s="1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4"/>
    </row>
    <row r="154" ht="14.25" customHeight="1">
      <c r="G154" s="1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4"/>
    </row>
    <row r="155" ht="14.25" customHeight="1">
      <c r="G155" s="1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4"/>
    </row>
    <row r="156" ht="14.25" customHeight="1">
      <c r="G156" s="1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4"/>
    </row>
    <row r="157" ht="14.25" customHeight="1">
      <c r="G157" s="1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4"/>
    </row>
    <row r="158" ht="14.25" customHeight="1">
      <c r="G158" s="1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4"/>
    </row>
    <row r="159" ht="14.25" customHeight="1">
      <c r="G159" s="1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4"/>
    </row>
    <row r="160" ht="14.25" customHeight="1">
      <c r="G160" s="1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4"/>
    </row>
    <row r="161" ht="14.25" customHeight="1">
      <c r="G161" s="1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4"/>
    </row>
    <row r="162" ht="14.25" customHeight="1">
      <c r="G162" s="1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4"/>
    </row>
    <row r="163" ht="14.25" customHeight="1">
      <c r="G163" s="1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4"/>
    </row>
    <row r="164" ht="14.25" customHeight="1">
      <c r="G164" s="1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4"/>
    </row>
    <row r="165" ht="14.25" customHeight="1">
      <c r="G165" s="1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4"/>
    </row>
    <row r="166" ht="14.25" customHeight="1">
      <c r="G166" s="1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4"/>
    </row>
    <row r="167" ht="14.25" customHeight="1">
      <c r="G167" s="1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4"/>
    </row>
    <row r="168" ht="14.25" customHeight="1">
      <c r="G168" s="1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4"/>
    </row>
    <row r="169" ht="14.25" customHeight="1">
      <c r="G169" s="1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4"/>
    </row>
    <row r="170" ht="14.25" customHeight="1">
      <c r="G170" s="1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4"/>
    </row>
    <row r="171" ht="14.25" customHeight="1">
      <c r="G171" s="1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4"/>
    </row>
    <row r="172" ht="14.25" customHeight="1">
      <c r="G172" s="1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4"/>
    </row>
    <row r="173" ht="14.25" customHeight="1">
      <c r="G173" s="1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4"/>
    </row>
    <row r="174" ht="14.25" customHeight="1">
      <c r="G174" s="1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4"/>
    </row>
    <row r="175" ht="14.25" customHeight="1">
      <c r="G175" s="1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4"/>
    </row>
    <row r="176" ht="14.25" customHeight="1">
      <c r="G176" s="1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4"/>
    </row>
    <row r="177" ht="14.25" customHeight="1">
      <c r="G177" s="1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4"/>
    </row>
    <row r="178" ht="14.25" customHeight="1">
      <c r="G178" s="1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4"/>
    </row>
    <row r="179" ht="14.25" customHeight="1">
      <c r="G179" s="1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4"/>
    </row>
    <row r="180" ht="14.25" customHeight="1">
      <c r="G180" s="1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4"/>
    </row>
    <row r="181" ht="14.25" customHeight="1">
      <c r="G181" s="1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4"/>
    </row>
    <row r="182" ht="14.25" customHeight="1">
      <c r="G182" s="1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4"/>
    </row>
    <row r="183" ht="14.25" customHeight="1">
      <c r="G183" s="1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4"/>
    </row>
    <row r="184" ht="14.25" customHeight="1">
      <c r="G184" s="1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4"/>
    </row>
    <row r="185" ht="14.25" customHeight="1">
      <c r="G185" s="1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4"/>
    </row>
    <row r="186" ht="14.25" customHeight="1">
      <c r="G186" s="1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4"/>
    </row>
    <row r="187" ht="14.25" customHeight="1">
      <c r="G187" s="1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4"/>
    </row>
    <row r="188" ht="14.25" customHeight="1">
      <c r="G188" s="1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4"/>
    </row>
    <row r="189" ht="14.25" customHeight="1">
      <c r="G189" s="1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4"/>
    </row>
    <row r="190" ht="14.25" customHeight="1">
      <c r="G190" s="1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4"/>
    </row>
    <row r="191" ht="14.25" customHeight="1">
      <c r="G191" s="1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4"/>
    </row>
    <row r="192" ht="14.25" customHeight="1">
      <c r="G192" s="1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4"/>
    </row>
    <row r="193" ht="14.25" customHeight="1">
      <c r="G193" s="1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4"/>
    </row>
    <row r="194" ht="14.25" customHeight="1">
      <c r="G194" s="1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4"/>
    </row>
    <row r="195" ht="14.25" customHeight="1">
      <c r="G195" s="1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4"/>
    </row>
    <row r="196" ht="14.25" customHeight="1">
      <c r="G196" s="1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4"/>
    </row>
    <row r="197" ht="14.25" customHeight="1">
      <c r="G197" s="1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4"/>
    </row>
    <row r="198" ht="14.25" customHeight="1">
      <c r="G198" s="1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4"/>
    </row>
    <row r="199" ht="14.25" customHeight="1">
      <c r="G199" s="1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4"/>
    </row>
    <row r="200" ht="14.25" customHeight="1">
      <c r="G200" s="1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4"/>
    </row>
    <row r="201" ht="14.25" customHeight="1">
      <c r="G201" s="1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4"/>
    </row>
    <row r="202" ht="14.25" customHeight="1">
      <c r="G202" s="1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4"/>
    </row>
    <row r="203" ht="14.25" customHeight="1">
      <c r="G203" s="1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4"/>
    </row>
    <row r="204" ht="14.25" customHeight="1">
      <c r="G204" s="1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4"/>
    </row>
    <row r="205" ht="14.25" customHeight="1">
      <c r="G205" s="1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4"/>
    </row>
    <row r="206" ht="14.25" customHeight="1">
      <c r="G206" s="1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4"/>
    </row>
    <row r="207" ht="14.25" customHeight="1">
      <c r="G207" s="1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4"/>
    </row>
    <row r="208" ht="14.25" customHeight="1">
      <c r="G208" s="1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4"/>
    </row>
    <row r="209" ht="14.25" customHeight="1">
      <c r="G209" s="1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4"/>
    </row>
    <row r="210" ht="14.25" customHeight="1">
      <c r="G210" s="1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4"/>
    </row>
    <row r="211" ht="14.25" customHeight="1">
      <c r="G211" s="1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4"/>
    </row>
    <row r="212" ht="14.25" customHeight="1">
      <c r="G212" s="1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4"/>
    </row>
    <row r="213" ht="14.25" customHeight="1">
      <c r="G213" s="1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4"/>
    </row>
    <row r="214" ht="14.25" customHeight="1">
      <c r="G214" s="1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4"/>
    </row>
    <row r="215" ht="14.25" customHeight="1">
      <c r="G215" s="1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4"/>
    </row>
    <row r="216" ht="14.25" customHeight="1">
      <c r="G216" s="1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4"/>
    </row>
    <row r="217" ht="14.25" customHeight="1">
      <c r="G217" s="1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4"/>
    </row>
    <row r="218" ht="14.25" customHeight="1">
      <c r="G218" s="1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4"/>
    </row>
    <row r="219" ht="14.25" customHeight="1">
      <c r="G219" s="1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4"/>
    </row>
    <row r="220" ht="14.25" customHeight="1">
      <c r="G220" s="1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4"/>
    </row>
    <row r="221" ht="14.25" customHeight="1">
      <c r="G221" s="1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4"/>
    </row>
    <row r="222" ht="14.25" customHeight="1">
      <c r="G222" s="1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4"/>
    </row>
    <row r="223" ht="14.25" customHeight="1">
      <c r="G223" s="1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4"/>
    </row>
    <row r="224" ht="14.25" customHeight="1">
      <c r="G224" s="1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4"/>
    </row>
    <row r="225" ht="14.25" customHeight="1">
      <c r="G225" s="1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4"/>
    </row>
    <row r="226" ht="14.25" customHeight="1">
      <c r="G226" s="1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4"/>
    </row>
    <row r="227" ht="14.25" customHeight="1">
      <c r="G227" s="1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4"/>
    </row>
    <row r="228" ht="14.25" customHeight="1">
      <c r="G228" s="1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4"/>
    </row>
    <row r="229" ht="14.25" customHeight="1">
      <c r="G229" s="1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4"/>
    </row>
    <row r="230" ht="14.25" customHeight="1">
      <c r="G230" s="1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4"/>
    </row>
    <row r="231" ht="14.25" customHeight="1">
      <c r="G231" s="1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4"/>
    </row>
    <row r="232" ht="14.25" customHeight="1">
      <c r="G232" s="1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4"/>
    </row>
    <row r="233" ht="14.25" customHeight="1">
      <c r="G233" s="1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4"/>
    </row>
    <row r="234" ht="14.25" customHeight="1">
      <c r="G234" s="1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4"/>
    </row>
    <row r="235" ht="14.25" customHeight="1">
      <c r="G235" s="1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4"/>
    </row>
    <row r="236" ht="14.25" customHeight="1">
      <c r="G236" s="1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4"/>
    </row>
    <row r="237" ht="14.25" customHeight="1">
      <c r="G237" s="1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4"/>
    </row>
    <row r="238" ht="14.25" customHeight="1">
      <c r="G238" s="1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4"/>
    </row>
    <row r="239" ht="14.25" customHeight="1">
      <c r="G239" s="1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4"/>
    </row>
    <row r="240" ht="14.25" customHeight="1">
      <c r="G240" s="1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4"/>
    </row>
    <row r="241" ht="14.25" customHeight="1">
      <c r="G241" s="1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4"/>
    </row>
    <row r="242" ht="14.25" customHeight="1">
      <c r="G242" s="1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4"/>
    </row>
    <row r="243" ht="14.25" customHeight="1">
      <c r="G243" s="1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4"/>
    </row>
    <row r="244" ht="14.25" customHeight="1">
      <c r="G244" s="1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4"/>
    </row>
    <row r="245" ht="14.25" customHeight="1">
      <c r="G245" s="1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4"/>
    </row>
    <row r="246" ht="14.25" customHeight="1">
      <c r="G246" s="1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4"/>
    </row>
    <row r="247" ht="14.25" customHeight="1">
      <c r="G247" s="1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4"/>
    </row>
    <row r="248" ht="14.25" customHeight="1">
      <c r="G248" s="1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4"/>
    </row>
    <row r="249" ht="14.25" customHeight="1">
      <c r="G249" s="1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4"/>
    </row>
    <row r="250" ht="14.25" customHeight="1">
      <c r="G250" s="1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4"/>
    </row>
    <row r="251" ht="14.25" customHeight="1">
      <c r="G251" s="1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4"/>
    </row>
    <row r="252" ht="14.25" customHeight="1">
      <c r="G252" s="1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4"/>
    </row>
    <row r="253" ht="14.25" customHeight="1">
      <c r="G253" s="1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4"/>
    </row>
    <row r="254" ht="14.25" customHeight="1">
      <c r="G254" s="1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4"/>
    </row>
    <row r="255" ht="14.25" customHeight="1">
      <c r="G255" s="1"/>
      <c r="L255" s="2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"/>
    </row>
    <row r="256" ht="14.25" customHeight="1">
      <c r="G256" s="1"/>
      <c r="L256" s="2"/>
      <c r="M256" s="2"/>
      <c r="N256" s="2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4"/>
    </row>
    <row r="257" ht="14.25" customHeight="1">
      <c r="G257" s="1"/>
      <c r="L257" s="2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4"/>
    </row>
    <row r="258" ht="14.25" customHeight="1">
      <c r="G258" s="1"/>
      <c r="L258" s="2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4"/>
    </row>
    <row r="259" ht="14.25" customHeight="1">
      <c r="G259" s="1"/>
      <c r="L259" s="2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4"/>
    </row>
    <row r="260" ht="14.25" customHeight="1">
      <c r="G260" s="1"/>
      <c r="L260" s="2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4"/>
    </row>
    <row r="261" ht="14.25" customHeight="1">
      <c r="G261" s="1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4"/>
    </row>
    <row r="262" ht="14.25" customHeight="1">
      <c r="G262" s="1"/>
      <c r="L262" s="2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4"/>
    </row>
    <row r="263" ht="14.25" customHeight="1">
      <c r="G263" s="1"/>
      <c r="L263" s="2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4"/>
    </row>
    <row r="264" ht="14.25" customHeight="1">
      <c r="G264" s="1"/>
      <c r="L264" s="2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4"/>
    </row>
    <row r="265" ht="14.25" customHeight="1">
      <c r="G265" s="1"/>
      <c r="L265" s="2"/>
      <c r="M265" s="2"/>
      <c r="N265" s="2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4"/>
    </row>
    <row r="266" ht="14.25" customHeight="1">
      <c r="G266" s="1"/>
      <c r="L266" s="2"/>
      <c r="M266" s="2"/>
      <c r="N266" s="2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4"/>
    </row>
    <row r="267" ht="14.25" customHeight="1">
      <c r="G267" s="1"/>
      <c r="L267" s="2"/>
      <c r="M267" s="2"/>
      <c r="N267" s="2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4"/>
    </row>
    <row r="268" ht="14.25" customHeight="1">
      <c r="G268" s="1"/>
      <c r="L268" s="2"/>
      <c r="M268" s="2"/>
      <c r="N268" s="2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4"/>
    </row>
    <row r="269" ht="14.25" customHeight="1">
      <c r="G269" s="1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4"/>
    </row>
    <row r="270" ht="14.25" customHeight="1">
      <c r="G270" s="1"/>
      <c r="L270" s="2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4"/>
    </row>
    <row r="271" ht="14.25" customHeight="1">
      <c r="G271" s="1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4"/>
    </row>
    <row r="272" ht="14.25" customHeight="1">
      <c r="G272" s="1"/>
      <c r="L272" s="2"/>
      <c r="M272" s="2"/>
      <c r="N272" s="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4"/>
    </row>
    <row r="273" ht="14.25" customHeight="1">
      <c r="G273" s="1"/>
      <c r="L273" s="2"/>
      <c r="M273" s="2"/>
      <c r="N273" s="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4"/>
    </row>
    <row r="274" ht="14.25" customHeight="1">
      <c r="G274" s="1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4"/>
    </row>
    <row r="275" ht="14.25" customHeight="1">
      <c r="G275" s="1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4"/>
    </row>
    <row r="276" ht="14.25" customHeight="1">
      <c r="G276" s="1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4"/>
    </row>
    <row r="277" ht="14.25" customHeight="1">
      <c r="G277" s="1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4"/>
    </row>
    <row r="278" ht="14.25" customHeight="1">
      <c r="G278" s="1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4"/>
    </row>
    <row r="279" ht="14.25" customHeight="1">
      <c r="G279" s="1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4"/>
    </row>
    <row r="280" ht="14.25" customHeight="1">
      <c r="G280" s="1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4"/>
    </row>
    <row r="281" ht="14.25" customHeight="1">
      <c r="G281" s="1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4"/>
    </row>
    <row r="282" ht="14.25" customHeight="1">
      <c r="G282" s="1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4"/>
    </row>
    <row r="283" ht="14.25" customHeight="1">
      <c r="G283" s="1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4"/>
    </row>
    <row r="284" ht="14.25" customHeight="1">
      <c r="G284" s="1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4"/>
    </row>
    <row r="285" ht="14.25" customHeight="1">
      <c r="G285" s="1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4"/>
    </row>
    <row r="286" ht="14.25" customHeight="1">
      <c r="G286" s="1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4"/>
    </row>
    <row r="287" ht="14.25" customHeight="1">
      <c r="G287" s="1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4"/>
    </row>
    <row r="288" ht="14.25" customHeight="1">
      <c r="G288" s="1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4"/>
    </row>
    <row r="289" ht="14.25" customHeight="1">
      <c r="G289" s="1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4"/>
    </row>
    <row r="290" ht="14.25" customHeight="1">
      <c r="G290" s="1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4"/>
    </row>
    <row r="291" ht="14.25" customHeight="1">
      <c r="G291" s="1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4"/>
    </row>
    <row r="292" ht="14.25" customHeight="1">
      <c r="G292" s="1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4"/>
    </row>
    <row r="293" ht="14.25" customHeight="1">
      <c r="G293" s="1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4"/>
    </row>
    <row r="294" ht="14.25" customHeight="1">
      <c r="G294" s="1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4"/>
    </row>
    <row r="295" ht="14.25" customHeight="1">
      <c r="G295" s="1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4"/>
    </row>
    <row r="296" ht="14.25" customHeight="1">
      <c r="G296" s="1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4"/>
    </row>
    <row r="297" ht="14.25" customHeight="1">
      <c r="G297" s="1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4"/>
    </row>
    <row r="298" ht="14.25" customHeight="1">
      <c r="G298" s="1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4"/>
    </row>
    <row r="299" ht="14.25" customHeight="1">
      <c r="G299" s="1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4"/>
    </row>
    <row r="300" ht="14.25" customHeight="1">
      <c r="G300" s="1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4"/>
    </row>
    <row r="301" ht="14.25" customHeight="1">
      <c r="G301" s="1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4"/>
    </row>
    <row r="302" ht="14.25" customHeight="1">
      <c r="G302" s="1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4"/>
    </row>
    <row r="303" ht="14.25" customHeight="1">
      <c r="G303" s="1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4"/>
    </row>
    <row r="304" ht="14.25" customHeight="1">
      <c r="G304" s="1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4"/>
    </row>
    <row r="305" ht="14.25" customHeight="1">
      <c r="G305" s="1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4"/>
    </row>
    <row r="306" ht="14.25" customHeight="1">
      <c r="G306" s="1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4"/>
    </row>
    <row r="307" ht="14.25" customHeight="1">
      <c r="G307" s="1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4"/>
    </row>
    <row r="308" ht="14.25" customHeight="1">
      <c r="G308" s="1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4"/>
    </row>
    <row r="309" ht="14.25" customHeight="1">
      <c r="G309" s="1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4"/>
    </row>
    <row r="310" ht="14.25" customHeight="1">
      <c r="G310" s="1"/>
      <c r="L310" s="2"/>
      <c r="M310" s="2"/>
      <c r="N310" s="2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4"/>
    </row>
    <row r="311" ht="14.25" customHeight="1">
      <c r="G311" s="1"/>
      <c r="L311" s="2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4"/>
    </row>
    <row r="312" ht="14.25" customHeight="1">
      <c r="G312" s="1"/>
      <c r="L312" s="2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4"/>
    </row>
    <row r="313" ht="14.25" customHeight="1">
      <c r="G313" s="1"/>
      <c r="L313" s="2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4"/>
    </row>
    <row r="314" ht="14.25" customHeight="1">
      <c r="G314" s="1"/>
      <c r="L314" s="2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4"/>
    </row>
    <row r="315" ht="14.25" customHeight="1">
      <c r="G315" s="1"/>
      <c r="L315" s="2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4"/>
    </row>
    <row r="316" ht="14.25" customHeight="1">
      <c r="G316" s="1"/>
      <c r="L316" s="2"/>
      <c r="M316" s="2"/>
      <c r="N316" s="2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4"/>
    </row>
    <row r="317" ht="14.25" customHeight="1">
      <c r="G317" s="1"/>
      <c r="L317" s="2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4"/>
    </row>
    <row r="318" ht="14.25" customHeight="1">
      <c r="G318" s="1"/>
      <c r="L318" s="2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4"/>
    </row>
    <row r="319" ht="14.25" customHeight="1">
      <c r="G319" s="1"/>
      <c r="L319" s="2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4"/>
    </row>
    <row r="320" ht="14.25" customHeight="1">
      <c r="G320" s="1"/>
      <c r="L320" s="2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4"/>
    </row>
    <row r="321" ht="14.25" customHeight="1">
      <c r="G321" s="1"/>
      <c r="L321" s="2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4"/>
    </row>
    <row r="322" ht="14.25" customHeight="1">
      <c r="G322" s="1"/>
      <c r="L322" s="2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4"/>
    </row>
    <row r="323" ht="14.25" customHeight="1">
      <c r="G323" s="1"/>
      <c r="L323" s="2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4"/>
    </row>
    <row r="324" ht="14.25" customHeight="1">
      <c r="G324" s="1"/>
      <c r="L324" s="2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4"/>
    </row>
    <row r="325" ht="14.25" customHeight="1">
      <c r="G325" s="1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4"/>
    </row>
    <row r="326" ht="14.25" customHeight="1">
      <c r="G326" s="1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4"/>
    </row>
    <row r="327" ht="14.25" customHeight="1">
      <c r="G327" s="1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4"/>
    </row>
    <row r="328" ht="14.25" customHeight="1">
      <c r="G328" s="1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4"/>
    </row>
    <row r="329" ht="14.25" customHeight="1">
      <c r="G329" s="1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4"/>
    </row>
    <row r="330" ht="14.25" customHeight="1">
      <c r="G330" s="1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4"/>
    </row>
    <row r="331" ht="14.25" customHeight="1">
      <c r="G331" s="1"/>
      <c r="L331" s="2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4"/>
    </row>
    <row r="332" ht="14.25" customHeight="1">
      <c r="G332" s="1"/>
      <c r="L332" s="2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4"/>
    </row>
    <row r="333" ht="14.25" customHeight="1">
      <c r="G333" s="1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4"/>
    </row>
    <row r="334" ht="14.25" customHeight="1">
      <c r="G334" s="1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4"/>
    </row>
    <row r="335" ht="14.25" customHeight="1">
      <c r="G335" s="1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4"/>
    </row>
    <row r="336" ht="14.25" customHeight="1">
      <c r="G336" s="1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4"/>
    </row>
    <row r="337" ht="14.25" customHeight="1">
      <c r="G337" s="1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4"/>
    </row>
    <row r="338" ht="14.25" customHeight="1">
      <c r="G338" s="1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4"/>
    </row>
    <row r="339" ht="14.25" customHeight="1">
      <c r="G339" s="1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4"/>
    </row>
    <row r="340" ht="14.25" customHeight="1">
      <c r="G340" s="1"/>
      <c r="L340" s="2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4"/>
    </row>
    <row r="341" ht="14.25" customHeight="1">
      <c r="G341" s="1"/>
      <c r="L341" s="2"/>
      <c r="M341" s="2"/>
      <c r="N341" s="2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4"/>
    </row>
    <row r="342" ht="14.25" customHeight="1">
      <c r="G342" s="1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4"/>
    </row>
    <row r="343" ht="14.25" customHeight="1">
      <c r="G343" s="1"/>
      <c r="L343" s="2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4"/>
    </row>
    <row r="344" ht="14.25" customHeight="1">
      <c r="G344" s="1"/>
      <c r="L344" s="2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4"/>
    </row>
    <row r="345" ht="14.25" customHeight="1">
      <c r="G345" s="1"/>
      <c r="L345" s="2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4"/>
    </row>
    <row r="346" ht="14.25" customHeight="1">
      <c r="G346" s="1"/>
      <c r="L346" s="2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4"/>
    </row>
    <row r="347" ht="14.25" customHeight="1">
      <c r="G347" s="1"/>
      <c r="L347" s="2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4"/>
    </row>
    <row r="348" ht="14.25" customHeight="1">
      <c r="G348" s="1"/>
      <c r="L348" s="2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4"/>
    </row>
    <row r="349" ht="14.25" customHeight="1">
      <c r="G349" s="1"/>
      <c r="L349" s="2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4"/>
    </row>
    <row r="350" ht="14.25" customHeight="1">
      <c r="G350" s="1"/>
      <c r="L350" s="2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4"/>
    </row>
    <row r="351" ht="14.25" customHeight="1">
      <c r="G351" s="1"/>
      <c r="L351" s="2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4"/>
    </row>
    <row r="352" ht="14.25" customHeight="1">
      <c r="G352" s="1"/>
      <c r="L352" s="2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4"/>
    </row>
    <row r="353" ht="14.25" customHeight="1">
      <c r="G353" s="1"/>
      <c r="L353" s="2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4"/>
    </row>
    <row r="354" ht="14.25" customHeight="1">
      <c r="G354" s="1"/>
      <c r="L354" s="2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4"/>
    </row>
    <row r="355" ht="14.25" customHeight="1">
      <c r="G355" s="1"/>
      <c r="L355" s="2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4"/>
    </row>
    <row r="356" ht="14.25" customHeight="1">
      <c r="G356" s="1"/>
      <c r="L356" s="2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4"/>
    </row>
    <row r="357" ht="14.25" customHeight="1">
      <c r="G357" s="1"/>
      <c r="L357" s="2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4"/>
    </row>
    <row r="358" ht="14.25" customHeight="1">
      <c r="G358" s="1"/>
      <c r="L358" s="2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4"/>
    </row>
    <row r="359" ht="14.25" customHeight="1">
      <c r="G359" s="1"/>
      <c r="L359" s="2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4"/>
    </row>
    <row r="360" ht="14.25" customHeight="1">
      <c r="G360" s="1"/>
      <c r="L360" s="2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4"/>
    </row>
    <row r="361" ht="14.25" customHeight="1">
      <c r="G361" s="1"/>
      <c r="L361" s="2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4"/>
    </row>
    <row r="362" ht="14.25" customHeight="1">
      <c r="G362" s="1"/>
      <c r="L362" s="2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4"/>
    </row>
    <row r="363" ht="14.25" customHeight="1">
      <c r="G363" s="1"/>
      <c r="L363" s="2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4"/>
    </row>
    <row r="364" ht="14.25" customHeight="1">
      <c r="G364" s="1"/>
      <c r="L364" s="2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4"/>
    </row>
    <row r="365" ht="14.25" customHeight="1">
      <c r="G365" s="1"/>
      <c r="L365" s="2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4"/>
    </row>
    <row r="366" ht="14.25" customHeight="1">
      <c r="G366" s="1"/>
      <c r="L366" s="2"/>
      <c r="M366" s="2"/>
      <c r="N366" s="2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4"/>
    </row>
    <row r="367" ht="14.25" customHeight="1">
      <c r="G367" s="1"/>
      <c r="L367" s="2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4"/>
    </row>
    <row r="368" ht="14.25" customHeight="1">
      <c r="G368" s="1"/>
      <c r="L368" s="2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4"/>
    </row>
    <row r="369" ht="14.25" customHeight="1">
      <c r="G369" s="1"/>
      <c r="L369" s="2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4"/>
    </row>
    <row r="370" ht="14.25" customHeight="1">
      <c r="G370" s="1"/>
      <c r="L370" s="2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4"/>
    </row>
    <row r="371" ht="14.25" customHeight="1">
      <c r="G371" s="1"/>
      <c r="L371" s="2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4"/>
    </row>
    <row r="372" ht="14.25" customHeight="1">
      <c r="G372" s="1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4"/>
    </row>
    <row r="373" ht="14.25" customHeight="1">
      <c r="G373" s="1"/>
      <c r="L373" s="2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4"/>
    </row>
    <row r="374" ht="14.25" customHeight="1">
      <c r="G374" s="1"/>
      <c r="L374" s="2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4"/>
    </row>
    <row r="375" ht="14.25" customHeight="1">
      <c r="G375" s="1"/>
      <c r="L375" s="2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4"/>
    </row>
    <row r="376" ht="14.25" customHeight="1">
      <c r="G376" s="1"/>
      <c r="L376" s="2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4"/>
    </row>
    <row r="377" ht="14.25" customHeight="1">
      <c r="G377" s="1"/>
      <c r="L377" s="2"/>
      <c r="M377" s="2"/>
      <c r="N377" s="2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4"/>
    </row>
    <row r="378" ht="14.25" customHeight="1">
      <c r="G378" s="1"/>
      <c r="L378" s="2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4"/>
    </row>
    <row r="379" ht="14.25" customHeight="1">
      <c r="G379" s="1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4"/>
    </row>
    <row r="380" ht="14.25" customHeight="1">
      <c r="G380" s="1"/>
      <c r="L380" s="2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4"/>
    </row>
    <row r="381" ht="14.25" customHeight="1">
      <c r="G381" s="1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4"/>
    </row>
    <row r="382" ht="14.25" customHeight="1">
      <c r="G382" s="1"/>
      <c r="L382" s="2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4"/>
    </row>
    <row r="383" ht="14.25" customHeight="1">
      <c r="G383" s="1"/>
      <c r="L383" s="2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4"/>
    </row>
    <row r="384" ht="14.25" customHeight="1">
      <c r="G384" s="1"/>
      <c r="L384" s="2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4"/>
    </row>
    <row r="385" ht="14.25" customHeight="1">
      <c r="G385" s="1"/>
      <c r="L385" s="2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4"/>
    </row>
    <row r="386" ht="14.25" customHeight="1">
      <c r="G386" s="1"/>
      <c r="L386" s="2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4"/>
    </row>
    <row r="387" ht="14.25" customHeight="1">
      <c r="G387" s="1"/>
      <c r="L387" s="2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4"/>
    </row>
    <row r="388" ht="14.25" customHeight="1">
      <c r="G388" s="1"/>
      <c r="L388" s="2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4"/>
    </row>
    <row r="389" ht="14.25" customHeight="1">
      <c r="G389" s="1"/>
      <c r="L389" s="2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4"/>
    </row>
    <row r="390" ht="14.25" customHeight="1">
      <c r="G390" s="1"/>
      <c r="L390" s="2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4"/>
    </row>
    <row r="391" ht="14.25" customHeight="1">
      <c r="G391" s="1"/>
      <c r="L391" s="2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4"/>
    </row>
    <row r="392" ht="14.25" customHeight="1">
      <c r="G392" s="1"/>
      <c r="L392" s="2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4"/>
    </row>
    <row r="393" ht="14.25" customHeight="1">
      <c r="G393" s="1"/>
      <c r="L393" s="2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4"/>
    </row>
    <row r="394" ht="14.25" customHeight="1">
      <c r="G394" s="1"/>
      <c r="L394" s="2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4"/>
    </row>
    <row r="395" ht="14.25" customHeight="1">
      <c r="G395" s="1"/>
      <c r="L395" s="2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4"/>
    </row>
    <row r="396" ht="14.25" customHeight="1">
      <c r="G396" s="1"/>
      <c r="L396" s="2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4"/>
    </row>
    <row r="397" ht="14.25" customHeight="1">
      <c r="G397" s="1"/>
      <c r="L397" s="2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4"/>
    </row>
    <row r="398" ht="14.25" customHeight="1">
      <c r="G398" s="1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4"/>
    </row>
    <row r="399" ht="14.25" customHeight="1">
      <c r="G399" s="1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4"/>
    </row>
    <row r="400" ht="14.25" customHeight="1">
      <c r="G400" s="1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4"/>
    </row>
    <row r="401" ht="14.25" customHeight="1">
      <c r="G401" s="1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4"/>
    </row>
    <row r="402" ht="14.25" customHeight="1">
      <c r="G402" s="1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4"/>
    </row>
    <row r="403" ht="14.25" customHeight="1">
      <c r="G403" s="1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4"/>
    </row>
    <row r="404" ht="14.25" customHeight="1">
      <c r="G404" s="1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4"/>
    </row>
    <row r="405" ht="14.25" customHeight="1">
      <c r="G405" s="1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4"/>
    </row>
    <row r="406" ht="14.25" customHeight="1">
      <c r="G406" s="1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4"/>
    </row>
    <row r="407" ht="14.25" customHeight="1">
      <c r="G407" s="1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4"/>
    </row>
    <row r="408" ht="14.25" customHeight="1">
      <c r="G408" s="1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4"/>
    </row>
    <row r="409" ht="14.25" customHeight="1">
      <c r="G409" s="1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4"/>
    </row>
    <row r="410" ht="14.25" customHeight="1">
      <c r="G410" s="1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4"/>
    </row>
    <row r="411" ht="14.25" customHeight="1">
      <c r="G411" s="1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4"/>
    </row>
    <row r="412" ht="14.25" customHeight="1">
      <c r="G412" s="1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4"/>
    </row>
    <row r="413" ht="14.25" customHeight="1">
      <c r="G413" s="1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4"/>
    </row>
    <row r="414" ht="14.25" customHeight="1">
      <c r="G414" s="1"/>
      <c r="L414" s="2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4"/>
    </row>
    <row r="415" ht="14.25" customHeight="1">
      <c r="G415" s="1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4"/>
    </row>
    <row r="416" ht="14.25" customHeight="1">
      <c r="G416" s="1"/>
      <c r="L416" s="2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4"/>
    </row>
    <row r="417" ht="14.25" customHeight="1">
      <c r="G417" s="1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4"/>
    </row>
    <row r="418" ht="14.25" customHeight="1">
      <c r="G418" s="1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4"/>
    </row>
    <row r="419" ht="14.25" customHeight="1">
      <c r="G419" s="1"/>
      <c r="L419" s="2"/>
      <c r="M419" s="2"/>
      <c r="N419" s="2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4"/>
    </row>
    <row r="420" ht="14.25" customHeight="1">
      <c r="G420" s="1"/>
      <c r="L420" s="2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4"/>
    </row>
    <row r="421" ht="14.25" customHeight="1">
      <c r="G421" s="1"/>
      <c r="L421" s="2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4"/>
    </row>
    <row r="422" ht="14.25" customHeight="1">
      <c r="G422" s="1"/>
      <c r="L422" s="2"/>
      <c r="M422" s="2"/>
      <c r="N422" s="2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4"/>
    </row>
    <row r="423" ht="14.25" customHeight="1">
      <c r="G423" s="1"/>
      <c r="L423" s="2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4"/>
    </row>
    <row r="424" ht="14.25" customHeight="1">
      <c r="G424" s="1"/>
      <c r="L424" s="2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4"/>
    </row>
    <row r="425" ht="14.25" customHeight="1">
      <c r="G425" s="1"/>
      <c r="L425" s="2"/>
      <c r="M425" s="2"/>
      <c r="N425" s="2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4"/>
    </row>
    <row r="426" ht="14.25" customHeight="1">
      <c r="G426" s="1"/>
      <c r="L426" s="2"/>
      <c r="M426" s="2"/>
      <c r="N426" s="2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4"/>
    </row>
    <row r="427" ht="14.25" customHeight="1">
      <c r="G427" s="1"/>
      <c r="L427" s="2"/>
      <c r="M427" s="2"/>
      <c r="N427" s="2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4"/>
    </row>
    <row r="428" ht="14.25" customHeight="1">
      <c r="G428" s="1"/>
      <c r="L428" s="2"/>
      <c r="M428" s="2"/>
      <c r="N428" s="2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4"/>
    </row>
    <row r="429" ht="14.25" customHeight="1">
      <c r="G429" s="1"/>
      <c r="L429" s="2"/>
      <c r="M429" s="2"/>
      <c r="N429" s="2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4"/>
    </row>
    <row r="430" ht="14.25" customHeight="1">
      <c r="G430" s="1"/>
      <c r="L430" s="2"/>
      <c r="M430" s="2"/>
      <c r="N430" s="2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4"/>
    </row>
    <row r="431" ht="14.25" customHeight="1">
      <c r="G431" s="1"/>
      <c r="L431" s="2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4"/>
    </row>
    <row r="432" ht="14.25" customHeight="1">
      <c r="G432" s="1"/>
      <c r="L432" s="2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4"/>
    </row>
    <row r="433" ht="14.25" customHeight="1">
      <c r="G433" s="1"/>
      <c r="L433" s="2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4"/>
    </row>
    <row r="434" ht="14.25" customHeight="1">
      <c r="G434" s="1"/>
      <c r="L434" s="2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4"/>
    </row>
    <row r="435" ht="14.25" customHeight="1">
      <c r="G435" s="1"/>
      <c r="L435" s="2"/>
      <c r="M435" s="2"/>
      <c r="N435" s="2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4"/>
    </row>
    <row r="436" ht="14.25" customHeight="1">
      <c r="G436" s="1"/>
      <c r="L436" s="2"/>
      <c r="M436" s="2"/>
      <c r="N436" s="2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4"/>
    </row>
    <row r="437" ht="14.25" customHeight="1">
      <c r="G437" s="1"/>
      <c r="L437" s="2"/>
      <c r="M437" s="2"/>
      <c r="N437" s="2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4"/>
    </row>
    <row r="438" ht="14.25" customHeight="1">
      <c r="G438" s="1"/>
      <c r="L438" s="2"/>
      <c r="M438" s="2"/>
      <c r="N438" s="2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4"/>
    </row>
    <row r="439" ht="14.25" customHeight="1">
      <c r="G439" s="1"/>
      <c r="L439" s="2"/>
      <c r="M439" s="2"/>
      <c r="N439" s="2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4"/>
    </row>
    <row r="440" ht="14.25" customHeight="1">
      <c r="G440" s="1"/>
      <c r="L440" s="2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4"/>
    </row>
    <row r="441" ht="14.25" customHeight="1">
      <c r="G441" s="1"/>
      <c r="L441" s="2"/>
      <c r="M441" s="2"/>
      <c r="N441" s="2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4"/>
    </row>
    <row r="442" ht="14.25" customHeight="1">
      <c r="G442" s="1"/>
      <c r="L442" s="2"/>
      <c r="M442" s="2"/>
      <c r="N442" s="2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4"/>
    </row>
    <row r="443" ht="14.25" customHeight="1">
      <c r="G443" s="1"/>
      <c r="L443" s="2"/>
      <c r="M443" s="2"/>
      <c r="N443" s="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4"/>
    </row>
    <row r="444" ht="14.25" customHeight="1">
      <c r="G444" s="1"/>
      <c r="L444" s="2"/>
      <c r="M444" s="2"/>
      <c r="N444" s="2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4"/>
    </row>
    <row r="445" ht="14.25" customHeight="1">
      <c r="G445" s="1"/>
      <c r="L445" s="2"/>
      <c r="M445" s="2"/>
      <c r="N445" s="2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4"/>
    </row>
    <row r="446" ht="14.25" customHeight="1">
      <c r="G446" s="1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4"/>
    </row>
    <row r="447" ht="14.25" customHeight="1">
      <c r="G447" s="1"/>
      <c r="L447" s="2"/>
      <c r="M447" s="2"/>
      <c r="N447" s="2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4"/>
    </row>
    <row r="448" ht="14.25" customHeight="1">
      <c r="G448" s="1"/>
      <c r="L448" s="2"/>
      <c r="M448" s="2"/>
      <c r="N448" s="2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4"/>
    </row>
    <row r="449" ht="14.25" customHeight="1">
      <c r="G449" s="1"/>
      <c r="L449" s="2"/>
      <c r="M449" s="2"/>
      <c r="N449" s="2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4"/>
    </row>
    <row r="450" ht="14.25" customHeight="1">
      <c r="G450" s="1"/>
      <c r="L450" s="2"/>
      <c r="M450" s="2"/>
      <c r="N450" s="2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4"/>
    </row>
    <row r="451" ht="14.25" customHeight="1">
      <c r="G451" s="1"/>
      <c r="L451" s="2"/>
      <c r="M451" s="2"/>
      <c r="N451" s="2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4"/>
    </row>
    <row r="452" ht="14.25" customHeight="1">
      <c r="G452" s="1"/>
      <c r="L452" s="2"/>
      <c r="M452" s="2"/>
      <c r="N452" s="2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4"/>
    </row>
    <row r="453" ht="14.25" customHeight="1">
      <c r="G453" s="1"/>
      <c r="L453" s="2"/>
      <c r="M453" s="2"/>
      <c r="N453" s="2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4"/>
    </row>
    <row r="454" ht="14.25" customHeight="1">
      <c r="G454" s="1"/>
      <c r="L454" s="2"/>
      <c r="M454" s="2"/>
      <c r="N454" s="2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4"/>
    </row>
    <row r="455" ht="14.25" customHeight="1">
      <c r="G455" s="1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4"/>
    </row>
    <row r="456" ht="14.25" customHeight="1">
      <c r="G456" s="1"/>
      <c r="L456" s="2"/>
      <c r="M456" s="2"/>
      <c r="N456" s="2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4"/>
    </row>
    <row r="457" ht="14.25" customHeight="1">
      <c r="G457" s="1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4"/>
    </row>
    <row r="458" ht="14.25" customHeight="1">
      <c r="G458" s="1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4"/>
    </row>
    <row r="459" ht="14.25" customHeight="1">
      <c r="G459" s="1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4"/>
    </row>
    <row r="460" ht="14.25" customHeight="1">
      <c r="G460" s="1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4"/>
    </row>
    <row r="461" ht="14.25" customHeight="1">
      <c r="G461" s="1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4"/>
    </row>
    <row r="462" ht="14.25" customHeight="1">
      <c r="G462" s="1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4"/>
    </row>
    <row r="463" ht="14.25" customHeight="1">
      <c r="G463" s="1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4"/>
    </row>
    <row r="464" ht="14.25" customHeight="1">
      <c r="G464" s="1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4"/>
    </row>
    <row r="465" ht="14.25" customHeight="1">
      <c r="G465" s="1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4"/>
    </row>
    <row r="466" ht="14.25" customHeight="1">
      <c r="G466" s="1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4"/>
    </row>
    <row r="467" ht="14.25" customHeight="1">
      <c r="G467" s="1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4"/>
    </row>
    <row r="468" ht="14.25" customHeight="1">
      <c r="G468" s="1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4"/>
    </row>
    <row r="469" ht="14.25" customHeight="1">
      <c r="G469" s="1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4"/>
    </row>
    <row r="470" ht="14.25" customHeight="1">
      <c r="G470" s="1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4"/>
    </row>
    <row r="471" ht="14.25" customHeight="1">
      <c r="G471" s="1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4"/>
    </row>
    <row r="472" ht="14.25" customHeight="1">
      <c r="G472" s="1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4"/>
    </row>
    <row r="473" ht="14.25" customHeight="1">
      <c r="G473" s="1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4"/>
    </row>
    <row r="474" ht="14.25" customHeight="1">
      <c r="G474" s="1"/>
      <c r="L474" s="2"/>
      <c r="M474" s="2"/>
      <c r="N474" s="2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4"/>
    </row>
    <row r="475" ht="14.25" customHeight="1">
      <c r="G475" s="1"/>
      <c r="L475" s="2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4"/>
    </row>
    <row r="476" ht="14.25" customHeight="1">
      <c r="G476" s="1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4"/>
    </row>
    <row r="477" ht="14.25" customHeight="1">
      <c r="G477" s="1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4"/>
    </row>
    <row r="478" ht="14.25" customHeight="1">
      <c r="G478" s="1"/>
      <c r="L478" s="2"/>
      <c r="M478" s="2"/>
      <c r="N478" s="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4"/>
    </row>
    <row r="479" ht="14.25" customHeight="1">
      <c r="G479" s="1"/>
      <c r="L479" s="2"/>
      <c r="M479" s="2"/>
      <c r="N479" s="2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4"/>
    </row>
    <row r="480" ht="14.25" customHeight="1">
      <c r="G480" s="1"/>
      <c r="L480" s="2"/>
      <c r="M480" s="2"/>
      <c r="N480" s="2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4"/>
    </row>
    <row r="481" ht="14.25" customHeight="1">
      <c r="G481" s="1"/>
      <c r="L481" s="2"/>
      <c r="M481" s="2"/>
      <c r="N481" s="2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4"/>
    </row>
    <row r="482" ht="14.25" customHeight="1">
      <c r="G482" s="1"/>
      <c r="L482" s="2"/>
      <c r="M482" s="2"/>
      <c r="N482" s="2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4"/>
    </row>
    <row r="483" ht="14.25" customHeight="1">
      <c r="G483" s="1"/>
      <c r="L483" s="2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4"/>
    </row>
    <row r="484" ht="14.25" customHeight="1">
      <c r="G484" s="1"/>
      <c r="L484" s="2"/>
      <c r="M484" s="2"/>
      <c r="N484" s="2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4"/>
    </row>
    <row r="485" ht="14.25" customHeight="1">
      <c r="G485" s="1"/>
      <c r="L485" s="2"/>
      <c r="M485" s="2"/>
      <c r="N485" s="2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4"/>
    </row>
    <row r="486" ht="14.25" customHeight="1">
      <c r="G486" s="1"/>
      <c r="L486" s="2"/>
      <c r="M486" s="2"/>
      <c r="N486" s="2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4"/>
    </row>
    <row r="487" ht="14.25" customHeight="1">
      <c r="G487" s="1"/>
      <c r="L487" s="2"/>
      <c r="M487" s="2"/>
      <c r="N487" s="2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4"/>
    </row>
    <row r="488" ht="14.25" customHeight="1">
      <c r="G488" s="1"/>
      <c r="L488" s="2"/>
      <c r="M488" s="2"/>
      <c r="N488" s="2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4"/>
    </row>
    <row r="489" ht="14.25" customHeight="1">
      <c r="G489" s="1"/>
      <c r="L489" s="2"/>
      <c r="M489" s="2"/>
      <c r="N489" s="2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4"/>
    </row>
    <row r="490" ht="14.25" customHeight="1">
      <c r="G490" s="1"/>
      <c r="L490" s="2"/>
      <c r="M490" s="2"/>
      <c r="N490" s="2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4"/>
    </row>
    <row r="491" ht="14.25" customHeight="1">
      <c r="G491" s="1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4"/>
    </row>
    <row r="492" ht="14.25" customHeight="1">
      <c r="G492" s="1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4"/>
    </row>
    <row r="493" ht="14.25" customHeight="1">
      <c r="G493" s="1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4"/>
    </row>
    <row r="494" ht="14.25" customHeight="1">
      <c r="G494" s="1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4"/>
    </row>
    <row r="495" ht="14.25" customHeight="1">
      <c r="G495" s="1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4"/>
    </row>
    <row r="496" ht="14.25" customHeight="1">
      <c r="G496" s="1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4"/>
    </row>
    <row r="497" ht="14.25" customHeight="1">
      <c r="G497" s="1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4"/>
    </row>
    <row r="498" ht="14.25" customHeight="1">
      <c r="G498" s="1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4"/>
    </row>
    <row r="499" ht="14.25" customHeight="1">
      <c r="G499" s="1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4"/>
    </row>
    <row r="500" ht="14.25" customHeight="1">
      <c r="G500" s="1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4"/>
    </row>
    <row r="501" ht="14.25" customHeight="1">
      <c r="G501" s="1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4"/>
    </row>
    <row r="502" ht="14.25" customHeight="1">
      <c r="G502" s="1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4"/>
    </row>
    <row r="503" ht="14.25" customHeight="1">
      <c r="G503" s="1"/>
      <c r="L503" s="2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4"/>
    </row>
    <row r="504" ht="14.25" customHeight="1">
      <c r="G504" s="1"/>
      <c r="L504" s="2"/>
      <c r="M504" s="2"/>
      <c r="N504" s="2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4"/>
    </row>
    <row r="505" ht="14.25" customHeight="1">
      <c r="G505" s="1"/>
      <c r="L505" s="2"/>
      <c r="M505" s="2"/>
      <c r="N505" s="2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4"/>
    </row>
    <row r="506" ht="14.25" customHeight="1">
      <c r="G506" s="1"/>
      <c r="L506" s="2"/>
      <c r="M506" s="2"/>
      <c r="N506" s="2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4"/>
    </row>
    <row r="507" ht="14.25" customHeight="1">
      <c r="G507" s="1"/>
      <c r="L507" s="2"/>
      <c r="M507" s="2"/>
      <c r="N507" s="2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4"/>
    </row>
    <row r="508" ht="14.25" customHeight="1">
      <c r="G508" s="1"/>
      <c r="L508" s="2"/>
      <c r="M508" s="2"/>
      <c r="N508" s="2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4"/>
    </row>
    <row r="509" ht="14.25" customHeight="1">
      <c r="G509" s="1"/>
      <c r="L509" s="2"/>
      <c r="M509" s="2"/>
      <c r="N509" s="2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4"/>
    </row>
    <row r="510" ht="14.25" customHeight="1">
      <c r="G510" s="1"/>
      <c r="L510" s="2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4"/>
    </row>
    <row r="511" ht="14.25" customHeight="1">
      <c r="G511" s="1"/>
      <c r="L511" s="2"/>
      <c r="M511" s="2"/>
      <c r="N511" s="2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4"/>
    </row>
    <row r="512" ht="14.25" customHeight="1">
      <c r="G512" s="1"/>
      <c r="L512" s="2"/>
      <c r="M512" s="2"/>
      <c r="N512" s="2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4"/>
    </row>
    <row r="513" ht="14.25" customHeight="1">
      <c r="G513" s="1"/>
      <c r="L513" s="2"/>
      <c r="M513" s="2"/>
      <c r="N513" s="2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4"/>
    </row>
    <row r="514" ht="14.25" customHeight="1">
      <c r="G514" s="1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4"/>
    </row>
    <row r="515" ht="14.25" customHeight="1">
      <c r="G515" s="1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4"/>
    </row>
    <row r="516" ht="14.25" customHeight="1">
      <c r="G516" s="1"/>
      <c r="L516" s="2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4"/>
    </row>
    <row r="517" ht="14.25" customHeight="1">
      <c r="G517" s="1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4"/>
    </row>
    <row r="518" ht="14.25" customHeight="1">
      <c r="G518" s="1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4"/>
    </row>
    <row r="519" ht="14.25" customHeight="1">
      <c r="G519" s="1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4"/>
    </row>
    <row r="520" ht="14.25" customHeight="1">
      <c r="G520" s="1"/>
      <c r="L520" s="2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4"/>
    </row>
    <row r="521" ht="14.25" customHeight="1">
      <c r="G521" s="1"/>
      <c r="L521" s="2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4"/>
    </row>
    <row r="522" ht="14.25" customHeight="1">
      <c r="G522" s="1"/>
      <c r="L522" s="2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4"/>
    </row>
    <row r="523" ht="14.25" customHeight="1">
      <c r="G523" s="1"/>
      <c r="L523" s="2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4"/>
    </row>
    <row r="524" ht="14.25" customHeight="1">
      <c r="G524" s="1"/>
      <c r="L524" s="2"/>
      <c r="M524" s="2"/>
      <c r="N524" s="2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4"/>
    </row>
    <row r="525" ht="14.25" customHeight="1">
      <c r="G525" s="1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4"/>
    </row>
    <row r="526" ht="14.25" customHeight="1">
      <c r="G526" s="1"/>
      <c r="L526" s="2"/>
      <c r="M526" s="2"/>
      <c r="N526" s="2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4"/>
    </row>
    <row r="527" ht="14.25" customHeight="1">
      <c r="G527" s="1"/>
      <c r="L527" s="2"/>
      <c r="M527" s="2"/>
      <c r="N527" s="2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4"/>
    </row>
    <row r="528" ht="14.25" customHeight="1">
      <c r="G528" s="1"/>
      <c r="L528" s="2"/>
      <c r="M528" s="2"/>
      <c r="N528" s="2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4"/>
    </row>
    <row r="529" ht="14.25" customHeight="1">
      <c r="G529" s="1"/>
      <c r="L529" s="2"/>
      <c r="M529" s="2"/>
      <c r="N529" s="2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4"/>
    </row>
    <row r="530" ht="14.25" customHeight="1">
      <c r="G530" s="1"/>
      <c r="L530" s="2"/>
      <c r="M530" s="2"/>
      <c r="N530" s="2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4"/>
    </row>
    <row r="531" ht="14.25" customHeight="1">
      <c r="G531" s="1"/>
      <c r="L531" s="2"/>
      <c r="M531" s="2"/>
      <c r="N531" s="2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4"/>
    </row>
    <row r="532" ht="14.25" customHeight="1">
      <c r="G532" s="1"/>
      <c r="L532" s="2"/>
      <c r="M532" s="2"/>
      <c r="N532" s="2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4"/>
    </row>
    <row r="533" ht="14.25" customHeight="1">
      <c r="G533" s="1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4"/>
    </row>
    <row r="534" ht="14.25" customHeight="1">
      <c r="G534" s="1"/>
      <c r="L534" s="2"/>
      <c r="M534" s="2"/>
      <c r="N534" s="2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4"/>
    </row>
    <row r="535" ht="14.25" customHeight="1">
      <c r="G535" s="1"/>
      <c r="L535" s="2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4"/>
    </row>
    <row r="536" ht="14.25" customHeight="1">
      <c r="G536" s="1"/>
      <c r="L536" s="2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4"/>
    </row>
    <row r="537" ht="14.25" customHeight="1">
      <c r="G537" s="1"/>
      <c r="L537" s="2"/>
      <c r="M537" s="2"/>
      <c r="N537" s="2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4"/>
    </row>
    <row r="538" ht="14.25" customHeight="1">
      <c r="G538" s="1"/>
      <c r="L538" s="2"/>
      <c r="M538" s="2"/>
      <c r="N538" s="2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4"/>
    </row>
    <row r="539" ht="14.25" customHeight="1">
      <c r="G539" s="1"/>
      <c r="L539" s="2"/>
      <c r="M539" s="2"/>
      <c r="N539" s="2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4"/>
    </row>
    <row r="540" ht="14.25" customHeight="1">
      <c r="G540" s="1"/>
      <c r="L540" s="2"/>
      <c r="M540" s="2"/>
      <c r="N540" s="2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4"/>
    </row>
    <row r="541" ht="14.25" customHeight="1">
      <c r="G541" s="1"/>
      <c r="L541" s="2"/>
      <c r="M541" s="2"/>
      <c r="N541" s="2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4"/>
    </row>
    <row r="542" ht="14.25" customHeight="1">
      <c r="G542" s="1"/>
      <c r="L542" s="2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4"/>
    </row>
    <row r="543" ht="14.25" customHeight="1">
      <c r="G543" s="1"/>
      <c r="L543" s="2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4"/>
    </row>
    <row r="544" ht="14.25" customHeight="1">
      <c r="G544" s="1"/>
      <c r="L544" s="2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4"/>
    </row>
    <row r="545" ht="14.25" customHeight="1">
      <c r="G545" s="1"/>
      <c r="L545" s="2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4"/>
    </row>
    <row r="546" ht="14.25" customHeight="1">
      <c r="G546" s="1"/>
      <c r="L546" s="2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4"/>
    </row>
    <row r="547" ht="14.25" customHeight="1">
      <c r="G547" s="1"/>
      <c r="L547" s="2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4"/>
    </row>
    <row r="548" ht="14.25" customHeight="1">
      <c r="G548" s="1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4"/>
    </row>
    <row r="549" ht="14.25" customHeight="1">
      <c r="G549" s="1"/>
      <c r="L549" s="2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4"/>
    </row>
    <row r="550" ht="14.25" customHeight="1">
      <c r="G550" s="1"/>
      <c r="L550" s="2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4"/>
    </row>
    <row r="551" ht="14.25" customHeight="1">
      <c r="G551" s="1"/>
      <c r="L551" s="2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4"/>
    </row>
    <row r="552" ht="14.25" customHeight="1">
      <c r="G552" s="1"/>
      <c r="L552" s="2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4"/>
    </row>
    <row r="553" ht="14.25" customHeight="1">
      <c r="G553" s="1"/>
      <c r="L553" s="2"/>
      <c r="M553" s="2"/>
      <c r="N553" s="2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4"/>
    </row>
    <row r="554" ht="14.25" customHeight="1">
      <c r="G554" s="1"/>
      <c r="L554" s="2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4"/>
    </row>
    <row r="555" ht="14.25" customHeight="1">
      <c r="G555" s="1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4"/>
    </row>
    <row r="556" ht="14.25" customHeight="1">
      <c r="G556" s="1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4"/>
    </row>
    <row r="557" ht="14.25" customHeight="1">
      <c r="G557" s="1"/>
      <c r="L557" s="2"/>
      <c r="M557" s="2"/>
      <c r="N557" s="2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4"/>
    </row>
    <row r="558" ht="14.25" customHeight="1">
      <c r="G558" s="1"/>
      <c r="L558" s="2"/>
      <c r="M558" s="2"/>
      <c r="N558" s="2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4"/>
    </row>
    <row r="559" ht="14.25" customHeight="1">
      <c r="G559" s="1"/>
      <c r="L559" s="2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4"/>
    </row>
    <row r="560" ht="14.25" customHeight="1">
      <c r="G560" s="1"/>
      <c r="L560" s="2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4"/>
    </row>
    <row r="561" ht="14.25" customHeight="1">
      <c r="G561" s="1"/>
      <c r="L561" s="2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4"/>
    </row>
    <row r="562" ht="14.25" customHeight="1">
      <c r="G562" s="1"/>
      <c r="L562" s="2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4"/>
    </row>
    <row r="563" ht="14.25" customHeight="1">
      <c r="G563" s="1"/>
      <c r="L563" s="2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4"/>
    </row>
    <row r="564" ht="14.25" customHeight="1">
      <c r="G564" s="1"/>
      <c r="L564" s="2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4"/>
    </row>
    <row r="565" ht="14.25" customHeight="1">
      <c r="G565" s="1"/>
      <c r="L565" s="2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4"/>
    </row>
    <row r="566" ht="14.25" customHeight="1">
      <c r="G566" s="1"/>
      <c r="L566" s="2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4"/>
    </row>
    <row r="567" ht="14.25" customHeight="1">
      <c r="G567" s="1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4"/>
    </row>
    <row r="568" ht="14.25" customHeight="1">
      <c r="G568" s="1"/>
      <c r="L568" s="2"/>
      <c r="M568" s="2"/>
      <c r="N568" s="2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4"/>
    </row>
    <row r="569" ht="14.25" customHeight="1">
      <c r="G569" s="1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4"/>
    </row>
    <row r="570" ht="14.25" customHeight="1">
      <c r="G570" s="1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4"/>
    </row>
    <row r="571" ht="14.25" customHeight="1">
      <c r="G571" s="1"/>
      <c r="L571" s="2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4"/>
    </row>
    <row r="572" ht="14.25" customHeight="1">
      <c r="G572" s="1"/>
      <c r="L572" s="2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4"/>
    </row>
    <row r="573" ht="14.25" customHeight="1">
      <c r="G573" s="1"/>
      <c r="L573" s="2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4"/>
    </row>
    <row r="574" ht="14.25" customHeight="1">
      <c r="G574" s="1"/>
      <c r="L574" s="2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4"/>
    </row>
    <row r="575" ht="14.25" customHeight="1">
      <c r="G575" s="1"/>
      <c r="L575" s="2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4"/>
    </row>
    <row r="576" ht="14.25" customHeight="1">
      <c r="G576" s="1"/>
      <c r="L576" s="2"/>
      <c r="M576" s="2"/>
      <c r="N576" s="2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4"/>
    </row>
    <row r="577" ht="14.25" customHeight="1">
      <c r="G577" s="1"/>
      <c r="L577" s="2"/>
      <c r="M577" s="2"/>
      <c r="N577" s="2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4"/>
    </row>
    <row r="578" ht="14.25" customHeight="1">
      <c r="G578" s="1"/>
      <c r="L578" s="2"/>
      <c r="M578" s="2"/>
      <c r="N578" s="2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4"/>
    </row>
    <row r="579" ht="14.25" customHeight="1">
      <c r="G579" s="1"/>
      <c r="L579" s="2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4"/>
    </row>
    <row r="580" ht="14.25" customHeight="1">
      <c r="G580" s="1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4"/>
    </row>
    <row r="581" ht="14.25" customHeight="1">
      <c r="G581" s="1"/>
      <c r="L581" s="2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4"/>
    </row>
    <row r="582" ht="14.25" customHeight="1">
      <c r="G582" s="1"/>
      <c r="L582" s="2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4"/>
    </row>
    <row r="583" ht="14.25" customHeight="1">
      <c r="G583" s="1"/>
      <c r="L583" s="2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4"/>
    </row>
    <row r="584" ht="14.25" customHeight="1">
      <c r="G584" s="1"/>
      <c r="L584" s="2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4"/>
    </row>
    <row r="585" ht="14.25" customHeight="1">
      <c r="G585" s="1"/>
      <c r="L585" s="2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4"/>
    </row>
    <row r="586" ht="14.25" customHeight="1">
      <c r="G586" s="1"/>
      <c r="L586" s="2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4"/>
    </row>
    <row r="587" ht="14.25" customHeight="1">
      <c r="G587" s="1"/>
      <c r="L587" s="2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4"/>
    </row>
    <row r="588" ht="14.25" customHeight="1">
      <c r="G588" s="1"/>
      <c r="L588" s="2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4"/>
    </row>
    <row r="589" ht="14.25" customHeight="1">
      <c r="G589" s="1"/>
      <c r="L589" s="2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4"/>
    </row>
    <row r="590" ht="14.25" customHeight="1">
      <c r="G590" s="1"/>
      <c r="L590" s="2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4"/>
    </row>
    <row r="591" ht="14.25" customHeight="1">
      <c r="G591" s="1"/>
      <c r="L591" s="2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4"/>
    </row>
    <row r="592" ht="14.25" customHeight="1">
      <c r="G592" s="1"/>
      <c r="L592" s="2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4"/>
    </row>
    <row r="593" ht="14.25" customHeight="1">
      <c r="G593" s="1"/>
      <c r="L593" s="2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4"/>
    </row>
    <row r="594" ht="14.25" customHeight="1">
      <c r="G594" s="1"/>
      <c r="L594" s="2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4"/>
    </row>
    <row r="595" ht="14.25" customHeight="1">
      <c r="G595" s="1"/>
      <c r="L595" s="2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4"/>
    </row>
    <row r="596" ht="14.25" customHeight="1">
      <c r="G596" s="1"/>
      <c r="L596" s="2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4"/>
    </row>
    <row r="597" ht="14.25" customHeight="1">
      <c r="G597" s="1"/>
      <c r="L597" s="2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4"/>
    </row>
    <row r="598" ht="14.25" customHeight="1">
      <c r="G598" s="1"/>
      <c r="L598" s="2"/>
      <c r="M598" s="2"/>
      <c r="N598" s="2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4"/>
    </row>
    <row r="599" ht="14.25" customHeight="1">
      <c r="G599" s="1"/>
      <c r="L599" s="2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4"/>
    </row>
    <row r="600" ht="14.25" customHeight="1">
      <c r="G600" s="1"/>
      <c r="L600" s="2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4"/>
    </row>
    <row r="601" ht="14.25" customHeight="1">
      <c r="G601" s="1"/>
      <c r="L601" s="2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4"/>
    </row>
    <row r="602" ht="14.25" customHeight="1">
      <c r="G602" s="1"/>
      <c r="L602" s="2"/>
      <c r="M602" s="2"/>
      <c r="N602" s="2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4"/>
    </row>
    <row r="603" ht="14.25" customHeight="1">
      <c r="G603" s="1"/>
      <c r="L603" s="2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4"/>
    </row>
    <row r="604" ht="14.25" customHeight="1">
      <c r="G604" s="1"/>
      <c r="L604" s="2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4"/>
    </row>
    <row r="605" ht="14.25" customHeight="1">
      <c r="G605" s="1"/>
      <c r="L605" s="2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4"/>
    </row>
    <row r="606" ht="14.25" customHeight="1">
      <c r="G606" s="1"/>
      <c r="L606" s="2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4"/>
    </row>
    <row r="607" ht="14.25" customHeight="1">
      <c r="G607" s="1"/>
      <c r="L607" s="2"/>
      <c r="M607" s="2"/>
      <c r="N607" s="2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4"/>
    </row>
    <row r="608" ht="14.25" customHeight="1">
      <c r="G608" s="1"/>
      <c r="L608" s="2"/>
      <c r="M608" s="2"/>
      <c r="N608" s="2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4"/>
    </row>
    <row r="609" ht="14.25" customHeight="1">
      <c r="G609" s="1"/>
      <c r="L609" s="2"/>
      <c r="M609" s="2"/>
      <c r="N609" s="2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4"/>
    </row>
    <row r="610" ht="14.25" customHeight="1">
      <c r="G610" s="1"/>
      <c r="L610" s="2"/>
      <c r="M610" s="2"/>
      <c r="N610" s="2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4"/>
    </row>
    <row r="611" ht="14.25" customHeight="1">
      <c r="G611" s="1"/>
      <c r="L611" s="2"/>
      <c r="M611" s="2"/>
      <c r="N611" s="2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4"/>
    </row>
    <row r="612" ht="14.25" customHeight="1">
      <c r="G612" s="1"/>
      <c r="L612" s="2"/>
      <c r="M612" s="2"/>
      <c r="N612" s="2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4"/>
    </row>
    <row r="613" ht="14.25" customHeight="1">
      <c r="G613" s="1"/>
      <c r="L613" s="2"/>
      <c r="M613" s="2"/>
      <c r="N613" s="2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4"/>
    </row>
    <row r="614" ht="14.25" customHeight="1">
      <c r="G614" s="1"/>
      <c r="L614" s="2"/>
      <c r="M614" s="2"/>
      <c r="N614" s="2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4"/>
    </row>
    <row r="615" ht="14.25" customHeight="1">
      <c r="G615" s="1"/>
      <c r="L615" s="2"/>
      <c r="M615" s="2"/>
      <c r="N615" s="2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4"/>
    </row>
    <row r="616" ht="14.25" customHeight="1">
      <c r="G616" s="1"/>
      <c r="L616" s="2"/>
      <c r="M616" s="2"/>
      <c r="N616" s="2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4"/>
    </row>
    <row r="617" ht="14.25" customHeight="1">
      <c r="G617" s="1"/>
      <c r="L617" s="2"/>
      <c r="M617" s="2"/>
      <c r="N617" s="2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4"/>
    </row>
    <row r="618" ht="14.25" customHeight="1">
      <c r="G618" s="1"/>
      <c r="L618" s="2"/>
      <c r="M618" s="2"/>
      <c r="N618" s="2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4"/>
    </row>
    <row r="619" ht="14.25" customHeight="1">
      <c r="G619" s="1"/>
      <c r="L619" s="2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4"/>
    </row>
    <row r="620" ht="14.25" customHeight="1">
      <c r="G620" s="1"/>
      <c r="L620" s="2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4"/>
    </row>
    <row r="621" ht="14.25" customHeight="1">
      <c r="G621" s="1"/>
      <c r="L621" s="2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4"/>
    </row>
    <row r="622" ht="14.25" customHeight="1">
      <c r="G622" s="1"/>
      <c r="L622" s="2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4"/>
    </row>
    <row r="623" ht="14.25" customHeight="1">
      <c r="G623" s="1"/>
      <c r="L623" s="2"/>
      <c r="M623" s="2"/>
      <c r="N623" s="2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4"/>
    </row>
    <row r="624" ht="14.25" customHeight="1">
      <c r="G624" s="1"/>
      <c r="L624" s="2"/>
      <c r="M624" s="2"/>
      <c r="N624" s="2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4"/>
    </row>
    <row r="625" ht="14.25" customHeight="1">
      <c r="G625" s="1"/>
      <c r="L625" s="2"/>
      <c r="M625" s="2"/>
      <c r="N625" s="2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4"/>
    </row>
    <row r="626" ht="14.25" customHeight="1">
      <c r="G626" s="1"/>
      <c r="L626" s="2"/>
      <c r="M626" s="2"/>
      <c r="N626" s="2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4"/>
    </row>
    <row r="627" ht="14.25" customHeight="1">
      <c r="G627" s="1"/>
      <c r="L627" s="2"/>
      <c r="M627" s="2"/>
      <c r="N627" s="2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4"/>
    </row>
    <row r="628" ht="14.25" customHeight="1">
      <c r="G628" s="1"/>
      <c r="L628" s="2"/>
      <c r="M628" s="2"/>
      <c r="N628" s="2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4"/>
    </row>
    <row r="629" ht="14.25" customHeight="1">
      <c r="G629" s="1"/>
      <c r="L629" s="2"/>
      <c r="M629" s="2"/>
      <c r="N629" s="2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4"/>
    </row>
    <row r="630" ht="14.25" customHeight="1">
      <c r="G630" s="1"/>
      <c r="L630" s="2"/>
      <c r="M630" s="2"/>
      <c r="N630" s="2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4"/>
    </row>
    <row r="631" ht="14.25" customHeight="1">
      <c r="G631" s="1"/>
      <c r="L631" s="2"/>
      <c r="M631" s="2"/>
      <c r="N631" s="2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4"/>
    </row>
    <row r="632" ht="14.25" customHeight="1">
      <c r="G632" s="1"/>
      <c r="L632" s="2"/>
      <c r="M632" s="2"/>
      <c r="N632" s="2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4"/>
    </row>
    <row r="633" ht="14.25" customHeight="1">
      <c r="G633" s="1"/>
      <c r="L633" s="2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4"/>
    </row>
    <row r="634" ht="14.25" customHeight="1">
      <c r="G634" s="1"/>
      <c r="L634" s="2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4"/>
    </row>
    <row r="635" ht="14.25" customHeight="1">
      <c r="G635" s="1"/>
      <c r="L635" s="2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4"/>
    </row>
    <row r="636" ht="14.25" customHeight="1">
      <c r="G636" s="1"/>
      <c r="L636" s="2"/>
      <c r="M636" s="2"/>
      <c r="N636" s="2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4"/>
    </row>
    <row r="637" ht="14.25" customHeight="1">
      <c r="G637" s="1"/>
      <c r="L637" s="2"/>
      <c r="M637" s="2"/>
      <c r="N637" s="2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4"/>
    </row>
    <row r="638" ht="14.25" customHeight="1">
      <c r="G638" s="1"/>
      <c r="L638" s="2"/>
      <c r="M638" s="2"/>
      <c r="N638" s="2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4"/>
    </row>
    <row r="639" ht="14.25" customHeight="1">
      <c r="G639" s="1"/>
      <c r="L639" s="2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4"/>
    </row>
    <row r="640" ht="14.25" customHeight="1">
      <c r="G640" s="1"/>
      <c r="L640" s="2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4"/>
    </row>
    <row r="641" ht="14.25" customHeight="1">
      <c r="G641" s="1"/>
      <c r="L641" s="2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4"/>
    </row>
    <row r="642" ht="14.25" customHeight="1">
      <c r="G642" s="1"/>
      <c r="L642" s="2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4"/>
    </row>
    <row r="643" ht="14.25" customHeight="1">
      <c r="G643" s="1"/>
      <c r="L643" s="2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4"/>
    </row>
    <row r="644" ht="14.25" customHeight="1">
      <c r="G644" s="1"/>
      <c r="L644" s="2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4"/>
    </row>
    <row r="645" ht="14.25" customHeight="1">
      <c r="G645" s="1"/>
      <c r="L645" s="2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4"/>
    </row>
    <row r="646" ht="14.25" customHeight="1">
      <c r="G646" s="1"/>
      <c r="L646" s="2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4"/>
    </row>
    <row r="647" ht="14.25" customHeight="1">
      <c r="G647" s="1"/>
      <c r="L647" s="2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4"/>
    </row>
    <row r="648" ht="14.25" customHeight="1">
      <c r="G648" s="1"/>
      <c r="L648" s="2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4"/>
    </row>
    <row r="649" ht="14.25" customHeight="1">
      <c r="G649" s="1"/>
      <c r="L649" s="2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4"/>
    </row>
    <row r="650" ht="14.25" customHeight="1">
      <c r="G650" s="1"/>
      <c r="L650" s="2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4"/>
    </row>
    <row r="651" ht="14.25" customHeight="1">
      <c r="G651" s="1"/>
      <c r="L651" s="2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4"/>
    </row>
    <row r="652" ht="14.25" customHeight="1">
      <c r="G652" s="1"/>
      <c r="L652" s="2"/>
      <c r="M652" s="2"/>
      <c r="N652" s="2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4"/>
    </row>
    <row r="653" ht="14.25" customHeight="1">
      <c r="G653" s="1"/>
      <c r="L653" s="2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4"/>
    </row>
    <row r="654" ht="14.25" customHeight="1">
      <c r="G654" s="1"/>
      <c r="L654" s="2"/>
      <c r="M654" s="2"/>
      <c r="N654" s="2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4"/>
    </row>
    <row r="655" ht="14.25" customHeight="1">
      <c r="G655" s="1"/>
      <c r="L655" s="2"/>
      <c r="M655" s="2"/>
      <c r="N655" s="2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4"/>
    </row>
    <row r="656" ht="14.25" customHeight="1">
      <c r="G656" s="1"/>
      <c r="L656" s="2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4"/>
    </row>
    <row r="657" ht="14.25" customHeight="1">
      <c r="G657" s="1"/>
      <c r="L657" s="2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4"/>
    </row>
    <row r="658" ht="14.25" customHeight="1">
      <c r="G658" s="1"/>
      <c r="L658" s="2"/>
      <c r="M658" s="2"/>
      <c r="N658" s="2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4"/>
    </row>
    <row r="659" ht="14.25" customHeight="1">
      <c r="G659" s="1"/>
      <c r="L659" s="2"/>
      <c r="M659" s="2"/>
      <c r="N659" s="2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4"/>
    </row>
    <row r="660" ht="14.25" customHeight="1">
      <c r="G660" s="1"/>
      <c r="L660" s="2"/>
      <c r="M660" s="2"/>
      <c r="N660" s="2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4"/>
    </row>
    <row r="661" ht="14.25" customHeight="1">
      <c r="G661" s="1"/>
      <c r="L661" s="2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4"/>
    </row>
    <row r="662" ht="14.25" customHeight="1">
      <c r="G662" s="1"/>
      <c r="L662" s="2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4"/>
    </row>
    <row r="663" ht="14.25" customHeight="1">
      <c r="G663" s="1"/>
      <c r="L663" s="2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4"/>
    </row>
    <row r="664" ht="14.25" customHeight="1">
      <c r="G664" s="1"/>
      <c r="L664" s="2"/>
      <c r="M664" s="2"/>
      <c r="N664" s="2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4"/>
    </row>
    <row r="665" ht="14.25" customHeight="1">
      <c r="G665" s="1"/>
      <c r="L665" s="2"/>
      <c r="M665" s="2"/>
      <c r="N665" s="2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4"/>
    </row>
    <row r="666" ht="14.25" customHeight="1">
      <c r="G666" s="1"/>
      <c r="L666" s="2"/>
      <c r="M666" s="2"/>
      <c r="N666" s="2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4"/>
    </row>
    <row r="667" ht="14.25" customHeight="1">
      <c r="G667" s="1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4"/>
    </row>
    <row r="668" ht="14.25" customHeight="1">
      <c r="G668" s="1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4"/>
    </row>
    <row r="669" ht="14.25" customHeight="1">
      <c r="G669" s="1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4"/>
    </row>
    <row r="670" ht="14.25" customHeight="1">
      <c r="G670" s="1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4"/>
    </row>
    <row r="671" ht="14.25" customHeight="1">
      <c r="G671" s="1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4"/>
    </row>
    <row r="672" ht="14.25" customHeight="1">
      <c r="G672" s="1"/>
      <c r="L672" s="2"/>
      <c r="M672" s="2"/>
      <c r="N672" s="2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4"/>
    </row>
    <row r="673" ht="14.25" customHeight="1">
      <c r="G673" s="1"/>
      <c r="L673" s="2"/>
      <c r="M673" s="2"/>
      <c r="N673" s="2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4"/>
    </row>
    <row r="674" ht="14.25" customHeight="1">
      <c r="G674" s="1"/>
      <c r="L674" s="2"/>
      <c r="M674" s="2"/>
      <c r="N674" s="2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4"/>
    </row>
    <row r="675" ht="14.25" customHeight="1">
      <c r="G675" s="1"/>
      <c r="L675" s="2"/>
      <c r="M675" s="2"/>
      <c r="N675" s="2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4"/>
    </row>
    <row r="676" ht="14.25" customHeight="1">
      <c r="G676" s="1"/>
      <c r="L676" s="2"/>
      <c r="M676" s="2"/>
      <c r="N676" s="2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4"/>
    </row>
    <row r="677" ht="14.25" customHeight="1">
      <c r="G677" s="1"/>
      <c r="L677" s="2"/>
      <c r="M677" s="2"/>
      <c r="N677" s="2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4"/>
    </row>
    <row r="678" ht="14.25" customHeight="1">
      <c r="G678" s="1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4"/>
    </row>
    <row r="679" ht="14.25" customHeight="1">
      <c r="G679" s="1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4"/>
    </row>
    <row r="680" ht="14.25" customHeight="1">
      <c r="G680" s="1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4"/>
    </row>
    <row r="681" ht="14.25" customHeight="1">
      <c r="G681" s="1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4"/>
    </row>
    <row r="682" ht="14.25" customHeight="1">
      <c r="G682" s="1"/>
      <c r="L682" s="2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4"/>
    </row>
    <row r="683" ht="14.25" customHeight="1">
      <c r="G683" s="1"/>
      <c r="L683" s="2"/>
      <c r="M683" s="2"/>
      <c r="N683" s="2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4"/>
    </row>
    <row r="684" ht="14.25" customHeight="1">
      <c r="G684" s="1"/>
      <c r="L684" s="2"/>
      <c r="M684" s="2"/>
      <c r="N684" s="2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4"/>
    </row>
    <row r="685" ht="14.25" customHeight="1">
      <c r="G685" s="1"/>
      <c r="L685" s="2"/>
      <c r="M685" s="2"/>
      <c r="N685" s="2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4"/>
    </row>
    <row r="686" ht="14.25" customHeight="1">
      <c r="G686" s="1"/>
      <c r="L686" s="2"/>
      <c r="M686" s="2"/>
      <c r="N686" s="2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4"/>
    </row>
    <row r="687" ht="14.25" customHeight="1">
      <c r="G687" s="1"/>
      <c r="L687" s="2"/>
      <c r="M687" s="2"/>
      <c r="N687" s="2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4"/>
    </row>
    <row r="688" ht="14.25" customHeight="1">
      <c r="G688" s="1"/>
      <c r="L688" s="2"/>
      <c r="M688" s="2"/>
      <c r="N688" s="2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4"/>
    </row>
    <row r="689" ht="14.25" customHeight="1">
      <c r="G689" s="1"/>
      <c r="L689" s="2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4"/>
    </row>
    <row r="690" ht="14.25" customHeight="1">
      <c r="G690" s="1"/>
      <c r="L690" s="2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4"/>
    </row>
    <row r="691" ht="14.25" customHeight="1">
      <c r="G691" s="1"/>
      <c r="L691" s="2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4"/>
    </row>
    <row r="692" ht="14.25" customHeight="1">
      <c r="G692" s="1"/>
      <c r="L692" s="2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4"/>
    </row>
    <row r="693" ht="14.25" customHeight="1">
      <c r="G693" s="1"/>
      <c r="L693" s="2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4"/>
    </row>
    <row r="694" ht="14.25" customHeight="1">
      <c r="G694" s="1"/>
      <c r="L694" s="2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4"/>
    </row>
    <row r="695" ht="14.25" customHeight="1">
      <c r="G695" s="1"/>
      <c r="L695" s="2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4"/>
    </row>
    <row r="696" ht="14.25" customHeight="1">
      <c r="G696" s="1"/>
      <c r="L696" s="2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4"/>
    </row>
    <row r="697" ht="14.25" customHeight="1">
      <c r="G697" s="1"/>
      <c r="L697" s="2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4"/>
    </row>
    <row r="698" ht="14.25" customHeight="1">
      <c r="G698" s="1"/>
      <c r="L698" s="2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4"/>
    </row>
    <row r="699" ht="14.25" customHeight="1">
      <c r="G699" s="1"/>
      <c r="L699" s="2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4"/>
    </row>
    <row r="700" ht="14.25" customHeight="1">
      <c r="G700" s="1"/>
      <c r="L700" s="2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4"/>
    </row>
    <row r="701" ht="14.25" customHeight="1">
      <c r="G701" s="1"/>
      <c r="L701" s="2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4"/>
    </row>
    <row r="702" ht="14.25" customHeight="1">
      <c r="G702" s="1"/>
      <c r="L702" s="2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4"/>
    </row>
    <row r="703" ht="14.25" customHeight="1">
      <c r="G703" s="1"/>
      <c r="L703" s="2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4"/>
    </row>
    <row r="704" ht="14.25" customHeight="1">
      <c r="G704" s="1"/>
      <c r="L704" s="2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4"/>
    </row>
    <row r="705" ht="14.25" customHeight="1">
      <c r="G705" s="1"/>
      <c r="L705" s="2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4"/>
    </row>
    <row r="706" ht="14.25" customHeight="1">
      <c r="G706" s="1"/>
      <c r="L706" s="2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4"/>
    </row>
    <row r="707" ht="14.25" customHeight="1">
      <c r="G707" s="1"/>
      <c r="L707" s="2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4"/>
    </row>
    <row r="708" ht="14.25" customHeight="1">
      <c r="G708" s="1"/>
      <c r="L708" s="2"/>
      <c r="M708" s="2"/>
      <c r="N708" s="2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4"/>
    </row>
    <row r="709" ht="14.25" customHeight="1">
      <c r="G709" s="1"/>
      <c r="L709" s="2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4"/>
    </row>
    <row r="710" ht="14.25" customHeight="1">
      <c r="G710" s="1"/>
      <c r="L710" s="2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4"/>
    </row>
    <row r="711" ht="14.25" customHeight="1">
      <c r="G711" s="1"/>
      <c r="L711" s="2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4"/>
    </row>
    <row r="712" ht="14.25" customHeight="1">
      <c r="G712" s="1"/>
      <c r="L712" s="2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4"/>
    </row>
    <row r="713" ht="14.25" customHeight="1">
      <c r="G713" s="1"/>
      <c r="L713" s="2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4"/>
    </row>
    <row r="714" ht="14.25" customHeight="1">
      <c r="G714" s="1"/>
      <c r="L714" s="2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4"/>
    </row>
    <row r="715" ht="14.25" customHeight="1">
      <c r="G715" s="1"/>
      <c r="L715" s="2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4"/>
    </row>
    <row r="716" ht="14.25" customHeight="1">
      <c r="G716" s="1"/>
      <c r="L716" s="2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4"/>
    </row>
    <row r="717" ht="14.25" customHeight="1">
      <c r="G717" s="1"/>
      <c r="L717" s="2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4"/>
    </row>
    <row r="718" ht="14.25" customHeight="1">
      <c r="G718" s="1"/>
      <c r="L718" s="2"/>
      <c r="M718" s="2"/>
      <c r="N718" s="2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4"/>
    </row>
    <row r="719" ht="14.25" customHeight="1">
      <c r="G719" s="1"/>
      <c r="L719" s="2"/>
      <c r="M719" s="2"/>
      <c r="N719" s="2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4"/>
    </row>
    <row r="720" ht="14.25" customHeight="1">
      <c r="G720" s="1"/>
      <c r="L720" s="2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4"/>
    </row>
    <row r="721" ht="14.25" customHeight="1">
      <c r="G721" s="1"/>
      <c r="L721" s="2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4"/>
    </row>
    <row r="722" ht="14.25" customHeight="1">
      <c r="G722" s="1"/>
      <c r="L722" s="2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4"/>
    </row>
    <row r="723" ht="14.25" customHeight="1">
      <c r="G723" s="1"/>
      <c r="L723" s="2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4"/>
    </row>
    <row r="724" ht="14.25" customHeight="1">
      <c r="G724" s="1"/>
      <c r="L724" s="2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4"/>
    </row>
    <row r="725" ht="14.25" customHeight="1">
      <c r="G725" s="1"/>
      <c r="L725" s="2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4"/>
    </row>
    <row r="726" ht="14.25" customHeight="1">
      <c r="G726" s="1"/>
      <c r="L726" s="2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4"/>
    </row>
    <row r="727" ht="14.25" customHeight="1">
      <c r="G727" s="1"/>
      <c r="L727" s="2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4"/>
    </row>
    <row r="728" ht="14.25" customHeight="1">
      <c r="G728" s="1"/>
      <c r="L728" s="2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4"/>
    </row>
    <row r="729" ht="14.25" customHeight="1">
      <c r="G729" s="1"/>
      <c r="L729" s="2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4"/>
    </row>
    <row r="730" ht="14.25" customHeight="1">
      <c r="G730" s="1"/>
      <c r="L730" s="2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4"/>
    </row>
    <row r="731" ht="14.25" customHeight="1">
      <c r="G731" s="1"/>
      <c r="L731" s="2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4"/>
    </row>
    <row r="732" ht="14.25" customHeight="1">
      <c r="G732" s="1"/>
      <c r="L732" s="2"/>
      <c r="M732" s="2"/>
      <c r="N732" s="2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4"/>
    </row>
    <row r="733" ht="14.25" customHeight="1">
      <c r="G733" s="1"/>
      <c r="L733" s="2"/>
      <c r="M733" s="2"/>
      <c r="N733" s="2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4"/>
    </row>
    <row r="734" ht="14.25" customHeight="1">
      <c r="G734" s="1"/>
      <c r="L734" s="2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4"/>
    </row>
    <row r="735" ht="14.25" customHeight="1">
      <c r="G735" s="1"/>
      <c r="L735" s="2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4"/>
    </row>
    <row r="736" ht="14.25" customHeight="1">
      <c r="G736" s="1"/>
      <c r="L736" s="2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4"/>
    </row>
    <row r="737" ht="14.25" customHeight="1">
      <c r="G737" s="1"/>
      <c r="L737" s="2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4"/>
    </row>
    <row r="738" ht="14.25" customHeight="1">
      <c r="G738" s="1"/>
      <c r="L738" s="2"/>
      <c r="M738" s="2"/>
      <c r="N738" s="2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4"/>
    </row>
    <row r="739" ht="14.25" customHeight="1">
      <c r="G739" s="1"/>
      <c r="L739" s="2"/>
      <c r="M739" s="2"/>
      <c r="N739" s="2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4"/>
    </row>
    <row r="740" ht="14.25" customHeight="1">
      <c r="G740" s="1"/>
      <c r="L740" s="2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4"/>
    </row>
    <row r="741" ht="14.25" customHeight="1">
      <c r="G741" s="1"/>
      <c r="L741" s="2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4"/>
    </row>
    <row r="742" ht="14.25" customHeight="1">
      <c r="G742" s="1"/>
      <c r="L742" s="2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4"/>
    </row>
    <row r="743" ht="14.25" customHeight="1">
      <c r="G743" s="1"/>
      <c r="L743" s="2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4"/>
    </row>
    <row r="744" ht="14.25" customHeight="1">
      <c r="G744" s="1"/>
      <c r="L744" s="2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4"/>
    </row>
    <row r="745" ht="14.25" customHeight="1">
      <c r="G745" s="1"/>
      <c r="L745" s="2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4"/>
    </row>
    <row r="746" ht="14.25" customHeight="1">
      <c r="G746" s="1"/>
      <c r="L746" s="2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4"/>
    </row>
    <row r="747" ht="14.25" customHeight="1">
      <c r="G747" s="1"/>
      <c r="L747" s="2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4"/>
    </row>
    <row r="748" ht="14.25" customHeight="1">
      <c r="G748" s="1"/>
      <c r="L748" s="2"/>
      <c r="M748" s="2"/>
      <c r="N748" s="2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4"/>
    </row>
    <row r="749" ht="14.25" customHeight="1">
      <c r="G749" s="1"/>
      <c r="L749" s="2"/>
      <c r="M749" s="2"/>
      <c r="N749" s="2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4"/>
    </row>
    <row r="750" ht="14.25" customHeight="1">
      <c r="G750" s="1"/>
      <c r="L750" s="2"/>
      <c r="M750" s="2"/>
      <c r="N750" s="2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4"/>
    </row>
    <row r="751" ht="14.25" customHeight="1">
      <c r="G751" s="1"/>
      <c r="L751" s="2"/>
      <c r="M751" s="2"/>
      <c r="N751" s="2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4"/>
    </row>
    <row r="752" ht="14.25" customHeight="1">
      <c r="G752" s="1"/>
      <c r="L752" s="2"/>
      <c r="M752" s="2"/>
      <c r="N752" s="2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4"/>
    </row>
    <row r="753" ht="14.25" customHeight="1">
      <c r="G753" s="1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4"/>
    </row>
    <row r="754" ht="14.25" customHeight="1">
      <c r="G754" s="1"/>
      <c r="L754" s="2"/>
      <c r="M754" s="2"/>
      <c r="N754" s="2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4"/>
    </row>
    <row r="755" ht="14.25" customHeight="1">
      <c r="G755" s="1"/>
      <c r="L755" s="2"/>
      <c r="M755" s="2"/>
      <c r="N755" s="2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4"/>
    </row>
    <row r="756" ht="14.25" customHeight="1">
      <c r="G756" s="1"/>
      <c r="L756" s="2"/>
      <c r="M756" s="2"/>
      <c r="N756" s="2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4"/>
    </row>
    <row r="757" ht="14.25" customHeight="1">
      <c r="G757" s="1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4"/>
    </row>
    <row r="758" ht="14.25" customHeight="1">
      <c r="G758" s="1"/>
      <c r="L758" s="2"/>
      <c r="M758" s="2"/>
      <c r="N758" s="2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4"/>
    </row>
    <row r="759" ht="14.25" customHeight="1">
      <c r="G759" s="1"/>
      <c r="L759" s="2"/>
      <c r="M759" s="2"/>
      <c r="N759" s="2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4"/>
    </row>
    <row r="760" ht="14.25" customHeight="1">
      <c r="G760" s="1"/>
      <c r="L760" s="2"/>
      <c r="M760" s="2"/>
      <c r="N760" s="2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4"/>
    </row>
    <row r="761" ht="14.25" customHeight="1">
      <c r="G761" s="1"/>
      <c r="L761" s="2"/>
      <c r="M761" s="2"/>
      <c r="N761" s="2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4"/>
    </row>
    <row r="762" ht="14.25" customHeight="1">
      <c r="G762" s="1"/>
      <c r="L762" s="2"/>
      <c r="M762" s="2"/>
      <c r="N762" s="2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4"/>
    </row>
    <row r="763" ht="14.25" customHeight="1">
      <c r="G763" s="1"/>
      <c r="L763" s="2"/>
      <c r="M763" s="2"/>
      <c r="N763" s="2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4"/>
    </row>
    <row r="764" ht="14.25" customHeight="1">
      <c r="G764" s="1"/>
      <c r="L764" s="2"/>
      <c r="M764" s="2"/>
      <c r="N764" s="2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4"/>
    </row>
    <row r="765" ht="14.25" customHeight="1">
      <c r="G765" s="1"/>
      <c r="L765" s="2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4"/>
    </row>
    <row r="766" ht="14.25" customHeight="1">
      <c r="G766" s="1"/>
      <c r="L766" s="2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4"/>
    </row>
    <row r="767" ht="14.25" customHeight="1">
      <c r="G767" s="1"/>
      <c r="L767" s="2"/>
      <c r="M767" s="2"/>
      <c r="N767" s="2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4"/>
    </row>
    <row r="768" ht="14.25" customHeight="1">
      <c r="G768" s="1"/>
      <c r="L768" s="2"/>
      <c r="M768" s="2"/>
      <c r="N768" s="2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4"/>
    </row>
    <row r="769" ht="14.25" customHeight="1">
      <c r="G769" s="1"/>
      <c r="L769" s="2"/>
      <c r="M769" s="2"/>
      <c r="N769" s="2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4"/>
    </row>
    <row r="770" ht="14.25" customHeight="1">
      <c r="G770" s="1"/>
      <c r="L770" s="2"/>
      <c r="M770" s="2"/>
      <c r="N770" s="2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4"/>
    </row>
    <row r="771" ht="14.25" customHeight="1">
      <c r="G771" s="1"/>
      <c r="L771" s="2"/>
      <c r="M771" s="2"/>
      <c r="N771" s="2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4"/>
    </row>
    <row r="772" ht="14.25" customHeight="1">
      <c r="G772" s="1"/>
      <c r="L772" s="2"/>
      <c r="M772" s="2"/>
      <c r="N772" s="2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4"/>
    </row>
    <row r="773" ht="14.25" customHeight="1">
      <c r="G773" s="1"/>
      <c r="L773" s="2"/>
      <c r="M773" s="2"/>
      <c r="N773" s="2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4"/>
    </row>
    <row r="774" ht="14.25" customHeight="1">
      <c r="G774" s="1"/>
      <c r="L774" s="2"/>
      <c r="M774" s="2"/>
      <c r="N774" s="2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4"/>
    </row>
    <row r="775" ht="14.25" customHeight="1">
      <c r="G775" s="1"/>
      <c r="L775" s="2"/>
      <c r="M775" s="2"/>
      <c r="N775" s="2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4"/>
    </row>
    <row r="776" ht="14.25" customHeight="1">
      <c r="G776" s="1"/>
      <c r="L776" s="2"/>
      <c r="M776" s="2"/>
      <c r="N776" s="2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4"/>
    </row>
    <row r="777" ht="14.25" customHeight="1">
      <c r="G777" s="1"/>
      <c r="L777" s="2"/>
      <c r="M777" s="2"/>
      <c r="N777" s="2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4"/>
    </row>
    <row r="778" ht="14.25" customHeight="1">
      <c r="G778" s="1"/>
      <c r="L778" s="2"/>
      <c r="M778" s="2"/>
      <c r="N778" s="2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4"/>
    </row>
    <row r="779" ht="14.25" customHeight="1">
      <c r="G779" s="1"/>
      <c r="L779" s="2"/>
      <c r="M779" s="2"/>
      <c r="N779" s="2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4"/>
    </row>
    <row r="780" ht="14.25" customHeight="1">
      <c r="G780" s="1"/>
      <c r="L780" s="2"/>
      <c r="M780" s="2"/>
      <c r="N780" s="2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4"/>
    </row>
    <row r="781" ht="14.25" customHeight="1">
      <c r="G781" s="1"/>
      <c r="L781" s="2"/>
      <c r="M781" s="2"/>
      <c r="N781" s="2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4"/>
    </row>
    <row r="782" ht="14.25" customHeight="1">
      <c r="G782" s="1"/>
      <c r="L782" s="2"/>
      <c r="M782" s="2"/>
      <c r="N782" s="2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4"/>
    </row>
    <row r="783" ht="14.25" customHeight="1">
      <c r="G783" s="1"/>
      <c r="L783" s="2"/>
      <c r="M783" s="2"/>
      <c r="N783" s="2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4"/>
    </row>
    <row r="784" ht="14.25" customHeight="1">
      <c r="G784" s="1"/>
      <c r="L784" s="2"/>
      <c r="M784" s="2"/>
      <c r="N784" s="2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4"/>
    </row>
    <row r="785" ht="14.25" customHeight="1">
      <c r="G785" s="1"/>
      <c r="L785" s="2"/>
      <c r="M785" s="2"/>
      <c r="N785" s="2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4"/>
    </row>
    <row r="786" ht="14.25" customHeight="1">
      <c r="G786" s="1"/>
      <c r="L786" s="2"/>
      <c r="M786" s="2"/>
      <c r="N786" s="2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4"/>
    </row>
    <row r="787" ht="14.25" customHeight="1">
      <c r="G787" s="1"/>
      <c r="L787" s="2"/>
      <c r="M787" s="2"/>
      <c r="N787" s="2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4"/>
    </row>
    <row r="788" ht="14.25" customHeight="1">
      <c r="G788" s="1"/>
      <c r="L788" s="2"/>
      <c r="M788" s="2"/>
      <c r="N788" s="2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4"/>
    </row>
    <row r="789" ht="14.25" customHeight="1">
      <c r="G789" s="1"/>
      <c r="L789" s="2"/>
      <c r="M789" s="2"/>
      <c r="N789" s="2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4"/>
    </row>
    <row r="790" ht="14.25" customHeight="1">
      <c r="G790" s="1"/>
      <c r="L790" s="2"/>
      <c r="M790" s="2"/>
      <c r="N790" s="2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4"/>
    </row>
    <row r="791" ht="14.25" customHeight="1">
      <c r="G791" s="1"/>
      <c r="L791" s="2"/>
      <c r="M791" s="2"/>
      <c r="N791" s="2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4"/>
    </row>
    <row r="792" ht="14.25" customHeight="1">
      <c r="G792" s="1"/>
      <c r="L792" s="2"/>
      <c r="M792" s="2"/>
      <c r="N792" s="2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4"/>
    </row>
    <row r="793" ht="14.25" customHeight="1">
      <c r="G793" s="1"/>
      <c r="L793" s="2"/>
      <c r="M793" s="2"/>
      <c r="N793" s="2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4"/>
    </row>
    <row r="794" ht="14.25" customHeight="1">
      <c r="G794" s="1"/>
      <c r="L794" s="2"/>
      <c r="M794" s="2"/>
      <c r="N794" s="2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4"/>
    </row>
    <row r="795" ht="14.25" customHeight="1">
      <c r="G795" s="1"/>
      <c r="L795" s="2"/>
      <c r="M795" s="2"/>
      <c r="N795" s="2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4"/>
    </row>
    <row r="796" ht="14.25" customHeight="1">
      <c r="G796" s="1"/>
      <c r="L796" s="2"/>
      <c r="M796" s="2"/>
      <c r="N796" s="2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4"/>
    </row>
    <row r="797" ht="14.25" customHeight="1">
      <c r="G797" s="1"/>
      <c r="L797" s="2"/>
      <c r="M797" s="2"/>
      <c r="N797" s="2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4"/>
    </row>
    <row r="798" ht="14.25" customHeight="1">
      <c r="G798" s="1"/>
      <c r="L798" s="2"/>
      <c r="M798" s="2"/>
      <c r="N798" s="2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4"/>
    </row>
    <row r="799" ht="14.25" customHeight="1">
      <c r="G799" s="1"/>
      <c r="L799" s="2"/>
      <c r="M799" s="2"/>
      <c r="N799" s="2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4"/>
    </row>
    <row r="800" ht="14.25" customHeight="1">
      <c r="G800" s="1"/>
      <c r="L800" s="2"/>
      <c r="M800" s="2"/>
      <c r="N800" s="2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4"/>
    </row>
    <row r="801" ht="14.25" customHeight="1">
      <c r="G801" s="1"/>
      <c r="L801" s="2"/>
      <c r="M801" s="2"/>
      <c r="N801" s="2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4"/>
    </row>
    <row r="802" ht="14.25" customHeight="1">
      <c r="G802" s="1"/>
      <c r="L802" s="2"/>
      <c r="M802" s="2"/>
      <c r="N802" s="2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4"/>
    </row>
    <row r="803" ht="14.25" customHeight="1">
      <c r="G803" s="1"/>
      <c r="L803" s="2"/>
      <c r="M803" s="2"/>
      <c r="N803" s="2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4"/>
    </row>
    <row r="804" ht="14.25" customHeight="1">
      <c r="G804" s="1"/>
      <c r="L804" s="2"/>
      <c r="M804" s="2"/>
      <c r="N804" s="2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4"/>
    </row>
    <row r="805" ht="14.25" customHeight="1">
      <c r="G805" s="1"/>
      <c r="L805" s="2"/>
      <c r="M805" s="2"/>
      <c r="N805" s="2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4"/>
    </row>
    <row r="806" ht="14.25" customHeight="1">
      <c r="G806" s="1"/>
      <c r="L806" s="2"/>
      <c r="M806" s="2"/>
      <c r="N806" s="2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4"/>
    </row>
    <row r="807" ht="14.25" customHeight="1">
      <c r="G807" s="1"/>
      <c r="L807" s="2"/>
      <c r="M807" s="2"/>
      <c r="N807" s="2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4"/>
    </row>
    <row r="808" ht="14.25" customHeight="1">
      <c r="G808" s="1"/>
      <c r="L808" s="2"/>
      <c r="M808" s="2"/>
      <c r="N808" s="2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4"/>
    </row>
    <row r="809" ht="14.25" customHeight="1">
      <c r="G809" s="1"/>
      <c r="L809" s="2"/>
      <c r="M809" s="2"/>
      <c r="N809" s="2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4"/>
    </row>
    <row r="810" ht="14.25" customHeight="1">
      <c r="G810" s="1"/>
      <c r="L810" s="2"/>
      <c r="M810" s="2"/>
      <c r="N810" s="2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4"/>
    </row>
    <row r="811" ht="14.25" customHeight="1">
      <c r="G811" s="1"/>
      <c r="L811" s="2"/>
      <c r="M811" s="2"/>
      <c r="N811" s="2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4"/>
    </row>
    <row r="812" ht="14.25" customHeight="1">
      <c r="G812" s="1"/>
      <c r="L812" s="2"/>
      <c r="M812" s="2"/>
      <c r="N812" s="2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4"/>
    </row>
    <row r="813" ht="14.25" customHeight="1">
      <c r="G813" s="1"/>
      <c r="L813" s="2"/>
      <c r="M813" s="2"/>
      <c r="N813" s="2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4"/>
    </row>
    <row r="814" ht="14.25" customHeight="1">
      <c r="G814" s="1"/>
      <c r="L814" s="2"/>
      <c r="M814" s="2"/>
      <c r="N814" s="2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4"/>
    </row>
    <row r="815" ht="14.25" customHeight="1">
      <c r="G815" s="1"/>
      <c r="L815" s="2"/>
      <c r="M815" s="2"/>
      <c r="N815" s="2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4"/>
    </row>
    <row r="816" ht="14.25" customHeight="1">
      <c r="G816" s="1"/>
      <c r="L816" s="2"/>
      <c r="M816" s="2"/>
      <c r="N816" s="2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4"/>
    </row>
    <row r="817" ht="14.25" customHeight="1">
      <c r="G817" s="1"/>
      <c r="L817" s="2"/>
      <c r="M817" s="2"/>
      <c r="N817" s="2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4"/>
    </row>
    <row r="818" ht="14.25" customHeight="1">
      <c r="G818" s="1"/>
      <c r="L818" s="2"/>
      <c r="M818" s="2"/>
      <c r="N818" s="2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4"/>
    </row>
    <row r="819" ht="14.25" customHeight="1">
      <c r="G819" s="1"/>
      <c r="L819" s="2"/>
      <c r="M819" s="2"/>
      <c r="N819" s="2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4"/>
    </row>
    <row r="820" ht="14.25" customHeight="1">
      <c r="G820" s="1"/>
      <c r="L820" s="2"/>
      <c r="M820" s="2"/>
      <c r="N820" s="2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4"/>
    </row>
    <row r="821" ht="14.25" customHeight="1">
      <c r="G821" s="1"/>
      <c r="L821" s="2"/>
      <c r="M821" s="2"/>
      <c r="N821" s="2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4"/>
    </row>
    <row r="822" ht="14.25" customHeight="1">
      <c r="G822" s="1"/>
      <c r="L822" s="2"/>
      <c r="M822" s="2"/>
      <c r="N822" s="2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4"/>
    </row>
    <row r="823" ht="14.25" customHeight="1">
      <c r="G823" s="1"/>
      <c r="L823" s="2"/>
      <c r="M823" s="2"/>
      <c r="N823" s="2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4"/>
    </row>
    <row r="824" ht="14.25" customHeight="1">
      <c r="G824" s="1"/>
      <c r="L824" s="2"/>
      <c r="M824" s="2"/>
      <c r="N824" s="2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4"/>
    </row>
    <row r="825" ht="14.25" customHeight="1">
      <c r="G825" s="1"/>
      <c r="L825" s="2"/>
      <c r="M825" s="2"/>
      <c r="N825" s="2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4"/>
    </row>
    <row r="826" ht="14.25" customHeight="1">
      <c r="G826" s="1"/>
      <c r="L826" s="2"/>
      <c r="M826" s="2"/>
      <c r="N826" s="2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4"/>
    </row>
    <row r="827" ht="14.25" customHeight="1">
      <c r="G827" s="1"/>
      <c r="L827" s="2"/>
      <c r="M827" s="2"/>
      <c r="N827" s="2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4"/>
    </row>
    <row r="828" ht="14.25" customHeight="1">
      <c r="G828" s="1"/>
      <c r="L828" s="2"/>
      <c r="M828" s="2"/>
      <c r="N828" s="2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4"/>
    </row>
    <row r="829" ht="14.25" customHeight="1">
      <c r="G829" s="1"/>
      <c r="L829" s="2"/>
      <c r="M829" s="2"/>
      <c r="N829" s="2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4"/>
    </row>
    <row r="830" ht="14.25" customHeight="1">
      <c r="G830" s="1"/>
      <c r="L830" s="2"/>
      <c r="M830" s="2"/>
      <c r="N830" s="2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4"/>
    </row>
    <row r="831" ht="14.25" customHeight="1">
      <c r="G831" s="1"/>
      <c r="L831" s="2"/>
      <c r="M831" s="2"/>
      <c r="N831" s="2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4"/>
    </row>
    <row r="832" ht="14.25" customHeight="1">
      <c r="G832" s="1"/>
      <c r="L832" s="2"/>
      <c r="M832" s="2"/>
      <c r="N832" s="2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4"/>
    </row>
    <row r="833" ht="14.25" customHeight="1">
      <c r="G833" s="1"/>
      <c r="L833" s="2"/>
      <c r="M833" s="2"/>
      <c r="N833" s="2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4"/>
    </row>
    <row r="834" ht="14.25" customHeight="1">
      <c r="G834" s="1"/>
      <c r="L834" s="2"/>
      <c r="M834" s="2"/>
      <c r="N834" s="2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4"/>
    </row>
    <row r="835" ht="14.25" customHeight="1">
      <c r="G835" s="1"/>
      <c r="L835" s="2"/>
      <c r="M835" s="2"/>
      <c r="N835" s="2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4"/>
    </row>
    <row r="836" ht="14.25" customHeight="1">
      <c r="G836" s="1"/>
      <c r="L836" s="2"/>
      <c r="M836" s="2"/>
      <c r="N836" s="2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4"/>
    </row>
    <row r="837" ht="14.25" customHeight="1">
      <c r="G837" s="1"/>
      <c r="L837" s="2"/>
      <c r="M837" s="2"/>
      <c r="N837" s="2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4"/>
    </row>
    <row r="838" ht="14.25" customHeight="1">
      <c r="G838" s="1"/>
      <c r="L838" s="2"/>
      <c r="M838" s="2"/>
      <c r="N838" s="2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4"/>
    </row>
    <row r="839" ht="14.25" customHeight="1">
      <c r="G839" s="1"/>
      <c r="L839" s="2"/>
      <c r="M839" s="2"/>
      <c r="N839" s="2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4"/>
    </row>
    <row r="840" ht="14.25" customHeight="1">
      <c r="G840" s="1"/>
      <c r="L840" s="2"/>
      <c r="M840" s="2"/>
      <c r="N840" s="2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4"/>
    </row>
    <row r="841" ht="14.25" customHeight="1">
      <c r="G841" s="1"/>
      <c r="L841" s="2"/>
      <c r="M841" s="2"/>
      <c r="N841" s="2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4"/>
    </row>
    <row r="842" ht="14.25" customHeight="1">
      <c r="G842" s="1"/>
      <c r="L842" s="2"/>
      <c r="M842" s="2"/>
      <c r="N842" s="2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4"/>
    </row>
    <row r="843" ht="14.25" customHeight="1">
      <c r="G843" s="1"/>
      <c r="L843" s="2"/>
      <c r="M843" s="2"/>
      <c r="N843" s="2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4"/>
    </row>
    <row r="844" ht="14.25" customHeight="1">
      <c r="G844" s="1"/>
      <c r="L844" s="2"/>
      <c r="M844" s="2"/>
      <c r="N844" s="2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4"/>
    </row>
    <row r="845" ht="14.25" customHeight="1">
      <c r="G845" s="1"/>
      <c r="L845" s="2"/>
      <c r="M845" s="2"/>
      <c r="N845" s="2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4"/>
    </row>
    <row r="846" ht="14.25" customHeight="1">
      <c r="G846" s="1"/>
      <c r="L846" s="2"/>
      <c r="M846" s="2"/>
      <c r="N846" s="2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4"/>
    </row>
    <row r="847" ht="14.25" customHeight="1">
      <c r="G847" s="1"/>
      <c r="L847" s="2"/>
      <c r="M847" s="2"/>
      <c r="N847" s="2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4"/>
    </row>
    <row r="848" ht="14.25" customHeight="1">
      <c r="G848" s="1"/>
      <c r="L848" s="2"/>
      <c r="M848" s="2"/>
      <c r="N848" s="2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4"/>
    </row>
    <row r="849" ht="14.25" customHeight="1">
      <c r="G849" s="1"/>
      <c r="L849" s="2"/>
      <c r="M849" s="2"/>
      <c r="N849" s="2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4"/>
    </row>
    <row r="850" ht="14.25" customHeight="1">
      <c r="G850" s="1"/>
      <c r="L850" s="2"/>
      <c r="M850" s="2"/>
      <c r="N850" s="2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4"/>
    </row>
    <row r="851" ht="14.25" customHeight="1">
      <c r="G851" s="1"/>
      <c r="L851" s="2"/>
      <c r="M851" s="2"/>
      <c r="N851" s="2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4"/>
    </row>
    <row r="852" ht="14.25" customHeight="1">
      <c r="G852" s="1"/>
      <c r="L852" s="2"/>
      <c r="M852" s="2"/>
      <c r="N852" s="2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4"/>
    </row>
    <row r="853" ht="14.25" customHeight="1">
      <c r="G853" s="1"/>
      <c r="L853" s="2"/>
      <c r="M853" s="2"/>
      <c r="N853" s="2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4"/>
    </row>
    <row r="854" ht="14.25" customHeight="1">
      <c r="G854" s="1"/>
      <c r="L854" s="2"/>
      <c r="M854" s="2"/>
      <c r="N854" s="2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4"/>
    </row>
    <row r="855" ht="14.25" customHeight="1">
      <c r="G855" s="1"/>
      <c r="L855" s="2"/>
      <c r="M855" s="2"/>
      <c r="N855" s="2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4"/>
    </row>
    <row r="856" ht="14.25" customHeight="1">
      <c r="G856" s="1"/>
      <c r="L856" s="2"/>
      <c r="M856" s="2"/>
      <c r="N856" s="2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4"/>
    </row>
    <row r="857" ht="14.25" customHeight="1">
      <c r="G857" s="1"/>
      <c r="L857" s="2"/>
      <c r="M857" s="2"/>
      <c r="N857" s="2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4"/>
    </row>
    <row r="858" ht="14.25" customHeight="1">
      <c r="G858" s="1"/>
      <c r="L858" s="2"/>
      <c r="M858" s="2"/>
      <c r="N858" s="2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4"/>
    </row>
    <row r="859" ht="14.25" customHeight="1">
      <c r="G859" s="1"/>
      <c r="L859" s="2"/>
      <c r="M859" s="2"/>
      <c r="N859" s="2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4"/>
    </row>
    <row r="860" ht="14.25" customHeight="1">
      <c r="G860" s="1"/>
      <c r="L860" s="2"/>
      <c r="M860" s="2"/>
      <c r="N860" s="2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4"/>
    </row>
    <row r="861" ht="14.25" customHeight="1">
      <c r="G861" s="1"/>
      <c r="L861" s="2"/>
      <c r="M861" s="2"/>
      <c r="N861" s="2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4"/>
    </row>
    <row r="862" ht="14.25" customHeight="1">
      <c r="G862" s="1"/>
      <c r="L862" s="2"/>
      <c r="M862" s="2"/>
      <c r="N862" s="2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4"/>
    </row>
    <row r="863" ht="14.25" customHeight="1">
      <c r="G863" s="1"/>
      <c r="L863" s="2"/>
      <c r="M863" s="2"/>
      <c r="N863" s="2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4"/>
    </row>
    <row r="864" ht="14.25" customHeight="1">
      <c r="G864" s="1"/>
      <c r="L864" s="2"/>
      <c r="M864" s="2"/>
      <c r="N864" s="2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4"/>
    </row>
    <row r="865" ht="14.25" customHeight="1">
      <c r="G865" s="1"/>
      <c r="L865" s="2"/>
      <c r="M865" s="2"/>
      <c r="N865" s="2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4"/>
    </row>
    <row r="866" ht="14.25" customHeight="1">
      <c r="G866" s="1"/>
      <c r="L866" s="2"/>
      <c r="M866" s="2"/>
      <c r="N866" s="2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4"/>
    </row>
    <row r="867" ht="14.25" customHeight="1">
      <c r="G867" s="1"/>
      <c r="L867" s="2"/>
      <c r="M867" s="2"/>
      <c r="N867" s="2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4"/>
    </row>
    <row r="868" ht="14.25" customHeight="1">
      <c r="G868" s="1"/>
      <c r="L868" s="2"/>
      <c r="M868" s="2"/>
      <c r="N868" s="2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4"/>
    </row>
    <row r="869" ht="14.25" customHeight="1">
      <c r="G869" s="1"/>
      <c r="L869" s="2"/>
      <c r="M869" s="2"/>
      <c r="N869" s="2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4"/>
    </row>
    <row r="870" ht="14.25" customHeight="1">
      <c r="G870" s="1"/>
      <c r="L870" s="2"/>
      <c r="M870" s="2"/>
      <c r="N870" s="2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4"/>
    </row>
    <row r="871" ht="14.25" customHeight="1">
      <c r="G871" s="1"/>
      <c r="L871" s="2"/>
      <c r="M871" s="2"/>
      <c r="N871" s="2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4"/>
    </row>
    <row r="872" ht="14.25" customHeight="1">
      <c r="G872" s="1"/>
      <c r="L872" s="2"/>
      <c r="M872" s="2"/>
      <c r="N872" s="2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4"/>
    </row>
    <row r="873" ht="14.25" customHeight="1">
      <c r="G873" s="1"/>
      <c r="L873" s="2"/>
      <c r="M873" s="2"/>
      <c r="N873" s="2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4"/>
    </row>
    <row r="874" ht="14.25" customHeight="1">
      <c r="G874" s="1"/>
      <c r="L874" s="2"/>
      <c r="M874" s="2"/>
      <c r="N874" s="2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4"/>
    </row>
    <row r="875" ht="14.25" customHeight="1">
      <c r="G875" s="1"/>
      <c r="L875" s="2"/>
      <c r="M875" s="2"/>
      <c r="N875" s="2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4"/>
    </row>
    <row r="876" ht="14.25" customHeight="1">
      <c r="G876" s="1"/>
      <c r="L876" s="2"/>
      <c r="M876" s="2"/>
      <c r="N876" s="2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4"/>
    </row>
    <row r="877" ht="14.25" customHeight="1">
      <c r="G877" s="1"/>
      <c r="L877" s="2"/>
      <c r="M877" s="2"/>
      <c r="N877" s="2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4"/>
    </row>
    <row r="878" ht="14.25" customHeight="1">
      <c r="G878" s="1"/>
      <c r="L878" s="2"/>
      <c r="M878" s="2"/>
      <c r="N878" s="2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4"/>
    </row>
    <row r="879" ht="14.25" customHeight="1">
      <c r="G879" s="1"/>
      <c r="L879" s="2"/>
      <c r="M879" s="2"/>
      <c r="N879" s="2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4"/>
    </row>
    <row r="880" ht="14.25" customHeight="1">
      <c r="G880" s="1"/>
      <c r="L880" s="2"/>
      <c r="M880" s="2"/>
      <c r="N880" s="2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4"/>
    </row>
    <row r="881" ht="14.25" customHeight="1">
      <c r="G881" s="1"/>
      <c r="L881" s="2"/>
      <c r="M881" s="2"/>
      <c r="N881" s="2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4"/>
    </row>
    <row r="882" ht="14.25" customHeight="1">
      <c r="G882" s="1"/>
      <c r="L882" s="2"/>
      <c r="M882" s="2"/>
      <c r="N882" s="2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4"/>
    </row>
    <row r="883" ht="14.25" customHeight="1">
      <c r="G883" s="1"/>
      <c r="L883" s="2"/>
      <c r="M883" s="2"/>
      <c r="N883" s="2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4"/>
    </row>
    <row r="884" ht="14.25" customHeight="1">
      <c r="G884" s="1"/>
      <c r="L884" s="2"/>
      <c r="M884" s="2"/>
      <c r="N884" s="2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4"/>
    </row>
    <row r="885" ht="14.25" customHeight="1">
      <c r="G885" s="1"/>
      <c r="L885" s="2"/>
      <c r="M885" s="2"/>
      <c r="N885" s="2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4"/>
    </row>
    <row r="886" ht="14.25" customHeight="1">
      <c r="G886" s="1"/>
      <c r="L886" s="2"/>
      <c r="M886" s="2"/>
      <c r="N886" s="2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4"/>
    </row>
    <row r="887" ht="14.25" customHeight="1">
      <c r="G887" s="1"/>
      <c r="L887" s="2"/>
      <c r="M887" s="2"/>
      <c r="N887" s="2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4"/>
    </row>
    <row r="888" ht="14.25" customHeight="1">
      <c r="G888" s="1"/>
      <c r="L888" s="2"/>
      <c r="M888" s="2"/>
      <c r="N888" s="2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4"/>
    </row>
    <row r="889" ht="14.25" customHeight="1">
      <c r="G889" s="1"/>
      <c r="L889" s="2"/>
      <c r="M889" s="2"/>
      <c r="N889" s="2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4"/>
    </row>
    <row r="890" ht="14.25" customHeight="1">
      <c r="G890" s="1"/>
      <c r="L890" s="2"/>
      <c r="M890" s="2"/>
      <c r="N890" s="2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4"/>
    </row>
    <row r="891" ht="14.25" customHeight="1">
      <c r="G891" s="1"/>
      <c r="L891" s="2"/>
      <c r="M891" s="2"/>
      <c r="N891" s="2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4"/>
    </row>
    <row r="892" ht="14.25" customHeight="1">
      <c r="G892" s="1"/>
      <c r="L892" s="2"/>
      <c r="M892" s="2"/>
      <c r="N892" s="2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4"/>
    </row>
    <row r="893" ht="14.25" customHeight="1">
      <c r="G893" s="1"/>
      <c r="L893" s="2"/>
      <c r="M893" s="2"/>
      <c r="N893" s="2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4"/>
    </row>
    <row r="894" ht="14.25" customHeight="1">
      <c r="G894" s="1"/>
      <c r="L894" s="2"/>
      <c r="M894" s="2"/>
      <c r="N894" s="2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4"/>
    </row>
    <row r="895" ht="14.25" customHeight="1">
      <c r="G895" s="1"/>
      <c r="L895" s="2"/>
      <c r="M895" s="2"/>
      <c r="N895" s="2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4"/>
    </row>
    <row r="896" ht="14.25" customHeight="1">
      <c r="G896" s="1"/>
      <c r="L896" s="2"/>
      <c r="M896" s="2"/>
      <c r="N896" s="2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4"/>
    </row>
    <row r="897" ht="14.25" customHeight="1">
      <c r="G897" s="1"/>
      <c r="L897" s="2"/>
      <c r="M897" s="2"/>
      <c r="N897" s="2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4"/>
    </row>
    <row r="898" ht="14.25" customHeight="1">
      <c r="G898" s="1"/>
      <c r="L898" s="2"/>
      <c r="M898" s="2"/>
      <c r="N898" s="2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4"/>
    </row>
    <row r="899" ht="14.25" customHeight="1">
      <c r="G899" s="1"/>
      <c r="L899" s="2"/>
      <c r="M899" s="2"/>
      <c r="N899" s="2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4"/>
    </row>
    <row r="900" ht="14.25" customHeight="1">
      <c r="G900" s="1"/>
      <c r="L900" s="2"/>
      <c r="M900" s="2"/>
      <c r="N900" s="2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4"/>
    </row>
    <row r="901" ht="14.25" customHeight="1">
      <c r="G901" s="1"/>
      <c r="L901" s="2"/>
      <c r="M901" s="2"/>
      <c r="N901" s="2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4"/>
    </row>
    <row r="902" ht="14.25" customHeight="1">
      <c r="G902" s="1"/>
      <c r="L902" s="2"/>
      <c r="M902" s="2"/>
      <c r="N902" s="2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4"/>
    </row>
    <row r="903" ht="14.25" customHeight="1">
      <c r="G903" s="1"/>
      <c r="L903" s="2"/>
      <c r="M903" s="2"/>
      <c r="N903" s="2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4"/>
    </row>
    <row r="904" ht="14.25" customHeight="1">
      <c r="G904" s="1"/>
      <c r="L904" s="2"/>
      <c r="M904" s="2"/>
      <c r="N904" s="2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4"/>
    </row>
    <row r="905" ht="14.25" customHeight="1">
      <c r="G905" s="1"/>
      <c r="L905" s="2"/>
      <c r="M905" s="2"/>
      <c r="N905" s="2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4"/>
    </row>
    <row r="906" ht="14.25" customHeight="1">
      <c r="G906" s="1"/>
      <c r="L906" s="2"/>
      <c r="M906" s="2"/>
      <c r="N906" s="2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4"/>
    </row>
    <row r="907" ht="14.25" customHeight="1">
      <c r="G907" s="1"/>
      <c r="L907" s="2"/>
      <c r="M907" s="2"/>
      <c r="N907" s="2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4"/>
    </row>
    <row r="908" ht="14.25" customHeight="1">
      <c r="G908" s="1"/>
      <c r="L908" s="2"/>
      <c r="M908" s="2"/>
      <c r="N908" s="2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4"/>
    </row>
    <row r="909" ht="14.25" customHeight="1">
      <c r="G909" s="1"/>
      <c r="L909" s="2"/>
      <c r="M909" s="2"/>
      <c r="N909" s="2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4"/>
    </row>
    <row r="910" ht="14.25" customHeight="1">
      <c r="G910" s="1"/>
      <c r="L910" s="2"/>
      <c r="M910" s="2"/>
      <c r="N910" s="2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4"/>
    </row>
    <row r="911" ht="14.25" customHeight="1">
      <c r="G911" s="1"/>
      <c r="L911" s="2"/>
      <c r="M911" s="2"/>
      <c r="N911" s="2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4"/>
    </row>
    <row r="912" ht="14.25" customHeight="1">
      <c r="G912" s="1"/>
      <c r="L912" s="2"/>
      <c r="M912" s="2"/>
      <c r="N912" s="2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4"/>
    </row>
    <row r="913" ht="14.25" customHeight="1">
      <c r="G913" s="1"/>
      <c r="L913" s="2"/>
      <c r="M913" s="2"/>
      <c r="N913" s="2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4"/>
    </row>
    <row r="914" ht="14.25" customHeight="1">
      <c r="G914" s="1"/>
      <c r="L914" s="2"/>
      <c r="M914" s="2"/>
      <c r="N914" s="2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4"/>
    </row>
    <row r="915" ht="14.25" customHeight="1">
      <c r="G915" s="1"/>
      <c r="L915" s="2"/>
      <c r="M915" s="2"/>
      <c r="N915" s="2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4"/>
    </row>
    <row r="916" ht="14.25" customHeight="1">
      <c r="G916" s="1"/>
      <c r="L916" s="2"/>
      <c r="M916" s="2"/>
      <c r="N916" s="2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4"/>
    </row>
    <row r="917" ht="14.25" customHeight="1">
      <c r="G917" s="1"/>
      <c r="L917" s="2"/>
      <c r="M917" s="2"/>
      <c r="N917" s="2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4"/>
    </row>
    <row r="918" ht="14.25" customHeight="1">
      <c r="G918" s="1"/>
      <c r="L918" s="2"/>
      <c r="M918" s="2"/>
      <c r="N918" s="2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4"/>
    </row>
    <row r="919" ht="14.25" customHeight="1">
      <c r="G919" s="1"/>
      <c r="L919" s="2"/>
      <c r="M919" s="2"/>
      <c r="N919" s="2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4"/>
    </row>
    <row r="920" ht="14.25" customHeight="1">
      <c r="G920" s="1"/>
      <c r="L920" s="2"/>
      <c r="M920" s="2"/>
      <c r="N920" s="2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4"/>
    </row>
    <row r="921" ht="14.25" customHeight="1">
      <c r="G921" s="1"/>
      <c r="L921" s="2"/>
      <c r="M921" s="2"/>
      <c r="N921" s="2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4"/>
    </row>
    <row r="922" ht="14.25" customHeight="1">
      <c r="G922" s="1"/>
      <c r="L922" s="2"/>
      <c r="M922" s="2"/>
      <c r="N922" s="2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4"/>
    </row>
    <row r="923" ht="14.25" customHeight="1">
      <c r="G923" s="1"/>
      <c r="L923" s="2"/>
      <c r="M923" s="2"/>
      <c r="N923" s="2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4"/>
    </row>
    <row r="924" ht="14.25" customHeight="1">
      <c r="G924" s="1"/>
      <c r="L924" s="2"/>
      <c r="M924" s="2"/>
      <c r="N924" s="2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4"/>
    </row>
    <row r="925" ht="14.25" customHeight="1">
      <c r="G925" s="1"/>
      <c r="L925" s="2"/>
      <c r="M925" s="2"/>
      <c r="N925" s="2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4"/>
    </row>
    <row r="926" ht="14.25" customHeight="1">
      <c r="G926" s="1"/>
      <c r="L926" s="2"/>
      <c r="M926" s="2"/>
      <c r="N926" s="2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4"/>
    </row>
    <row r="927" ht="14.25" customHeight="1">
      <c r="G927" s="1"/>
      <c r="L927" s="2"/>
      <c r="M927" s="2"/>
      <c r="N927" s="2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4"/>
    </row>
    <row r="928" ht="14.25" customHeight="1">
      <c r="G928" s="1"/>
      <c r="L928" s="2"/>
      <c r="M928" s="2"/>
      <c r="N928" s="2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4"/>
    </row>
    <row r="929" ht="14.25" customHeight="1">
      <c r="G929" s="1"/>
      <c r="L929" s="2"/>
      <c r="M929" s="2"/>
      <c r="N929" s="2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4"/>
    </row>
    <row r="930" ht="14.25" customHeight="1">
      <c r="G930" s="1"/>
      <c r="L930" s="2"/>
      <c r="M930" s="2"/>
      <c r="N930" s="2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4"/>
    </row>
    <row r="931" ht="14.25" customHeight="1">
      <c r="G931" s="1"/>
      <c r="L931" s="2"/>
      <c r="M931" s="2"/>
      <c r="N931" s="2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4"/>
    </row>
    <row r="932" ht="14.25" customHeight="1">
      <c r="G932" s="1"/>
      <c r="L932" s="2"/>
      <c r="M932" s="2"/>
      <c r="N932" s="2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4"/>
    </row>
    <row r="933" ht="14.25" customHeight="1">
      <c r="G933" s="1"/>
      <c r="L933" s="2"/>
      <c r="M933" s="2"/>
      <c r="N933" s="2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4"/>
    </row>
    <row r="934" ht="14.25" customHeight="1">
      <c r="G934" s="1"/>
      <c r="L934" s="2"/>
      <c r="M934" s="2"/>
      <c r="N934" s="2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4"/>
    </row>
    <row r="935" ht="14.25" customHeight="1">
      <c r="G935" s="1"/>
      <c r="L935" s="2"/>
      <c r="M935" s="2"/>
      <c r="N935" s="2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4"/>
    </row>
    <row r="936" ht="14.25" customHeight="1">
      <c r="G936" s="1"/>
      <c r="L936" s="2"/>
      <c r="M936" s="2"/>
      <c r="N936" s="2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4"/>
    </row>
    <row r="937" ht="14.25" customHeight="1">
      <c r="G937" s="1"/>
      <c r="L937" s="2"/>
      <c r="M937" s="2"/>
      <c r="N937" s="2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4"/>
    </row>
    <row r="938" ht="14.25" customHeight="1">
      <c r="G938" s="1"/>
      <c r="L938" s="2"/>
      <c r="M938" s="2"/>
      <c r="N938" s="2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4"/>
    </row>
    <row r="939" ht="14.25" customHeight="1">
      <c r="G939" s="1"/>
      <c r="L939" s="2"/>
      <c r="M939" s="2"/>
      <c r="N939" s="2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4"/>
    </row>
    <row r="940" ht="14.25" customHeight="1">
      <c r="G940" s="1"/>
      <c r="L940" s="2"/>
      <c r="M940" s="2"/>
      <c r="N940" s="2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4"/>
    </row>
    <row r="941" ht="14.25" customHeight="1">
      <c r="G941" s="1"/>
      <c r="L941" s="2"/>
      <c r="M941" s="2"/>
      <c r="N941" s="2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4"/>
    </row>
    <row r="942" ht="14.25" customHeight="1">
      <c r="G942" s="1"/>
      <c r="L942" s="2"/>
      <c r="M942" s="2"/>
      <c r="N942" s="2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4"/>
    </row>
    <row r="943" ht="14.25" customHeight="1">
      <c r="G943" s="1"/>
      <c r="L943" s="2"/>
      <c r="M943" s="2"/>
      <c r="N943" s="2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4"/>
    </row>
    <row r="944" ht="14.25" customHeight="1">
      <c r="G944" s="1"/>
      <c r="L944" s="2"/>
      <c r="M944" s="2"/>
      <c r="N944" s="2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4"/>
    </row>
    <row r="945" ht="14.25" customHeight="1">
      <c r="G945" s="1"/>
      <c r="L945" s="2"/>
      <c r="M945" s="2"/>
      <c r="N945" s="2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4"/>
    </row>
    <row r="946" ht="14.25" customHeight="1">
      <c r="G946" s="1"/>
      <c r="L946" s="2"/>
      <c r="M946" s="2"/>
      <c r="N946" s="2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4"/>
    </row>
    <row r="947" ht="14.25" customHeight="1">
      <c r="G947" s="1"/>
      <c r="L947" s="2"/>
      <c r="M947" s="2"/>
      <c r="N947" s="2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4"/>
    </row>
    <row r="948" ht="14.25" customHeight="1">
      <c r="G948" s="1"/>
      <c r="L948" s="2"/>
      <c r="M948" s="2"/>
      <c r="N948" s="2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4"/>
    </row>
    <row r="949" ht="14.25" customHeight="1">
      <c r="G949" s="1"/>
      <c r="L949" s="2"/>
      <c r="M949" s="2"/>
      <c r="N949" s="2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4"/>
    </row>
    <row r="950" ht="14.25" customHeight="1">
      <c r="G950" s="1"/>
      <c r="L950" s="2"/>
      <c r="M950" s="2"/>
      <c r="N950" s="2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4"/>
    </row>
    <row r="951" ht="14.25" customHeight="1">
      <c r="G951" s="1"/>
      <c r="L951" s="2"/>
      <c r="M951" s="2"/>
      <c r="N951" s="2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4"/>
    </row>
    <row r="952" ht="14.25" customHeight="1">
      <c r="G952" s="1"/>
      <c r="L952" s="2"/>
      <c r="M952" s="2"/>
      <c r="N952" s="2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4"/>
    </row>
    <row r="953" ht="14.25" customHeight="1">
      <c r="G953" s="1"/>
      <c r="L953" s="2"/>
      <c r="M953" s="2"/>
      <c r="N953" s="2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4"/>
    </row>
    <row r="954" ht="14.25" customHeight="1">
      <c r="G954" s="1"/>
      <c r="L954" s="2"/>
      <c r="M954" s="2"/>
      <c r="N954" s="2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4"/>
    </row>
    <row r="955" ht="14.25" customHeight="1">
      <c r="G955" s="1"/>
      <c r="L955" s="2"/>
      <c r="M955" s="2"/>
      <c r="N955" s="2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4"/>
    </row>
    <row r="956" ht="14.25" customHeight="1">
      <c r="G956" s="1"/>
      <c r="L956" s="2"/>
      <c r="M956" s="2"/>
      <c r="N956" s="2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4"/>
    </row>
    <row r="957" ht="14.25" customHeight="1">
      <c r="G957" s="1"/>
      <c r="L957" s="2"/>
      <c r="M957" s="2"/>
      <c r="N957" s="2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4"/>
    </row>
    <row r="958" ht="14.25" customHeight="1">
      <c r="G958" s="1"/>
      <c r="L958" s="2"/>
      <c r="M958" s="2"/>
      <c r="N958" s="2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4"/>
    </row>
    <row r="959" ht="14.25" customHeight="1">
      <c r="G959" s="1"/>
      <c r="L959" s="2"/>
      <c r="M959" s="2"/>
      <c r="N959" s="2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4"/>
    </row>
    <row r="960" ht="14.25" customHeight="1">
      <c r="G960" s="1"/>
      <c r="L960" s="2"/>
      <c r="M960" s="2"/>
      <c r="N960" s="2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4"/>
    </row>
    <row r="961" ht="14.25" customHeight="1">
      <c r="G961" s="1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4"/>
    </row>
    <row r="962" ht="14.25" customHeight="1">
      <c r="G962" s="1"/>
      <c r="L962" s="2"/>
      <c r="M962" s="2"/>
      <c r="N962" s="2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4"/>
    </row>
    <row r="963" ht="14.25" customHeight="1">
      <c r="G963" s="1"/>
      <c r="L963" s="2"/>
      <c r="M963" s="2"/>
      <c r="N963" s="2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4"/>
    </row>
    <row r="964" ht="14.25" customHeight="1">
      <c r="G964" s="1"/>
      <c r="L964" s="2"/>
      <c r="M964" s="2"/>
      <c r="N964" s="2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4"/>
    </row>
    <row r="965" ht="14.25" customHeight="1">
      <c r="G965" s="1"/>
      <c r="L965" s="2"/>
      <c r="M965" s="2"/>
      <c r="N965" s="2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4"/>
    </row>
    <row r="966" ht="14.25" customHeight="1">
      <c r="G966" s="1"/>
      <c r="L966" s="2"/>
      <c r="M966" s="2"/>
      <c r="N966" s="2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4"/>
    </row>
    <row r="967" ht="14.25" customHeight="1">
      <c r="G967" s="1"/>
      <c r="L967" s="2"/>
      <c r="M967" s="2"/>
      <c r="N967" s="2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4"/>
    </row>
    <row r="968" ht="14.25" customHeight="1">
      <c r="G968" s="1"/>
      <c r="L968" s="2"/>
      <c r="M968" s="2"/>
      <c r="N968" s="2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4"/>
    </row>
    <row r="969" ht="14.25" customHeight="1">
      <c r="G969" s="1"/>
      <c r="L969" s="2"/>
      <c r="M969" s="2"/>
      <c r="N969" s="2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4"/>
    </row>
    <row r="970" ht="14.25" customHeight="1">
      <c r="G970" s="1"/>
      <c r="L970" s="2"/>
      <c r="M970" s="2"/>
      <c r="N970" s="2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4"/>
    </row>
    <row r="971" ht="14.25" customHeight="1">
      <c r="G971" s="1"/>
      <c r="L971" s="2"/>
      <c r="M971" s="2"/>
      <c r="N971" s="2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4"/>
    </row>
    <row r="972" ht="14.25" customHeight="1">
      <c r="G972" s="1"/>
      <c r="L972" s="2"/>
      <c r="M972" s="2"/>
      <c r="N972" s="2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4"/>
    </row>
    <row r="973" ht="14.25" customHeight="1">
      <c r="G973" s="1"/>
      <c r="L973" s="2"/>
      <c r="M973" s="2"/>
      <c r="N973" s="2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4"/>
    </row>
    <row r="974" ht="14.25" customHeight="1">
      <c r="G974" s="1"/>
      <c r="L974" s="2"/>
      <c r="M974" s="2"/>
      <c r="N974" s="2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4"/>
    </row>
    <row r="975" ht="14.25" customHeight="1">
      <c r="G975" s="1"/>
      <c r="L975" s="2"/>
      <c r="M975" s="2"/>
      <c r="N975" s="2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4"/>
    </row>
    <row r="976" ht="14.25" customHeight="1">
      <c r="G976" s="1"/>
      <c r="L976" s="2"/>
      <c r="M976" s="2"/>
      <c r="N976" s="2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4"/>
    </row>
    <row r="977" ht="14.25" customHeight="1">
      <c r="G977" s="1"/>
      <c r="L977" s="2"/>
      <c r="M977" s="2"/>
      <c r="N977" s="2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4"/>
    </row>
    <row r="978" ht="14.25" customHeight="1">
      <c r="G978" s="1"/>
      <c r="L978" s="2"/>
      <c r="M978" s="2"/>
      <c r="N978" s="2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4"/>
    </row>
    <row r="979" ht="14.25" customHeight="1">
      <c r="G979" s="1"/>
      <c r="L979" s="2"/>
      <c r="M979" s="2"/>
      <c r="N979" s="2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4"/>
    </row>
    <row r="980" ht="14.25" customHeight="1">
      <c r="G980" s="1"/>
      <c r="L980" s="2"/>
      <c r="M980" s="2"/>
      <c r="N980" s="2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4"/>
    </row>
    <row r="981" ht="14.25" customHeight="1">
      <c r="G981" s="1"/>
      <c r="L981" s="2"/>
      <c r="M981" s="2"/>
      <c r="N981" s="2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4"/>
    </row>
    <row r="982" ht="14.25" customHeight="1">
      <c r="G982" s="1"/>
      <c r="L982" s="2"/>
      <c r="M982" s="2"/>
      <c r="N982" s="2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4"/>
    </row>
    <row r="983" ht="14.25" customHeight="1">
      <c r="G983" s="1"/>
      <c r="L983" s="2"/>
      <c r="M983" s="2"/>
      <c r="N983" s="2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4"/>
    </row>
    <row r="984" ht="14.25" customHeight="1">
      <c r="G984" s="1"/>
      <c r="L984" s="2"/>
      <c r="M984" s="2"/>
      <c r="N984" s="2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4"/>
    </row>
    <row r="985" ht="14.25" customHeight="1">
      <c r="G985" s="1"/>
      <c r="L985" s="2"/>
      <c r="M985" s="2"/>
      <c r="N985" s="2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4"/>
    </row>
    <row r="986" ht="14.25" customHeight="1">
      <c r="G986" s="1"/>
      <c r="L986" s="2"/>
      <c r="M986" s="2"/>
      <c r="N986" s="2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4"/>
    </row>
    <row r="987" ht="14.25" customHeight="1">
      <c r="G987" s="1"/>
      <c r="L987" s="2"/>
      <c r="M987" s="2"/>
      <c r="N987" s="2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4"/>
    </row>
    <row r="988" ht="14.25" customHeight="1">
      <c r="G988" s="1"/>
      <c r="L988" s="2"/>
      <c r="M988" s="2"/>
      <c r="N988" s="2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4"/>
    </row>
    <row r="989" ht="14.25" customHeight="1">
      <c r="G989" s="1"/>
      <c r="L989" s="2"/>
      <c r="M989" s="2"/>
      <c r="N989" s="2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4"/>
    </row>
    <row r="990" ht="14.25" customHeight="1">
      <c r="G990" s="1"/>
      <c r="L990" s="2"/>
      <c r="M990" s="2"/>
      <c r="N990" s="2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4"/>
    </row>
    <row r="991" ht="14.25" customHeight="1">
      <c r="G991" s="1"/>
      <c r="L991" s="2"/>
      <c r="M991" s="2"/>
      <c r="N991" s="2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4"/>
    </row>
    <row r="992" ht="14.25" customHeight="1">
      <c r="G992" s="1"/>
      <c r="L992" s="2"/>
      <c r="M992" s="2"/>
      <c r="N992" s="2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4"/>
    </row>
    <row r="993" ht="14.25" customHeight="1">
      <c r="G993" s="1"/>
      <c r="L993" s="2"/>
      <c r="M993" s="2"/>
      <c r="N993" s="2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4"/>
    </row>
    <row r="994" ht="14.25" customHeight="1">
      <c r="G994" s="1"/>
      <c r="L994" s="2"/>
      <c r="M994" s="2"/>
      <c r="N994" s="2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4"/>
    </row>
    <row r="995" ht="14.25" customHeight="1">
      <c r="G995" s="1"/>
      <c r="L995" s="2"/>
      <c r="M995" s="2"/>
      <c r="N995" s="2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4"/>
    </row>
    <row r="996" ht="14.25" customHeight="1">
      <c r="G996" s="1"/>
      <c r="L996" s="2"/>
      <c r="M996" s="2"/>
      <c r="N996" s="2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4"/>
    </row>
    <row r="997" ht="14.25" customHeight="1">
      <c r="G997" s="1"/>
      <c r="L997" s="2"/>
      <c r="M997" s="2"/>
      <c r="N997" s="2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4"/>
    </row>
    <row r="998" ht="14.25" customHeight="1">
      <c r="G998" s="1"/>
      <c r="L998" s="2"/>
      <c r="M998" s="2"/>
      <c r="N998" s="2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4"/>
    </row>
    <row r="999" ht="14.25" customHeight="1">
      <c r="G999" s="1"/>
      <c r="L999" s="2"/>
      <c r="M999" s="2"/>
      <c r="N999" s="2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4"/>
    </row>
    <row r="1000" ht="14.25" customHeight="1">
      <c r="G1000" s="1"/>
      <c r="L1000" s="2"/>
      <c r="M1000" s="2"/>
      <c r="N1000" s="2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4"/>
    </row>
  </sheetData>
  <mergeCells count="43"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2:AB2"/>
    <mergeCell ref="A3:AB3"/>
    <mergeCell ref="A4:AA4"/>
    <mergeCell ref="A5:AB5"/>
    <mergeCell ref="A6:AB6"/>
    <mergeCell ref="A8:AB8"/>
    <mergeCell ref="A9:A10"/>
    <mergeCell ref="AB9:AB10"/>
    <mergeCell ref="A29:K29"/>
    <mergeCell ref="A31:H31"/>
    <mergeCell ref="J9:J10"/>
    <mergeCell ref="K9:K10"/>
    <mergeCell ref="A25:K25"/>
    <mergeCell ref="A26:K26"/>
    <mergeCell ref="A27:K27"/>
    <mergeCell ref="A28:K28"/>
    <mergeCell ref="A30:AB30"/>
    <mergeCell ref="B9:B10"/>
    <mergeCell ref="C9:C10"/>
    <mergeCell ref="D9:D10"/>
    <mergeCell ref="E9:E10"/>
    <mergeCell ref="F9:F10"/>
    <mergeCell ref="G9:G10"/>
    <mergeCell ref="H9:H10"/>
    <mergeCell ref="I9:I10"/>
    <mergeCell ref="L9:L10"/>
    <mergeCell ref="M9:M10"/>
    <mergeCell ref="N9:N10"/>
    <mergeCell ref="O9:O10"/>
    <mergeCell ref="AA31:AB31"/>
    <mergeCell ref="A32:AB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71"/>
    <col customWidth="1" min="3" max="3" width="11.43"/>
    <col customWidth="1" hidden="1" min="4" max="4" width="14.71"/>
    <col customWidth="1" min="5" max="5" width="17.29"/>
    <col customWidth="1" min="6" max="6" width="12.86"/>
    <col customWidth="1" min="7" max="7" width="11.14"/>
    <col customWidth="1" min="8" max="8" width="31.29"/>
    <col customWidth="1" min="9" max="9" width="9.71"/>
    <col customWidth="1" min="10" max="10" width="14.43"/>
    <col customWidth="1" min="11" max="11" width="14.29"/>
    <col customWidth="1" min="12" max="12" width="7.29"/>
    <col customWidth="1" min="13" max="13" width="12.43"/>
    <col customWidth="1" min="14" max="17" width="11.14"/>
    <col customWidth="1" min="18" max="18" width="16.71"/>
    <col customWidth="1" min="19" max="19" width="15.86"/>
    <col customWidth="1" min="20" max="20" width="9.71"/>
    <col customWidth="1" min="21" max="21" width="8.71"/>
    <col customWidth="1" min="22" max="22" width="20.0"/>
    <col customWidth="1" min="23" max="23" width="22.86"/>
    <col customWidth="1" min="24" max="26" width="8.71"/>
  </cols>
  <sheetData>
    <row r="1" ht="14.25" customHeight="1"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4"/>
    </row>
    <row r="2" ht="14.25" customHeight="1">
      <c r="A2" s="5" t="s">
        <v>158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ht="17.2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ht="14.25" customHeight="1">
      <c r="A6" s="11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ht="14.25" customHeight="1">
      <c r="A7" s="11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ht="14.25" customHeight="1">
      <c r="A8" s="11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ht="14.25" customHeight="1">
      <c r="A9" s="11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ht="14.25" customHeight="1">
      <c r="A10" s="11"/>
      <c r="B10" s="12"/>
      <c r="C10" s="12"/>
      <c r="D10" s="12"/>
      <c r="E10" s="12"/>
      <c r="F10" s="12"/>
      <c r="G10" s="12"/>
      <c r="H10" s="12"/>
      <c r="I10" s="13"/>
      <c r="J10" s="13"/>
      <c r="K10" s="13"/>
      <c r="L10" s="15"/>
      <c r="M10" s="15"/>
      <c r="N10" s="15"/>
      <c r="O10" s="15"/>
      <c r="P10" s="15"/>
      <c r="Q10" s="15"/>
      <c r="R10" s="15"/>
      <c r="S10" s="15"/>
      <c r="T10" s="16"/>
    </row>
    <row r="11" ht="18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ht="29.25" customHeight="1">
      <c r="A12" s="20" t="s">
        <v>12</v>
      </c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  <c r="G12" s="21" t="s">
        <v>18</v>
      </c>
      <c r="H12" s="21" t="s">
        <v>19</v>
      </c>
      <c r="I12" s="22" t="s">
        <v>20</v>
      </c>
      <c r="J12" s="22" t="s">
        <v>21</v>
      </c>
      <c r="K12" s="22" t="s">
        <v>22</v>
      </c>
      <c r="L12" s="23" t="s">
        <v>24</v>
      </c>
      <c r="M12" s="23" t="s">
        <v>25</v>
      </c>
      <c r="N12" s="23" t="s">
        <v>26</v>
      </c>
      <c r="O12" s="23" t="s">
        <v>28</v>
      </c>
      <c r="P12" s="25" t="s">
        <v>29</v>
      </c>
      <c r="Q12" s="26"/>
      <c r="R12" s="23" t="s">
        <v>32</v>
      </c>
      <c r="S12" s="23" t="s">
        <v>33</v>
      </c>
      <c r="T12" s="27" t="s">
        <v>34</v>
      </c>
    </row>
    <row r="13" ht="27.0" customHeight="1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 t="s">
        <v>35</v>
      </c>
      <c r="R13" s="30"/>
      <c r="S13" s="30"/>
      <c r="T13" s="33"/>
    </row>
    <row r="14" ht="14.25" customHeight="1">
      <c r="A14" s="42">
        <v>1.0</v>
      </c>
      <c r="B14" s="44">
        <v>45993.0</v>
      </c>
      <c r="C14" s="35">
        <v>45993.0</v>
      </c>
      <c r="D14" s="37" t="s">
        <v>38</v>
      </c>
      <c r="E14" s="37" t="s">
        <v>52</v>
      </c>
      <c r="F14" s="37" t="s">
        <v>137</v>
      </c>
      <c r="G14" s="42" t="s">
        <v>42</v>
      </c>
      <c r="H14" s="37" t="s">
        <v>51</v>
      </c>
      <c r="I14" s="48">
        <v>1.0</v>
      </c>
      <c r="J14" s="43">
        <v>7400000.0</v>
      </c>
      <c r="K14" s="43">
        <v>7300000.0</v>
      </c>
      <c r="L14" s="46"/>
      <c r="M14" s="47"/>
      <c r="N14" s="46"/>
      <c r="O14" s="47"/>
      <c r="P14" s="47"/>
      <c r="Q14" s="47"/>
      <c r="R14" s="47">
        <f t="shared" ref="R14:R27" si="1">J14+M14+O14+P14+Q14</f>
        <v>7400000</v>
      </c>
      <c r="S14" s="47">
        <f t="shared" ref="S14:S27" si="2">K14+M14+O14+P14+Q14</f>
        <v>7300000</v>
      </c>
      <c r="T14" s="52"/>
      <c r="U14" s="53"/>
      <c r="V14" s="54"/>
      <c r="W14" s="54"/>
      <c r="X14" s="53"/>
      <c r="Y14" s="53"/>
      <c r="Z14" s="53"/>
    </row>
    <row r="15" ht="14.25" customHeight="1">
      <c r="A15" s="42">
        <f t="shared" ref="A15:A27" si="3">A14+1</f>
        <v>2</v>
      </c>
      <c r="B15" s="44">
        <v>45995.0</v>
      </c>
      <c r="C15" s="35">
        <v>45996.0</v>
      </c>
      <c r="D15" s="37" t="s">
        <v>38</v>
      </c>
      <c r="E15" s="37" t="s">
        <v>52</v>
      </c>
      <c r="F15" s="37" t="s">
        <v>159</v>
      </c>
      <c r="G15" s="42" t="s">
        <v>42</v>
      </c>
      <c r="H15" s="37" t="s">
        <v>51</v>
      </c>
      <c r="I15" s="48">
        <v>1.0</v>
      </c>
      <c r="J15" s="43">
        <v>7400000.0</v>
      </c>
      <c r="K15" s="43">
        <v>7300000.0</v>
      </c>
      <c r="L15" s="57"/>
      <c r="M15" s="47"/>
      <c r="N15" s="57"/>
      <c r="O15" s="47"/>
      <c r="P15" s="47"/>
      <c r="Q15" s="47"/>
      <c r="R15" s="47">
        <f t="shared" si="1"/>
        <v>7400000</v>
      </c>
      <c r="S15" s="47">
        <f t="shared" si="2"/>
        <v>7300000</v>
      </c>
      <c r="T15" s="52"/>
      <c r="U15" s="53"/>
      <c r="V15" s="54"/>
      <c r="W15" s="54"/>
      <c r="X15" s="53"/>
      <c r="Y15" s="53"/>
      <c r="Z15" s="53"/>
    </row>
    <row r="16" ht="15.75" customHeight="1">
      <c r="A16" s="42">
        <f t="shared" si="3"/>
        <v>3</v>
      </c>
      <c r="B16" s="44">
        <v>45995.0</v>
      </c>
      <c r="C16" s="35">
        <v>45996.0</v>
      </c>
      <c r="D16" s="37" t="s">
        <v>38</v>
      </c>
      <c r="E16" s="37" t="s">
        <v>63</v>
      </c>
      <c r="F16" s="37" t="s">
        <v>160</v>
      </c>
      <c r="G16" s="42" t="s">
        <v>42</v>
      </c>
      <c r="H16" s="37" t="s">
        <v>161</v>
      </c>
      <c r="I16" s="48">
        <v>1.0</v>
      </c>
      <c r="J16" s="43">
        <v>6300000.0</v>
      </c>
      <c r="K16" s="43">
        <v>6300000.0</v>
      </c>
      <c r="L16" s="57"/>
      <c r="M16" s="47"/>
      <c r="N16" s="57"/>
      <c r="O16" s="47"/>
      <c r="P16" s="47"/>
      <c r="Q16" s="47"/>
      <c r="R16" s="47">
        <f t="shared" si="1"/>
        <v>6300000</v>
      </c>
      <c r="S16" s="47">
        <f t="shared" si="2"/>
        <v>6300000</v>
      </c>
      <c r="T16" s="52"/>
      <c r="U16" s="53"/>
      <c r="V16" s="53"/>
      <c r="W16" s="53"/>
      <c r="X16" s="53"/>
      <c r="Y16" s="53"/>
      <c r="Z16" s="53"/>
    </row>
    <row r="17" ht="14.25" customHeight="1">
      <c r="A17" s="42">
        <f t="shared" si="3"/>
        <v>4</v>
      </c>
      <c r="B17" s="44">
        <v>45996.0</v>
      </c>
      <c r="C17" s="35">
        <v>45996.0</v>
      </c>
      <c r="D17" s="37" t="s">
        <v>38</v>
      </c>
      <c r="E17" s="37" t="s">
        <v>52</v>
      </c>
      <c r="F17" s="37" t="s">
        <v>162</v>
      </c>
      <c r="G17" s="42" t="s">
        <v>42</v>
      </c>
      <c r="H17" s="37" t="s">
        <v>51</v>
      </c>
      <c r="I17" s="48">
        <v>1.0</v>
      </c>
      <c r="J17" s="43">
        <v>7400000.0</v>
      </c>
      <c r="K17" s="43">
        <v>7300000.0</v>
      </c>
      <c r="L17" s="57"/>
      <c r="M17" s="47"/>
      <c r="N17" s="57"/>
      <c r="O17" s="47"/>
      <c r="P17" s="47"/>
      <c r="Q17" s="47"/>
      <c r="R17" s="47">
        <f t="shared" si="1"/>
        <v>7400000</v>
      </c>
      <c r="S17" s="47">
        <f t="shared" si="2"/>
        <v>7300000</v>
      </c>
      <c r="T17" s="52"/>
      <c r="U17" s="53"/>
      <c r="V17" s="53"/>
      <c r="W17" s="53"/>
      <c r="X17" s="53"/>
      <c r="Y17" s="53"/>
      <c r="Z17" s="53"/>
    </row>
    <row r="18" ht="14.25" customHeight="1">
      <c r="A18" s="42">
        <f t="shared" si="3"/>
        <v>5</v>
      </c>
      <c r="B18" s="44">
        <v>45996.0</v>
      </c>
      <c r="C18" s="35">
        <v>45996.0</v>
      </c>
      <c r="D18" s="37" t="s">
        <v>38</v>
      </c>
      <c r="E18" s="37" t="s">
        <v>52</v>
      </c>
      <c r="F18" s="37" t="s">
        <v>163</v>
      </c>
      <c r="G18" s="42" t="s">
        <v>42</v>
      </c>
      <c r="H18" s="37" t="s">
        <v>51</v>
      </c>
      <c r="I18" s="48">
        <v>1.0</v>
      </c>
      <c r="J18" s="43">
        <v>7400000.0</v>
      </c>
      <c r="K18" s="43">
        <v>7300000.0</v>
      </c>
      <c r="L18" s="57"/>
      <c r="M18" s="47"/>
      <c r="N18" s="42"/>
      <c r="O18" s="47"/>
      <c r="P18" s="47"/>
      <c r="Q18" s="47"/>
      <c r="R18" s="47">
        <f t="shared" si="1"/>
        <v>7400000</v>
      </c>
      <c r="S18" s="47">
        <f t="shared" si="2"/>
        <v>7300000</v>
      </c>
      <c r="T18" s="52"/>
      <c r="U18" s="53"/>
      <c r="V18" s="53"/>
      <c r="W18" s="53"/>
      <c r="X18" s="53"/>
      <c r="Y18" s="53"/>
      <c r="Z18" s="53"/>
    </row>
    <row r="19" ht="17.25" customHeight="1">
      <c r="A19" s="42">
        <f t="shared" si="3"/>
        <v>6</v>
      </c>
      <c r="B19" s="44">
        <v>45999.0</v>
      </c>
      <c r="C19" s="35">
        <v>45999.0</v>
      </c>
      <c r="D19" s="37" t="s">
        <v>38</v>
      </c>
      <c r="E19" s="37" t="s">
        <v>75</v>
      </c>
      <c r="F19" s="37" t="s">
        <v>164</v>
      </c>
      <c r="G19" s="42" t="s">
        <v>42</v>
      </c>
      <c r="H19" s="37" t="s">
        <v>161</v>
      </c>
      <c r="I19" s="48">
        <v>1.0</v>
      </c>
      <c r="J19" s="43">
        <v>6300000.0</v>
      </c>
      <c r="K19" s="43">
        <v>6300000.0</v>
      </c>
      <c r="L19" s="57"/>
      <c r="M19" s="47"/>
      <c r="N19" s="57"/>
      <c r="O19" s="47"/>
      <c r="P19" s="47"/>
      <c r="Q19" s="47"/>
      <c r="R19" s="47">
        <f t="shared" si="1"/>
        <v>6300000</v>
      </c>
      <c r="S19" s="47">
        <f t="shared" si="2"/>
        <v>6300000</v>
      </c>
      <c r="T19" s="52"/>
      <c r="U19" s="53"/>
      <c r="V19" s="53"/>
      <c r="W19" s="53"/>
      <c r="X19" s="53"/>
      <c r="Y19" s="53"/>
      <c r="Z19" s="53"/>
    </row>
    <row r="20" ht="14.25" customHeight="1">
      <c r="A20" s="42">
        <f t="shared" si="3"/>
        <v>7</v>
      </c>
      <c r="B20" s="44">
        <v>46003.0</v>
      </c>
      <c r="C20" s="35">
        <v>46004.0</v>
      </c>
      <c r="D20" s="37" t="s">
        <v>38</v>
      </c>
      <c r="E20" s="37" t="s">
        <v>52</v>
      </c>
      <c r="F20" s="37" t="s">
        <v>165</v>
      </c>
      <c r="G20" s="42" t="s">
        <v>42</v>
      </c>
      <c r="H20" s="37" t="s">
        <v>51</v>
      </c>
      <c r="I20" s="48">
        <v>1.0</v>
      </c>
      <c r="J20" s="43">
        <v>7400000.0</v>
      </c>
      <c r="K20" s="43">
        <v>7300000.0</v>
      </c>
      <c r="L20" s="57"/>
      <c r="M20" s="47"/>
      <c r="N20" s="57"/>
      <c r="O20" s="47"/>
      <c r="P20" s="47"/>
      <c r="Q20" s="47"/>
      <c r="R20" s="47">
        <f t="shared" si="1"/>
        <v>7400000</v>
      </c>
      <c r="S20" s="47">
        <f t="shared" si="2"/>
        <v>7300000</v>
      </c>
      <c r="T20" s="52"/>
      <c r="U20" s="53"/>
      <c r="V20" s="53"/>
      <c r="W20" s="53"/>
      <c r="X20" s="53"/>
      <c r="Y20" s="53"/>
      <c r="Z20" s="53"/>
    </row>
    <row r="21" ht="14.25" customHeight="1">
      <c r="A21" s="42">
        <f t="shared" si="3"/>
        <v>8</v>
      </c>
      <c r="B21" s="44">
        <v>46003.0</v>
      </c>
      <c r="C21" s="35">
        <v>46004.0</v>
      </c>
      <c r="D21" s="37" t="s">
        <v>38</v>
      </c>
      <c r="E21" s="37" t="s">
        <v>63</v>
      </c>
      <c r="F21" s="68" t="s">
        <v>166</v>
      </c>
      <c r="G21" s="42" t="s">
        <v>42</v>
      </c>
      <c r="H21" s="37" t="s">
        <v>51</v>
      </c>
      <c r="I21" s="48">
        <v>1.0</v>
      </c>
      <c r="J21" s="43">
        <v>7400000.0</v>
      </c>
      <c r="K21" s="43">
        <v>7300000.0</v>
      </c>
      <c r="L21" s="57"/>
      <c r="M21" s="47"/>
      <c r="N21" s="57"/>
      <c r="O21" s="47"/>
      <c r="P21" s="47"/>
      <c r="Q21" s="47"/>
      <c r="R21" s="47">
        <f t="shared" si="1"/>
        <v>7400000</v>
      </c>
      <c r="S21" s="47">
        <f t="shared" si="2"/>
        <v>7300000</v>
      </c>
      <c r="T21" s="52"/>
      <c r="U21" s="53"/>
      <c r="V21" s="53"/>
      <c r="W21" s="53"/>
      <c r="X21" s="53"/>
      <c r="Y21" s="53"/>
      <c r="Z21" s="53"/>
    </row>
    <row r="22" ht="14.25" customHeight="1">
      <c r="A22" s="42">
        <f t="shared" si="3"/>
        <v>9</v>
      </c>
      <c r="B22" s="44">
        <v>46009.0</v>
      </c>
      <c r="C22" s="35">
        <v>46010.0</v>
      </c>
      <c r="D22" s="37"/>
      <c r="E22" s="37" t="s">
        <v>63</v>
      </c>
      <c r="F22" s="37" t="s">
        <v>167</v>
      </c>
      <c r="G22" s="42" t="s">
        <v>42</v>
      </c>
      <c r="H22" s="37" t="s">
        <v>51</v>
      </c>
      <c r="I22" s="48">
        <v>1.0</v>
      </c>
      <c r="J22" s="43">
        <v>7400000.0</v>
      </c>
      <c r="K22" s="43">
        <v>7300000.0</v>
      </c>
      <c r="L22" s="57"/>
      <c r="M22" s="47"/>
      <c r="N22" s="57"/>
      <c r="O22" s="47"/>
      <c r="P22" s="47"/>
      <c r="Q22" s="47"/>
      <c r="R22" s="47">
        <f t="shared" si="1"/>
        <v>7400000</v>
      </c>
      <c r="S22" s="47">
        <f t="shared" si="2"/>
        <v>7300000</v>
      </c>
      <c r="T22" s="52"/>
      <c r="U22" s="53"/>
      <c r="V22" s="53"/>
      <c r="W22" s="53"/>
      <c r="X22" s="53"/>
      <c r="Y22" s="53"/>
      <c r="Z22" s="53"/>
    </row>
    <row r="23" ht="14.25" customHeight="1">
      <c r="A23" s="42">
        <f t="shared" si="3"/>
        <v>10</v>
      </c>
      <c r="B23" s="44">
        <v>46014.0</v>
      </c>
      <c r="C23" s="35">
        <v>46014.0</v>
      </c>
      <c r="D23" s="37"/>
      <c r="E23" s="37" t="s">
        <v>52</v>
      </c>
      <c r="F23" s="37" t="s">
        <v>168</v>
      </c>
      <c r="G23" s="42" t="s">
        <v>42</v>
      </c>
      <c r="H23" s="37" t="s">
        <v>51</v>
      </c>
      <c r="I23" s="48">
        <v>1.0</v>
      </c>
      <c r="J23" s="43">
        <v>7400000.0</v>
      </c>
      <c r="K23" s="43">
        <v>7300000.0</v>
      </c>
      <c r="L23" s="57"/>
      <c r="M23" s="47"/>
      <c r="N23" s="57"/>
      <c r="O23" s="47"/>
      <c r="P23" s="47"/>
      <c r="Q23" s="47"/>
      <c r="R23" s="47">
        <f t="shared" si="1"/>
        <v>7400000</v>
      </c>
      <c r="S23" s="47">
        <f t="shared" si="2"/>
        <v>7300000</v>
      </c>
      <c r="T23" s="52"/>
      <c r="U23" s="53"/>
      <c r="V23" s="53"/>
      <c r="W23" s="53"/>
      <c r="X23" s="53"/>
      <c r="Y23" s="53"/>
      <c r="Z23" s="53"/>
    </row>
    <row r="24" ht="14.25" customHeight="1">
      <c r="A24" s="42">
        <f t="shared" si="3"/>
        <v>11</v>
      </c>
      <c r="B24" s="44"/>
      <c r="C24" s="35"/>
      <c r="D24" s="37"/>
      <c r="E24" s="37"/>
      <c r="F24" s="37"/>
      <c r="G24" s="42"/>
      <c r="H24" s="37"/>
      <c r="I24" s="48"/>
      <c r="J24" s="43"/>
      <c r="K24" s="43"/>
      <c r="L24" s="57"/>
      <c r="M24" s="47"/>
      <c r="N24" s="57"/>
      <c r="O24" s="47"/>
      <c r="P24" s="47"/>
      <c r="Q24" s="47"/>
      <c r="R24" s="47">
        <f t="shared" si="1"/>
        <v>0</v>
      </c>
      <c r="S24" s="47">
        <f t="shared" si="2"/>
        <v>0</v>
      </c>
      <c r="T24" s="52"/>
      <c r="U24" s="53"/>
      <c r="V24" s="53"/>
      <c r="W24" s="53"/>
      <c r="X24" s="53"/>
      <c r="Y24" s="53"/>
      <c r="Z24" s="53"/>
    </row>
    <row r="25" ht="14.25" customHeight="1">
      <c r="A25" s="42">
        <f t="shared" si="3"/>
        <v>12</v>
      </c>
      <c r="B25" s="44"/>
      <c r="C25" s="35"/>
      <c r="D25" s="37"/>
      <c r="E25" s="37"/>
      <c r="F25" s="68"/>
      <c r="G25" s="42"/>
      <c r="H25" s="37"/>
      <c r="I25" s="48"/>
      <c r="J25" s="43"/>
      <c r="K25" s="43"/>
      <c r="L25" s="42"/>
      <c r="M25" s="47"/>
      <c r="N25" s="57"/>
      <c r="O25" s="47"/>
      <c r="P25" s="47"/>
      <c r="Q25" s="47"/>
      <c r="R25" s="47">
        <f t="shared" si="1"/>
        <v>0</v>
      </c>
      <c r="S25" s="47">
        <f t="shared" si="2"/>
        <v>0</v>
      </c>
      <c r="T25" s="52"/>
      <c r="U25" s="53"/>
      <c r="V25" s="53"/>
      <c r="W25" s="53"/>
      <c r="X25" s="53"/>
      <c r="Y25" s="53"/>
      <c r="Z25" s="53"/>
    </row>
    <row r="26" ht="14.25" customHeight="1">
      <c r="A26" s="42">
        <f t="shared" si="3"/>
        <v>13</v>
      </c>
      <c r="B26" s="44"/>
      <c r="C26" s="35"/>
      <c r="D26" s="37"/>
      <c r="E26" s="37"/>
      <c r="F26" s="37"/>
      <c r="G26" s="42"/>
      <c r="H26" s="37"/>
      <c r="I26" s="48"/>
      <c r="J26" s="43"/>
      <c r="K26" s="43"/>
      <c r="L26" s="42"/>
      <c r="M26" s="47"/>
      <c r="N26" s="42"/>
      <c r="O26" s="47"/>
      <c r="P26" s="47"/>
      <c r="Q26" s="47"/>
      <c r="R26" s="47">
        <f t="shared" si="1"/>
        <v>0</v>
      </c>
      <c r="S26" s="47">
        <f t="shared" si="2"/>
        <v>0</v>
      </c>
      <c r="T26" s="52"/>
      <c r="U26" s="53"/>
      <c r="V26" s="53"/>
      <c r="W26" s="53"/>
      <c r="X26" s="53"/>
      <c r="Y26" s="53"/>
      <c r="Z26" s="53"/>
    </row>
    <row r="27" ht="14.25" customHeight="1">
      <c r="A27" s="42">
        <f t="shared" si="3"/>
        <v>14</v>
      </c>
      <c r="B27" s="44"/>
      <c r="C27" s="35"/>
      <c r="D27" s="37"/>
      <c r="E27" s="37"/>
      <c r="F27" s="37"/>
      <c r="G27" s="42"/>
      <c r="H27" s="37"/>
      <c r="I27" s="48"/>
      <c r="J27" s="43"/>
      <c r="K27" s="43"/>
      <c r="L27" s="57"/>
      <c r="M27" s="47"/>
      <c r="N27" s="57"/>
      <c r="O27" s="47"/>
      <c r="P27" s="47"/>
      <c r="Q27" s="47"/>
      <c r="R27" s="47">
        <f t="shared" si="1"/>
        <v>0</v>
      </c>
      <c r="S27" s="47">
        <f t="shared" si="2"/>
        <v>0</v>
      </c>
      <c r="T27" s="52"/>
      <c r="U27" s="53"/>
      <c r="V27" s="53"/>
      <c r="W27" s="53"/>
      <c r="X27" s="53"/>
      <c r="Y27" s="53"/>
      <c r="Z27" s="53"/>
    </row>
    <row r="28" ht="14.25" customHeight="1">
      <c r="A28" s="34"/>
      <c r="B28" s="36"/>
      <c r="C28" s="36"/>
      <c r="D28" s="35"/>
      <c r="E28" s="72"/>
      <c r="F28" s="72"/>
      <c r="G28" s="39"/>
      <c r="H28" s="70"/>
      <c r="I28" s="71"/>
      <c r="J28" s="43"/>
      <c r="K28" s="45"/>
      <c r="L28" s="75"/>
      <c r="M28" s="73"/>
      <c r="N28" s="76"/>
      <c r="O28" s="73"/>
      <c r="P28" s="73"/>
      <c r="Q28" s="73"/>
      <c r="R28" s="73"/>
      <c r="S28" s="77"/>
      <c r="T28" s="78"/>
    </row>
    <row r="29" ht="14.25" customHeight="1">
      <c r="A29" s="79" t="s">
        <v>73</v>
      </c>
      <c r="B29" s="80"/>
      <c r="C29" s="80"/>
      <c r="D29" s="80"/>
      <c r="E29" s="80"/>
      <c r="F29" s="80"/>
      <c r="G29" s="80"/>
      <c r="H29" s="81"/>
      <c r="I29" s="77">
        <f t="shared" ref="I29:O29" si="4">SUM(I14:I28)</f>
        <v>10</v>
      </c>
      <c r="J29" s="77">
        <f t="shared" si="4"/>
        <v>71800000</v>
      </c>
      <c r="K29" s="77">
        <f t="shared" si="4"/>
        <v>71000000</v>
      </c>
      <c r="L29" s="77">
        <f t="shared" si="4"/>
        <v>0</v>
      </c>
      <c r="M29" s="77">
        <f t="shared" si="4"/>
        <v>0</v>
      </c>
      <c r="N29" s="77">
        <f t="shared" si="4"/>
        <v>0</v>
      </c>
      <c r="O29" s="77">
        <f t="shared" si="4"/>
        <v>0</v>
      </c>
      <c r="P29" s="77"/>
      <c r="Q29" s="77"/>
      <c r="R29" s="77">
        <f t="shared" ref="R29:S29" si="5">SUM(R14:R28)</f>
        <v>71800000</v>
      </c>
      <c r="S29" s="77">
        <f t="shared" si="5"/>
        <v>71000000</v>
      </c>
      <c r="T29" s="78"/>
    </row>
    <row r="30" ht="17.25" customHeight="1">
      <c r="A30" s="79" t="s">
        <v>76</v>
      </c>
      <c r="B30" s="80"/>
      <c r="C30" s="80"/>
      <c r="D30" s="80"/>
      <c r="E30" s="80"/>
      <c r="F30" s="80"/>
      <c r="G30" s="80"/>
      <c r="H30" s="81"/>
      <c r="I30" s="83"/>
      <c r="J30" s="83"/>
      <c r="K30" s="83"/>
      <c r="L30" s="85"/>
      <c r="M30" s="85"/>
      <c r="N30" s="85"/>
      <c r="O30" s="85"/>
      <c r="P30" s="85"/>
      <c r="Q30" s="85"/>
      <c r="R30" s="85">
        <f t="shared" ref="R30:S30" si="6">SUM(R14:R28)</f>
        <v>71800000</v>
      </c>
      <c r="S30" s="85">
        <f t="shared" si="6"/>
        <v>71000000</v>
      </c>
      <c r="T30" s="87"/>
    </row>
    <row r="31" ht="17.25" customHeight="1">
      <c r="A31" s="79" t="s">
        <v>83</v>
      </c>
      <c r="B31" s="80"/>
      <c r="C31" s="80"/>
      <c r="D31" s="80"/>
      <c r="E31" s="80"/>
      <c r="F31" s="80"/>
      <c r="G31" s="80"/>
      <c r="H31" s="88"/>
      <c r="I31" s="89"/>
      <c r="J31" s="89"/>
      <c r="K31" s="90"/>
      <c r="L31" s="85"/>
      <c r="M31" s="85"/>
      <c r="N31" s="85"/>
      <c r="O31" s="85"/>
      <c r="P31" s="85"/>
      <c r="Q31" s="85"/>
      <c r="R31" s="85"/>
      <c r="S31" s="91">
        <f>S30-R30</f>
        <v>-800000</v>
      </c>
      <c r="T31" s="87"/>
    </row>
    <row r="32" ht="17.25" customHeight="1">
      <c r="A32" s="79" t="s">
        <v>86</v>
      </c>
      <c r="B32" s="80"/>
      <c r="C32" s="80"/>
      <c r="D32" s="80"/>
      <c r="E32" s="80"/>
      <c r="F32" s="80"/>
      <c r="G32" s="80"/>
      <c r="H32" s="81"/>
      <c r="I32" s="83"/>
      <c r="J32" s="83"/>
      <c r="K32" s="83"/>
      <c r="L32" s="85"/>
      <c r="M32" s="85"/>
      <c r="N32" s="85"/>
      <c r="O32" s="85"/>
      <c r="P32" s="85"/>
      <c r="Q32" s="85"/>
      <c r="R32" s="85"/>
      <c r="S32" s="85">
        <f>S30*0.08</f>
        <v>5680000</v>
      </c>
      <c r="T32" s="87"/>
    </row>
    <row r="33" ht="17.25" customHeight="1">
      <c r="A33" s="79" t="s">
        <v>88</v>
      </c>
      <c r="B33" s="80"/>
      <c r="C33" s="80"/>
      <c r="D33" s="80"/>
      <c r="E33" s="80"/>
      <c r="F33" s="80"/>
      <c r="G33" s="80"/>
      <c r="H33" s="81"/>
      <c r="I33" s="83"/>
      <c r="J33" s="83"/>
      <c r="K33" s="83"/>
      <c r="L33" s="85"/>
      <c r="M33" s="85"/>
      <c r="N33" s="85"/>
      <c r="O33" s="85"/>
      <c r="P33" s="85"/>
      <c r="Q33" s="85"/>
      <c r="R33" s="85"/>
      <c r="S33" s="85">
        <f>S30+S32</f>
        <v>76680000</v>
      </c>
      <c r="T33" s="87"/>
    </row>
    <row r="34" ht="14.25" customHeight="1">
      <c r="A34" s="93" t="s">
        <v>89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5"/>
    </row>
    <row r="35" ht="37.5" customHeight="1">
      <c r="A35" s="96"/>
      <c r="B35" s="97"/>
      <c r="C35" s="97"/>
      <c r="D35" s="97"/>
      <c r="E35" s="97"/>
      <c r="F35" s="98"/>
      <c r="G35" s="99"/>
      <c r="H35" s="99"/>
      <c r="I35" s="100"/>
      <c r="J35" s="100"/>
      <c r="K35" s="100"/>
      <c r="L35" s="101"/>
      <c r="M35" s="101"/>
      <c r="N35" s="101"/>
      <c r="O35" s="101"/>
      <c r="P35" s="101"/>
      <c r="Q35" s="101"/>
      <c r="R35" s="101"/>
      <c r="S35" s="102"/>
      <c r="T35" s="98"/>
    </row>
    <row r="36" ht="19.5" customHeight="1">
      <c r="A36" s="103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ht="14.25" customHeight="1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</row>
    <row r="38" ht="14.25" customHeight="1"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4"/>
    </row>
    <row r="39" ht="14.25" customHeight="1"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4"/>
    </row>
    <row r="40" ht="14.25" customHeight="1"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4"/>
    </row>
    <row r="41" ht="14.25" customHeight="1"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4"/>
    </row>
    <row r="42" ht="14.25" customHeight="1"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4"/>
    </row>
    <row r="43" ht="14.25" customHeight="1"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4"/>
    </row>
    <row r="44" ht="14.25" customHeight="1"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4"/>
    </row>
    <row r="45" ht="14.25" customHeight="1"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4"/>
    </row>
    <row r="46" ht="14.25" customHeight="1"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4"/>
    </row>
    <row r="47" ht="14.25" customHeight="1"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4"/>
    </row>
    <row r="48" ht="14.25" customHeight="1"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4"/>
    </row>
    <row r="49" ht="14.25" customHeight="1"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4"/>
    </row>
    <row r="50" ht="14.25" customHeight="1">
      <c r="I50" s="2"/>
      <c r="J50" s="2"/>
      <c r="K50" s="2"/>
      <c r="L50" s="3"/>
      <c r="M50" s="3"/>
      <c r="N50" s="3"/>
      <c r="O50" s="3"/>
      <c r="P50" s="3"/>
      <c r="Q50" s="3"/>
      <c r="R50" s="3"/>
      <c r="S50" s="3"/>
      <c r="T50" s="4"/>
    </row>
    <row r="51" ht="14.25" customHeight="1"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4"/>
    </row>
    <row r="52" ht="14.25" customHeight="1"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4"/>
    </row>
    <row r="53" ht="14.25" customHeight="1"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4"/>
    </row>
    <row r="54" ht="14.25" customHeight="1"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4"/>
    </row>
    <row r="55" ht="14.25" customHeight="1"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4"/>
    </row>
    <row r="56" ht="14.25" customHeight="1"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4"/>
    </row>
    <row r="57" ht="14.25" customHeight="1"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4"/>
    </row>
    <row r="58" ht="14.25" customHeight="1"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4"/>
    </row>
    <row r="59" ht="14.25" customHeight="1"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4"/>
    </row>
    <row r="60" ht="14.25" customHeight="1"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4"/>
    </row>
    <row r="61" ht="14.25" customHeight="1"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4"/>
    </row>
    <row r="62" ht="14.25" customHeight="1"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4"/>
    </row>
    <row r="63" ht="14.25" customHeight="1"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4"/>
    </row>
    <row r="64" ht="14.25" customHeight="1"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4"/>
    </row>
    <row r="65" ht="14.25" customHeight="1"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4"/>
    </row>
    <row r="66" ht="14.25" customHeight="1"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4"/>
    </row>
    <row r="67" ht="14.25" customHeight="1"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4"/>
    </row>
    <row r="68" ht="14.25" customHeight="1"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4"/>
    </row>
    <row r="69" ht="14.25" customHeight="1"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4"/>
    </row>
    <row r="70" ht="14.25" customHeight="1"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4"/>
    </row>
    <row r="71" ht="14.25" customHeight="1"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4"/>
    </row>
    <row r="72" ht="14.25" customHeight="1"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4"/>
    </row>
    <row r="73" ht="14.25" customHeight="1"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4"/>
    </row>
    <row r="74" ht="14.25" customHeight="1"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4"/>
    </row>
    <row r="75" ht="14.25" customHeight="1"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4"/>
    </row>
    <row r="76" ht="14.25" customHeight="1"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4"/>
    </row>
    <row r="77" ht="14.25" customHeight="1"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4"/>
    </row>
    <row r="78" ht="14.25" customHeight="1"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4"/>
    </row>
    <row r="79" ht="14.25" customHeight="1"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4"/>
    </row>
    <row r="80" ht="14.25" customHeight="1"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4"/>
    </row>
    <row r="81" ht="14.25" customHeight="1"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4"/>
    </row>
    <row r="82" ht="14.25" customHeight="1"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4"/>
    </row>
    <row r="83" ht="14.25" customHeight="1"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4"/>
    </row>
    <row r="84" ht="14.25" customHeight="1"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4"/>
    </row>
    <row r="85" ht="14.25" customHeight="1"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4"/>
    </row>
    <row r="86" ht="14.25" customHeight="1"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4"/>
    </row>
    <row r="87" ht="14.25" customHeight="1"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4"/>
    </row>
    <row r="88" ht="14.25" customHeight="1"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4"/>
    </row>
    <row r="89" ht="14.25" customHeight="1"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4"/>
    </row>
    <row r="90" ht="14.25" customHeight="1"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4"/>
    </row>
    <row r="91" ht="14.25" customHeight="1"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4"/>
    </row>
    <row r="92" ht="14.25" customHeight="1"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4"/>
    </row>
    <row r="93" ht="14.25" customHeight="1"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4"/>
    </row>
    <row r="94" ht="14.25" customHeight="1"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4"/>
    </row>
    <row r="95" ht="14.25" customHeight="1"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4"/>
    </row>
    <row r="96" ht="14.25" customHeight="1"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4"/>
    </row>
    <row r="97" ht="14.25" customHeight="1"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4"/>
    </row>
    <row r="98" ht="14.25" customHeight="1"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4"/>
    </row>
    <row r="99" ht="14.25" customHeight="1"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4"/>
    </row>
    <row r="100" ht="14.25" customHeight="1"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4"/>
    </row>
    <row r="101" ht="14.25" customHeight="1"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4"/>
    </row>
    <row r="102" ht="14.25" customHeight="1"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4"/>
    </row>
    <row r="103" ht="14.25" customHeight="1"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4"/>
    </row>
    <row r="104" ht="14.25" customHeight="1"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4"/>
    </row>
    <row r="105" ht="14.25" customHeight="1"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4"/>
    </row>
    <row r="106" ht="14.25" customHeight="1"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4"/>
    </row>
    <row r="107" ht="14.25" customHeight="1"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4"/>
    </row>
    <row r="108" ht="14.25" customHeight="1"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4"/>
    </row>
    <row r="109" ht="14.25" customHeight="1"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4"/>
    </row>
    <row r="110" ht="14.25" customHeight="1"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4"/>
    </row>
    <row r="111" ht="14.25" customHeight="1"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4"/>
    </row>
    <row r="112" ht="14.25" customHeight="1"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4"/>
    </row>
    <row r="113" ht="14.25" customHeight="1"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4"/>
    </row>
    <row r="114" ht="14.25" customHeight="1"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4"/>
    </row>
    <row r="115" ht="14.25" customHeight="1"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4"/>
    </row>
    <row r="116" ht="14.25" customHeight="1"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4"/>
    </row>
    <row r="117" ht="14.25" customHeight="1"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4"/>
    </row>
    <row r="118" ht="14.25" customHeight="1"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4"/>
    </row>
    <row r="119" ht="14.25" customHeight="1"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4"/>
    </row>
    <row r="120" ht="14.25" customHeight="1"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4"/>
    </row>
    <row r="121" ht="14.25" customHeight="1"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4"/>
    </row>
    <row r="122" ht="14.25" customHeight="1"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4"/>
    </row>
    <row r="123" ht="14.25" customHeight="1"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4"/>
    </row>
    <row r="124" ht="14.25" customHeight="1"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4"/>
    </row>
    <row r="125" ht="14.25" customHeight="1"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4"/>
    </row>
    <row r="126" ht="14.25" customHeight="1"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4"/>
    </row>
    <row r="127" ht="14.25" customHeight="1"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4"/>
    </row>
    <row r="128" ht="14.25" customHeight="1"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4"/>
    </row>
    <row r="129" ht="14.25" customHeight="1"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4"/>
    </row>
    <row r="130" ht="14.25" customHeight="1"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4"/>
    </row>
    <row r="131" ht="14.25" customHeight="1"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4"/>
    </row>
    <row r="132" ht="14.25" customHeight="1"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4"/>
    </row>
    <row r="133" ht="14.25" customHeight="1"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4"/>
    </row>
    <row r="134" ht="14.25" customHeight="1"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4"/>
    </row>
    <row r="135" ht="14.25" customHeight="1"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4"/>
    </row>
    <row r="136" ht="14.25" customHeight="1"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4"/>
    </row>
    <row r="137" ht="14.25" customHeight="1"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4"/>
    </row>
    <row r="138" ht="14.25" customHeight="1"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4"/>
    </row>
    <row r="139" ht="14.25" customHeight="1"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4"/>
    </row>
    <row r="140" ht="14.25" customHeight="1"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4"/>
    </row>
    <row r="141" ht="14.25" customHeight="1"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4"/>
    </row>
    <row r="142" ht="14.25" customHeight="1"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4"/>
    </row>
    <row r="143" ht="14.25" customHeight="1"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4"/>
    </row>
    <row r="144" ht="14.25" customHeight="1"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4"/>
    </row>
    <row r="145" ht="14.25" customHeight="1"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4"/>
    </row>
    <row r="146" ht="14.25" customHeight="1"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4"/>
    </row>
    <row r="147" ht="14.25" customHeight="1"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4"/>
    </row>
    <row r="148" ht="14.25" customHeight="1"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4"/>
    </row>
    <row r="149" ht="14.25" customHeight="1"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4"/>
    </row>
    <row r="150" ht="14.25" customHeight="1"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4"/>
    </row>
    <row r="151" ht="14.25" customHeight="1"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4"/>
    </row>
    <row r="152" ht="14.25" customHeight="1"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4"/>
    </row>
    <row r="153" ht="14.25" customHeight="1"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4"/>
    </row>
    <row r="154" ht="14.25" customHeight="1"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4"/>
    </row>
    <row r="155" ht="14.25" customHeight="1"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4"/>
    </row>
    <row r="156" ht="14.25" customHeight="1"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4"/>
    </row>
    <row r="157" ht="14.25" customHeight="1"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4"/>
    </row>
    <row r="158" ht="14.25" customHeight="1"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4"/>
    </row>
    <row r="159" ht="14.25" customHeight="1"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4"/>
    </row>
    <row r="160" ht="14.25" customHeight="1"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4"/>
    </row>
    <row r="161" ht="14.25" customHeight="1"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4"/>
    </row>
    <row r="162" ht="14.25" customHeight="1"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4"/>
    </row>
    <row r="163" ht="14.25" customHeight="1"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4"/>
    </row>
    <row r="164" ht="14.25" customHeight="1"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4"/>
    </row>
    <row r="165" ht="14.25" customHeight="1"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4"/>
    </row>
    <row r="166" ht="14.25" customHeight="1"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4"/>
    </row>
    <row r="167" ht="14.25" customHeight="1"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4"/>
    </row>
    <row r="168" ht="14.25" customHeight="1"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4"/>
    </row>
    <row r="169" ht="14.25" customHeight="1"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4"/>
    </row>
    <row r="170" ht="14.25" customHeight="1"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4"/>
    </row>
    <row r="171" ht="14.25" customHeight="1"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4"/>
    </row>
    <row r="172" ht="14.25" customHeight="1"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4"/>
    </row>
    <row r="173" ht="14.25" customHeight="1"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4"/>
    </row>
    <row r="174" ht="14.25" customHeight="1"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4"/>
    </row>
    <row r="175" ht="14.25" customHeight="1"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4"/>
    </row>
    <row r="176" ht="14.25" customHeight="1"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4"/>
    </row>
    <row r="177" ht="14.25" customHeight="1"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4"/>
    </row>
    <row r="178" ht="14.25" customHeight="1"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4"/>
    </row>
    <row r="179" ht="14.25" customHeight="1"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4"/>
    </row>
    <row r="180" ht="14.25" customHeight="1"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4"/>
    </row>
    <row r="181" ht="14.25" customHeight="1"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4"/>
    </row>
    <row r="182" ht="14.25" customHeight="1"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4"/>
    </row>
    <row r="183" ht="14.25" customHeight="1"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4"/>
    </row>
    <row r="184" ht="14.25" customHeight="1"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4"/>
    </row>
    <row r="185" ht="14.25" customHeight="1"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4"/>
    </row>
    <row r="186" ht="14.25" customHeight="1"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4"/>
    </row>
    <row r="187" ht="14.25" customHeight="1"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4"/>
    </row>
    <row r="188" ht="14.25" customHeight="1"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4"/>
    </row>
    <row r="189" ht="14.25" customHeight="1"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4"/>
    </row>
    <row r="190" ht="14.25" customHeight="1"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4"/>
    </row>
    <row r="191" ht="14.25" customHeight="1"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4"/>
    </row>
    <row r="192" ht="14.25" customHeight="1"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4"/>
    </row>
    <row r="193" ht="14.25" customHeight="1"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4"/>
    </row>
    <row r="194" ht="14.25" customHeight="1"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4"/>
    </row>
    <row r="195" ht="14.25" customHeight="1"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4"/>
    </row>
    <row r="196" ht="14.25" customHeight="1"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4"/>
    </row>
    <row r="197" ht="14.25" customHeight="1"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4"/>
    </row>
    <row r="198" ht="14.25" customHeight="1"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4"/>
    </row>
    <row r="199" ht="14.25" customHeight="1"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4"/>
    </row>
    <row r="200" ht="14.25" customHeight="1"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4"/>
    </row>
    <row r="201" ht="14.25" customHeight="1"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4"/>
    </row>
    <row r="202" ht="14.25" customHeight="1"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4"/>
    </row>
    <row r="203" ht="14.25" customHeight="1"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4"/>
    </row>
    <row r="204" ht="14.25" customHeight="1"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4"/>
    </row>
    <row r="205" ht="14.25" customHeight="1"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4"/>
    </row>
    <row r="206" ht="14.25" customHeight="1"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4"/>
    </row>
    <row r="207" ht="14.25" customHeight="1"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4"/>
    </row>
    <row r="208" ht="14.25" customHeight="1"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4"/>
    </row>
    <row r="209" ht="14.25" customHeight="1"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4"/>
    </row>
    <row r="210" ht="14.25" customHeight="1"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4"/>
    </row>
    <row r="211" ht="14.25" customHeight="1"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4"/>
    </row>
    <row r="212" ht="14.25" customHeight="1"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4"/>
    </row>
    <row r="213" ht="14.25" customHeight="1"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4"/>
    </row>
    <row r="214" ht="14.25" customHeight="1"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4"/>
    </row>
    <row r="215" ht="14.25" customHeight="1"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4"/>
    </row>
    <row r="216" ht="14.25" customHeight="1"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4"/>
    </row>
    <row r="217" ht="14.25" customHeight="1"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4"/>
    </row>
    <row r="218" ht="14.25" customHeight="1"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4"/>
    </row>
    <row r="219" ht="14.25" customHeight="1"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4"/>
    </row>
    <row r="220" ht="14.25" customHeight="1"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4"/>
    </row>
    <row r="221" ht="14.25" customHeight="1"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4"/>
    </row>
    <row r="222" ht="14.25" customHeight="1"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4"/>
    </row>
    <row r="223" ht="14.25" customHeight="1"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4"/>
    </row>
    <row r="224" ht="14.25" customHeight="1"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4"/>
    </row>
    <row r="225" ht="14.25" customHeight="1"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4"/>
    </row>
    <row r="226" ht="14.25" customHeight="1"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4"/>
    </row>
    <row r="227" ht="14.25" customHeight="1"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4"/>
    </row>
    <row r="228" ht="14.25" customHeight="1"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4"/>
    </row>
    <row r="229" ht="14.25" customHeight="1"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4"/>
    </row>
    <row r="230" ht="14.25" customHeight="1"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4"/>
    </row>
    <row r="231" ht="14.25" customHeight="1"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4"/>
    </row>
    <row r="232" ht="14.25" customHeight="1"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4"/>
    </row>
    <row r="233" ht="14.25" customHeight="1"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4"/>
    </row>
    <row r="234" ht="14.25" customHeight="1"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4"/>
    </row>
    <row r="235" ht="14.25" customHeight="1"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4"/>
    </row>
    <row r="236" ht="14.25" customHeight="1"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4"/>
    </row>
    <row r="237" ht="14.25" customHeight="1"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4"/>
    </row>
    <row r="238" ht="14.25" customHeight="1"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4"/>
    </row>
    <row r="239" ht="14.25" customHeight="1"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4"/>
    </row>
    <row r="240" ht="14.25" customHeight="1"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4"/>
    </row>
    <row r="241" ht="14.25" customHeight="1"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4"/>
    </row>
    <row r="242" ht="14.25" customHeight="1"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4"/>
    </row>
    <row r="243" ht="14.25" customHeight="1"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4"/>
    </row>
    <row r="244" ht="14.25" customHeight="1"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4"/>
    </row>
    <row r="245" ht="14.25" customHeight="1"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4"/>
    </row>
    <row r="246" ht="14.25" customHeight="1"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4"/>
    </row>
    <row r="247" ht="14.25" customHeight="1"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4"/>
    </row>
    <row r="248" ht="14.25" customHeight="1"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4"/>
    </row>
    <row r="249" ht="14.25" customHeight="1"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4"/>
    </row>
    <row r="250" ht="14.25" customHeight="1"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4"/>
    </row>
    <row r="251" ht="14.25" customHeight="1"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4"/>
    </row>
    <row r="252" ht="14.25" customHeight="1"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4"/>
    </row>
    <row r="253" ht="14.25" customHeight="1"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4"/>
    </row>
    <row r="254" ht="14.25" customHeight="1"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4"/>
    </row>
    <row r="255" ht="14.25" customHeight="1"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4"/>
    </row>
    <row r="256" ht="14.25" customHeight="1"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4"/>
    </row>
    <row r="257" ht="14.25" customHeight="1"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4"/>
    </row>
    <row r="258" ht="14.25" customHeight="1"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4"/>
    </row>
    <row r="259" ht="14.25" customHeight="1"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4"/>
    </row>
    <row r="260" ht="14.25" customHeight="1"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4"/>
    </row>
    <row r="261" ht="14.25" customHeight="1"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4"/>
    </row>
    <row r="262" ht="14.25" customHeight="1"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4"/>
    </row>
    <row r="263" ht="14.25" customHeight="1"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4"/>
    </row>
    <row r="264" ht="14.25" customHeight="1"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4"/>
    </row>
    <row r="265" ht="14.25" customHeight="1"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4"/>
    </row>
    <row r="266" ht="14.25" customHeight="1"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4"/>
    </row>
    <row r="267" ht="14.25" customHeight="1"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4"/>
    </row>
    <row r="268" ht="14.25" customHeight="1"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4"/>
    </row>
    <row r="269" ht="14.25" customHeight="1"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4"/>
    </row>
    <row r="270" ht="14.25" customHeight="1"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4"/>
    </row>
    <row r="271" ht="14.25" customHeight="1"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4"/>
    </row>
    <row r="272" ht="14.25" customHeight="1"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4"/>
    </row>
    <row r="273" ht="14.25" customHeight="1"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4"/>
    </row>
    <row r="274" ht="14.25" customHeight="1"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4"/>
    </row>
    <row r="275" ht="14.25" customHeight="1"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4"/>
    </row>
    <row r="276" ht="14.25" customHeight="1"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4"/>
    </row>
    <row r="277" ht="14.25" customHeight="1"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4"/>
    </row>
    <row r="278" ht="14.25" customHeight="1"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4"/>
    </row>
    <row r="279" ht="14.25" customHeight="1"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4"/>
    </row>
    <row r="280" ht="14.25" customHeight="1"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4"/>
    </row>
    <row r="281" ht="14.25" customHeight="1"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4"/>
    </row>
    <row r="282" ht="14.25" customHeight="1"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4"/>
    </row>
    <row r="283" ht="14.25" customHeight="1"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4"/>
    </row>
    <row r="284" ht="14.25" customHeight="1"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4"/>
    </row>
    <row r="285" ht="14.25" customHeight="1"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4"/>
    </row>
    <row r="286" ht="14.25" customHeight="1"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4"/>
    </row>
    <row r="287" ht="14.25" customHeight="1"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4"/>
    </row>
    <row r="288" ht="14.25" customHeight="1"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4"/>
    </row>
    <row r="289" ht="14.25" customHeight="1"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4"/>
    </row>
    <row r="290" ht="14.25" customHeight="1"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4"/>
    </row>
    <row r="291" ht="14.25" customHeight="1"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4"/>
    </row>
    <row r="292" ht="14.25" customHeight="1"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4"/>
    </row>
    <row r="293" ht="14.25" customHeight="1"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4"/>
    </row>
    <row r="294" ht="14.25" customHeight="1"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4"/>
    </row>
    <row r="295" ht="14.25" customHeight="1"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4"/>
    </row>
    <row r="296" ht="14.25" customHeight="1"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4"/>
    </row>
    <row r="297" ht="14.25" customHeight="1"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4"/>
    </row>
    <row r="298" ht="14.25" customHeight="1"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4"/>
    </row>
    <row r="299" ht="14.25" customHeight="1"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4"/>
    </row>
    <row r="300" ht="14.25" customHeight="1"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4"/>
    </row>
    <row r="301" ht="14.25" customHeight="1"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4"/>
    </row>
    <row r="302" ht="14.25" customHeight="1"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4"/>
    </row>
    <row r="303" ht="14.25" customHeight="1"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4"/>
    </row>
    <row r="304" ht="14.25" customHeight="1"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4"/>
    </row>
    <row r="305" ht="14.25" customHeight="1"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4"/>
    </row>
    <row r="306" ht="14.25" customHeight="1"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4"/>
    </row>
    <row r="307" ht="14.25" customHeight="1"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4"/>
    </row>
    <row r="308" ht="14.25" customHeight="1"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4"/>
    </row>
    <row r="309" ht="14.25" customHeight="1"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4"/>
    </row>
    <row r="310" ht="14.25" customHeight="1"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4"/>
    </row>
    <row r="311" ht="14.25" customHeight="1"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4"/>
    </row>
    <row r="312" ht="14.25" customHeight="1"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4"/>
    </row>
    <row r="313" ht="14.25" customHeight="1"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4"/>
    </row>
    <row r="314" ht="14.25" customHeight="1"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4"/>
    </row>
    <row r="315" ht="14.25" customHeight="1"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4"/>
    </row>
    <row r="316" ht="14.25" customHeight="1"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4"/>
    </row>
    <row r="317" ht="14.25" customHeight="1"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4"/>
    </row>
    <row r="318" ht="14.25" customHeight="1"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4"/>
    </row>
    <row r="319" ht="14.25" customHeight="1"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4"/>
    </row>
    <row r="320" ht="14.25" customHeight="1"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4"/>
    </row>
    <row r="321" ht="14.25" customHeight="1"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4"/>
    </row>
    <row r="322" ht="14.25" customHeight="1"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4"/>
    </row>
    <row r="323" ht="14.25" customHeight="1"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4"/>
    </row>
    <row r="324" ht="14.25" customHeight="1"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4"/>
    </row>
    <row r="325" ht="14.25" customHeight="1"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4"/>
    </row>
    <row r="326" ht="14.25" customHeight="1"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4"/>
    </row>
    <row r="327" ht="14.25" customHeight="1"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4"/>
    </row>
    <row r="328" ht="14.25" customHeight="1"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4"/>
    </row>
    <row r="329" ht="14.25" customHeight="1"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4"/>
    </row>
    <row r="330" ht="14.25" customHeight="1"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4"/>
    </row>
    <row r="331" ht="14.25" customHeight="1"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4"/>
    </row>
    <row r="332" ht="14.25" customHeight="1"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4"/>
    </row>
    <row r="333" ht="14.25" customHeight="1"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4"/>
    </row>
    <row r="334" ht="14.25" customHeight="1"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4"/>
    </row>
    <row r="335" ht="14.25" customHeight="1"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4"/>
    </row>
    <row r="336" ht="14.25" customHeight="1"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4"/>
    </row>
    <row r="337" ht="14.25" customHeight="1"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4"/>
    </row>
    <row r="338" ht="14.25" customHeight="1"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4"/>
    </row>
    <row r="339" ht="14.25" customHeight="1"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4"/>
    </row>
    <row r="340" ht="14.25" customHeight="1"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4"/>
    </row>
    <row r="341" ht="14.25" customHeight="1"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4"/>
    </row>
    <row r="342" ht="14.25" customHeight="1"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4"/>
    </row>
    <row r="343" ht="14.25" customHeight="1"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4"/>
    </row>
    <row r="344" ht="14.25" customHeight="1"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4"/>
    </row>
    <row r="345" ht="14.25" customHeight="1"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4"/>
    </row>
    <row r="346" ht="14.25" customHeight="1"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4"/>
    </row>
    <row r="347" ht="14.25" customHeight="1"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4"/>
    </row>
    <row r="348" ht="14.25" customHeight="1"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4"/>
    </row>
    <row r="349" ht="14.25" customHeight="1"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4"/>
    </row>
    <row r="350" ht="14.25" customHeight="1"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4"/>
    </row>
    <row r="351" ht="14.25" customHeight="1"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4"/>
    </row>
    <row r="352" ht="14.25" customHeight="1"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4"/>
    </row>
    <row r="353" ht="14.25" customHeight="1"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4"/>
    </row>
    <row r="354" ht="14.25" customHeight="1"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4"/>
    </row>
    <row r="355" ht="14.25" customHeight="1"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4"/>
    </row>
    <row r="356" ht="14.25" customHeight="1"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4"/>
    </row>
    <row r="357" ht="14.25" customHeight="1"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4"/>
    </row>
    <row r="358" ht="14.25" customHeight="1"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4"/>
    </row>
    <row r="359" ht="14.25" customHeight="1"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4"/>
    </row>
    <row r="360" ht="14.25" customHeight="1"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4"/>
    </row>
    <row r="361" ht="14.25" customHeight="1"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4"/>
    </row>
    <row r="362" ht="14.25" customHeight="1"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4"/>
    </row>
    <row r="363" ht="14.25" customHeight="1"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4"/>
    </row>
    <row r="364" ht="14.25" customHeight="1"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4"/>
    </row>
    <row r="365" ht="14.25" customHeight="1"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4"/>
    </row>
    <row r="366" ht="14.25" customHeight="1"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4"/>
    </row>
    <row r="367" ht="14.25" customHeight="1"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4"/>
    </row>
    <row r="368" ht="14.25" customHeight="1"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4"/>
    </row>
    <row r="369" ht="14.25" customHeight="1"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4"/>
    </row>
    <row r="370" ht="14.25" customHeight="1"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4"/>
    </row>
    <row r="371" ht="14.25" customHeight="1"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4"/>
    </row>
    <row r="372" ht="14.25" customHeight="1"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4"/>
    </row>
    <row r="373" ht="14.25" customHeight="1"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4"/>
    </row>
    <row r="374" ht="14.25" customHeight="1"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4"/>
    </row>
    <row r="375" ht="14.25" customHeight="1"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4"/>
    </row>
    <row r="376" ht="14.25" customHeight="1"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4"/>
    </row>
    <row r="377" ht="14.25" customHeight="1"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4"/>
    </row>
    <row r="378" ht="14.25" customHeight="1"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4"/>
    </row>
    <row r="379" ht="14.25" customHeight="1"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4"/>
    </row>
    <row r="380" ht="14.25" customHeight="1"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4"/>
    </row>
    <row r="381" ht="14.25" customHeight="1"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4"/>
    </row>
    <row r="382" ht="14.25" customHeight="1"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4"/>
    </row>
    <row r="383" ht="14.25" customHeight="1"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4"/>
    </row>
    <row r="384" ht="14.25" customHeight="1"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4"/>
    </row>
    <row r="385" ht="14.25" customHeight="1"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4"/>
    </row>
    <row r="386" ht="14.25" customHeight="1"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4"/>
    </row>
    <row r="387" ht="14.25" customHeight="1"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4"/>
    </row>
    <row r="388" ht="14.25" customHeight="1"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4"/>
    </row>
    <row r="389" ht="14.25" customHeight="1"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4"/>
    </row>
    <row r="390" ht="14.25" customHeight="1"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4"/>
    </row>
    <row r="391" ht="14.25" customHeight="1"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4"/>
    </row>
    <row r="392" ht="14.25" customHeight="1"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4"/>
    </row>
    <row r="393" ht="14.25" customHeight="1"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4"/>
    </row>
    <row r="394" ht="14.25" customHeight="1"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4"/>
    </row>
    <row r="395" ht="14.25" customHeight="1"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4"/>
    </row>
    <row r="396" ht="14.25" customHeight="1"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4"/>
    </row>
    <row r="397" ht="14.25" customHeight="1"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4"/>
    </row>
    <row r="398" ht="14.25" customHeight="1"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4"/>
    </row>
    <row r="399" ht="14.25" customHeight="1"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4"/>
    </row>
    <row r="400" ht="14.25" customHeight="1"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4"/>
    </row>
    <row r="401" ht="14.25" customHeight="1"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4"/>
    </row>
    <row r="402" ht="14.25" customHeight="1"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4"/>
    </row>
    <row r="403" ht="14.25" customHeight="1"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4"/>
    </row>
    <row r="404" ht="14.25" customHeight="1"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4"/>
    </row>
    <row r="405" ht="14.25" customHeight="1"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4"/>
    </row>
    <row r="406" ht="14.25" customHeight="1"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4"/>
    </row>
    <row r="407" ht="14.25" customHeight="1"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4"/>
    </row>
    <row r="408" ht="14.25" customHeight="1"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4"/>
    </row>
    <row r="409" ht="14.25" customHeight="1"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4"/>
    </row>
    <row r="410" ht="14.25" customHeight="1"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4"/>
    </row>
    <row r="411" ht="14.25" customHeight="1"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4"/>
    </row>
    <row r="412" ht="14.25" customHeight="1"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4"/>
    </row>
    <row r="413" ht="14.25" customHeight="1"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4"/>
    </row>
    <row r="414" ht="14.25" customHeight="1"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4"/>
    </row>
    <row r="415" ht="14.25" customHeight="1"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4"/>
    </row>
    <row r="416" ht="14.25" customHeight="1"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4"/>
    </row>
    <row r="417" ht="14.25" customHeight="1"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4"/>
    </row>
    <row r="418" ht="14.25" customHeight="1"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4"/>
    </row>
    <row r="419" ht="14.25" customHeight="1"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4"/>
    </row>
    <row r="420" ht="14.25" customHeight="1"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4"/>
    </row>
    <row r="421" ht="14.25" customHeight="1"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4"/>
    </row>
    <row r="422" ht="14.25" customHeight="1"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4"/>
    </row>
    <row r="423" ht="14.25" customHeight="1"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4"/>
    </row>
    <row r="424" ht="14.25" customHeight="1"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4"/>
    </row>
    <row r="425" ht="14.25" customHeight="1"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4"/>
    </row>
    <row r="426" ht="14.25" customHeight="1"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4"/>
    </row>
    <row r="427" ht="14.25" customHeight="1"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4"/>
    </row>
    <row r="428" ht="14.25" customHeight="1"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4"/>
    </row>
    <row r="429" ht="14.25" customHeight="1"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4"/>
    </row>
    <row r="430" ht="14.25" customHeight="1"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4"/>
    </row>
    <row r="431" ht="14.25" customHeight="1"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4"/>
    </row>
    <row r="432" ht="14.25" customHeight="1"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4"/>
    </row>
    <row r="433" ht="14.25" customHeight="1"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4"/>
    </row>
    <row r="434" ht="14.25" customHeight="1"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4"/>
    </row>
    <row r="435" ht="14.25" customHeight="1"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4"/>
    </row>
    <row r="436" ht="14.25" customHeight="1"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4"/>
    </row>
    <row r="437" ht="14.25" customHeight="1"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4"/>
    </row>
    <row r="438" ht="14.25" customHeight="1"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4"/>
    </row>
    <row r="439" ht="14.25" customHeight="1"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4"/>
    </row>
    <row r="440" ht="14.25" customHeight="1"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4"/>
    </row>
    <row r="441" ht="14.25" customHeight="1"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4"/>
    </row>
    <row r="442" ht="14.25" customHeight="1"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4"/>
    </row>
    <row r="443" ht="14.25" customHeight="1"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4"/>
    </row>
    <row r="444" ht="14.25" customHeight="1"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4"/>
    </row>
    <row r="445" ht="14.25" customHeight="1"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4"/>
    </row>
    <row r="446" ht="14.25" customHeight="1"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4"/>
    </row>
    <row r="447" ht="14.25" customHeight="1"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4"/>
    </row>
    <row r="448" ht="14.25" customHeight="1"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4"/>
    </row>
    <row r="449" ht="14.25" customHeight="1"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4"/>
    </row>
    <row r="450" ht="14.25" customHeight="1"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4"/>
    </row>
    <row r="451" ht="14.25" customHeight="1"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4"/>
    </row>
    <row r="452" ht="14.25" customHeight="1"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4"/>
    </row>
    <row r="453" ht="14.25" customHeight="1"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4"/>
    </row>
    <row r="454" ht="14.25" customHeight="1"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4"/>
    </row>
    <row r="455" ht="14.25" customHeight="1"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4"/>
    </row>
    <row r="456" ht="14.25" customHeight="1"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4"/>
    </row>
    <row r="457" ht="14.25" customHeight="1"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4"/>
    </row>
    <row r="458" ht="14.25" customHeight="1"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4"/>
    </row>
    <row r="459" ht="14.25" customHeight="1"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4"/>
    </row>
    <row r="460" ht="14.25" customHeight="1"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4"/>
    </row>
    <row r="461" ht="14.25" customHeight="1"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4"/>
    </row>
    <row r="462" ht="14.25" customHeight="1"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4"/>
    </row>
    <row r="463" ht="14.25" customHeight="1"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4"/>
    </row>
    <row r="464" ht="14.25" customHeight="1"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4"/>
    </row>
    <row r="465" ht="14.25" customHeight="1"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4"/>
    </row>
    <row r="466" ht="14.25" customHeight="1"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4"/>
    </row>
    <row r="467" ht="14.25" customHeight="1"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4"/>
    </row>
    <row r="468" ht="14.25" customHeight="1"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4"/>
    </row>
    <row r="469" ht="14.25" customHeight="1"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4"/>
    </row>
    <row r="470" ht="14.25" customHeight="1"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4"/>
    </row>
    <row r="471" ht="14.25" customHeight="1"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4"/>
    </row>
    <row r="472" ht="14.25" customHeight="1"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4"/>
    </row>
    <row r="473" ht="14.25" customHeight="1"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4"/>
    </row>
    <row r="474" ht="14.25" customHeight="1"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4"/>
    </row>
    <row r="475" ht="14.25" customHeight="1"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4"/>
    </row>
    <row r="476" ht="14.25" customHeight="1"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4"/>
    </row>
    <row r="477" ht="14.25" customHeight="1"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4"/>
    </row>
    <row r="478" ht="14.25" customHeight="1"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4"/>
    </row>
    <row r="479" ht="14.25" customHeight="1"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4"/>
    </row>
    <row r="480" ht="14.25" customHeight="1"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4"/>
    </row>
    <row r="481" ht="14.25" customHeight="1"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4"/>
    </row>
    <row r="482" ht="14.25" customHeight="1"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4"/>
    </row>
    <row r="483" ht="14.25" customHeight="1"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4"/>
    </row>
    <row r="484" ht="14.25" customHeight="1"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4"/>
    </row>
    <row r="485" ht="14.25" customHeight="1"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4"/>
    </row>
    <row r="486" ht="14.25" customHeight="1"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4"/>
    </row>
    <row r="487" ht="14.25" customHeight="1"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4"/>
    </row>
    <row r="488" ht="14.25" customHeight="1"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4"/>
    </row>
    <row r="489" ht="14.25" customHeight="1"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4"/>
    </row>
    <row r="490" ht="14.25" customHeight="1"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4"/>
    </row>
    <row r="491" ht="14.25" customHeight="1"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4"/>
    </row>
    <row r="492" ht="14.25" customHeight="1"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4"/>
    </row>
    <row r="493" ht="14.25" customHeight="1"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4"/>
    </row>
    <row r="494" ht="14.25" customHeight="1"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4"/>
    </row>
    <row r="495" ht="14.25" customHeight="1"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4"/>
    </row>
    <row r="496" ht="14.25" customHeight="1"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4"/>
    </row>
    <row r="497" ht="14.25" customHeight="1"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4"/>
    </row>
    <row r="498" ht="14.25" customHeight="1"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4"/>
    </row>
    <row r="499" ht="14.25" customHeight="1"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4"/>
    </row>
    <row r="500" ht="14.25" customHeight="1"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4"/>
    </row>
    <row r="501" ht="14.25" customHeight="1"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4"/>
    </row>
    <row r="502" ht="14.25" customHeight="1"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4"/>
    </row>
    <row r="503" ht="14.25" customHeight="1"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4"/>
    </row>
    <row r="504" ht="14.25" customHeight="1"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4"/>
    </row>
    <row r="505" ht="14.25" customHeight="1"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4"/>
    </row>
    <row r="506" ht="14.25" customHeight="1"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4"/>
    </row>
    <row r="507" ht="14.25" customHeight="1"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4"/>
    </row>
    <row r="508" ht="14.25" customHeight="1"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4"/>
    </row>
    <row r="509" ht="14.25" customHeight="1"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4"/>
    </row>
    <row r="510" ht="14.25" customHeight="1"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4"/>
    </row>
    <row r="511" ht="14.25" customHeight="1"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4"/>
    </row>
    <row r="512" ht="14.25" customHeight="1"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4"/>
    </row>
    <row r="513" ht="14.25" customHeight="1"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4"/>
    </row>
    <row r="514" ht="14.25" customHeight="1"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4"/>
    </row>
    <row r="515" ht="14.25" customHeight="1"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4"/>
    </row>
    <row r="516" ht="14.25" customHeight="1"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4"/>
    </row>
    <row r="517" ht="14.25" customHeight="1"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4"/>
    </row>
    <row r="518" ht="14.25" customHeight="1"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4"/>
    </row>
    <row r="519" ht="14.25" customHeight="1"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4"/>
    </row>
    <row r="520" ht="14.25" customHeight="1"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4"/>
    </row>
    <row r="521" ht="14.25" customHeight="1"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4"/>
    </row>
    <row r="522" ht="14.25" customHeight="1"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4"/>
    </row>
    <row r="523" ht="14.25" customHeight="1"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4"/>
    </row>
    <row r="524" ht="14.25" customHeight="1"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4"/>
    </row>
    <row r="525" ht="14.25" customHeight="1"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4"/>
    </row>
    <row r="526" ht="14.25" customHeight="1"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4"/>
    </row>
    <row r="527" ht="14.25" customHeight="1"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4"/>
    </row>
    <row r="528" ht="14.25" customHeight="1"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4"/>
    </row>
    <row r="529" ht="14.25" customHeight="1"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4"/>
    </row>
    <row r="530" ht="14.25" customHeight="1"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4"/>
    </row>
    <row r="531" ht="14.25" customHeight="1"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4"/>
    </row>
    <row r="532" ht="14.25" customHeight="1"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4"/>
    </row>
    <row r="533" ht="14.25" customHeight="1"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4"/>
    </row>
    <row r="534" ht="14.25" customHeight="1"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4"/>
    </row>
    <row r="535" ht="14.25" customHeight="1"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4"/>
    </row>
    <row r="536" ht="14.25" customHeight="1"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4"/>
    </row>
    <row r="537" ht="14.25" customHeight="1"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4"/>
    </row>
    <row r="538" ht="14.25" customHeight="1"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4"/>
    </row>
    <row r="539" ht="14.25" customHeight="1"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4"/>
    </row>
    <row r="540" ht="14.25" customHeight="1"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4"/>
    </row>
    <row r="541" ht="14.25" customHeight="1"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4"/>
    </row>
    <row r="542" ht="14.25" customHeight="1"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4"/>
    </row>
    <row r="543" ht="14.25" customHeight="1"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4"/>
    </row>
    <row r="544" ht="14.25" customHeight="1"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4"/>
    </row>
    <row r="545" ht="14.25" customHeight="1"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4"/>
    </row>
    <row r="546" ht="14.25" customHeight="1"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4"/>
    </row>
    <row r="547" ht="14.25" customHeight="1"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4"/>
    </row>
    <row r="548" ht="14.25" customHeight="1"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4"/>
    </row>
    <row r="549" ht="14.25" customHeight="1"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4"/>
    </row>
    <row r="550" ht="14.25" customHeight="1"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4"/>
    </row>
    <row r="551" ht="14.25" customHeight="1"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4"/>
    </row>
    <row r="552" ht="14.25" customHeight="1"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4"/>
    </row>
    <row r="553" ht="14.25" customHeight="1"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4"/>
    </row>
    <row r="554" ht="14.25" customHeight="1"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4"/>
    </row>
    <row r="555" ht="14.25" customHeight="1"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4"/>
    </row>
    <row r="556" ht="14.25" customHeight="1"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4"/>
    </row>
    <row r="557" ht="14.25" customHeight="1"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4"/>
    </row>
    <row r="558" ht="14.25" customHeight="1"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4"/>
    </row>
    <row r="559" ht="14.25" customHeight="1"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4"/>
    </row>
    <row r="560" ht="14.25" customHeight="1"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4"/>
    </row>
    <row r="561" ht="14.25" customHeight="1"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4"/>
    </row>
    <row r="562" ht="14.25" customHeight="1"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4"/>
    </row>
    <row r="563" ht="14.25" customHeight="1"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4"/>
    </row>
    <row r="564" ht="14.25" customHeight="1"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4"/>
    </row>
    <row r="565" ht="14.25" customHeight="1"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4"/>
    </row>
    <row r="566" ht="14.25" customHeight="1"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4"/>
    </row>
    <row r="567" ht="14.25" customHeight="1"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4"/>
    </row>
    <row r="568" ht="14.25" customHeight="1"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4"/>
    </row>
    <row r="569" ht="14.25" customHeight="1"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4"/>
    </row>
    <row r="570" ht="14.25" customHeight="1"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4"/>
    </row>
    <row r="571" ht="14.25" customHeight="1"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4"/>
    </row>
    <row r="572" ht="14.25" customHeight="1"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4"/>
    </row>
    <row r="573" ht="14.25" customHeight="1"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4"/>
    </row>
    <row r="574" ht="14.25" customHeight="1"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4"/>
    </row>
    <row r="575" ht="14.25" customHeight="1"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4"/>
    </row>
    <row r="576" ht="14.25" customHeight="1"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4"/>
    </row>
    <row r="577" ht="14.25" customHeight="1"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4"/>
    </row>
    <row r="578" ht="14.25" customHeight="1"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4"/>
    </row>
    <row r="579" ht="14.25" customHeight="1"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4"/>
    </row>
    <row r="580" ht="14.25" customHeight="1"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4"/>
    </row>
    <row r="581" ht="14.25" customHeight="1"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4"/>
    </row>
    <row r="582" ht="14.25" customHeight="1"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4"/>
    </row>
    <row r="583" ht="14.25" customHeight="1"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4"/>
    </row>
    <row r="584" ht="14.25" customHeight="1"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4"/>
    </row>
    <row r="585" ht="14.25" customHeight="1"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4"/>
    </row>
    <row r="586" ht="14.25" customHeight="1"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4"/>
    </row>
    <row r="587" ht="14.25" customHeight="1"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4"/>
    </row>
    <row r="588" ht="14.25" customHeight="1"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4"/>
    </row>
    <row r="589" ht="14.25" customHeight="1"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4"/>
    </row>
    <row r="590" ht="14.25" customHeight="1"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4"/>
    </row>
    <row r="591" ht="14.25" customHeight="1"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4"/>
    </row>
    <row r="592" ht="14.25" customHeight="1"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4"/>
    </row>
    <row r="593" ht="14.25" customHeight="1"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4"/>
    </row>
    <row r="594" ht="14.25" customHeight="1"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4"/>
    </row>
    <row r="595" ht="14.25" customHeight="1"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4"/>
    </row>
    <row r="596" ht="14.25" customHeight="1"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4"/>
    </row>
    <row r="597" ht="14.25" customHeight="1"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4"/>
    </row>
    <row r="598" ht="14.25" customHeight="1"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4"/>
    </row>
    <row r="599" ht="14.25" customHeight="1"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4"/>
    </row>
    <row r="600" ht="14.25" customHeight="1"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4"/>
    </row>
    <row r="601" ht="14.25" customHeight="1"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4"/>
    </row>
    <row r="602" ht="14.25" customHeight="1"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4"/>
    </row>
    <row r="603" ht="14.25" customHeight="1"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4"/>
    </row>
    <row r="604" ht="14.25" customHeight="1"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4"/>
    </row>
    <row r="605" ht="14.25" customHeight="1"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4"/>
    </row>
    <row r="606" ht="14.25" customHeight="1"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4"/>
    </row>
    <row r="607" ht="14.25" customHeight="1"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4"/>
    </row>
    <row r="608" ht="14.25" customHeight="1"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4"/>
    </row>
    <row r="609" ht="14.25" customHeight="1"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4"/>
    </row>
    <row r="610" ht="14.25" customHeight="1"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4"/>
    </row>
    <row r="611" ht="14.25" customHeight="1"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4"/>
    </row>
    <row r="612" ht="14.25" customHeight="1"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4"/>
    </row>
    <row r="613" ht="14.25" customHeight="1"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4"/>
    </row>
    <row r="614" ht="14.25" customHeight="1"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4"/>
    </row>
    <row r="615" ht="14.25" customHeight="1"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4"/>
    </row>
    <row r="616" ht="14.25" customHeight="1"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4"/>
    </row>
    <row r="617" ht="14.25" customHeight="1"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4"/>
    </row>
    <row r="618" ht="14.25" customHeight="1"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4"/>
    </row>
    <row r="619" ht="14.25" customHeight="1"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4"/>
    </row>
    <row r="620" ht="14.25" customHeight="1"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4"/>
    </row>
    <row r="621" ht="14.25" customHeight="1"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4"/>
    </row>
    <row r="622" ht="14.25" customHeight="1"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4"/>
    </row>
    <row r="623" ht="14.25" customHeight="1"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4"/>
    </row>
    <row r="624" ht="14.25" customHeight="1"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4"/>
    </row>
    <row r="625" ht="14.25" customHeight="1"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4"/>
    </row>
    <row r="626" ht="14.25" customHeight="1"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4"/>
    </row>
    <row r="627" ht="14.25" customHeight="1"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4"/>
    </row>
    <row r="628" ht="14.25" customHeight="1"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4"/>
    </row>
    <row r="629" ht="14.25" customHeight="1"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4"/>
    </row>
    <row r="630" ht="14.25" customHeight="1"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4"/>
    </row>
    <row r="631" ht="14.25" customHeight="1"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4"/>
    </row>
    <row r="632" ht="14.25" customHeight="1"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4"/>
    </row>
    <row r="633" ht="14.25" customHeight="1"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4"/>
    </row>
    <row r="634" ht="14.25" customHeight="1"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4"/>
    </row>
    <row r="635" ht="14.25" customHeight="1"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4"/>
    </row>
    <row r="636" ht="14.25" customHeight="1"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4"/>
    </row>
    <row r="637" ht="14.25" customHeight="1"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4"/>
    </row>
    <row r="638" ht="14.25" customHeight="1"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4"/>
    </row>
    <row r="639" ht="14.25" customHeight="1"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4"/>
    </row>
    <row r="640" ht="14.25" customHeight="1"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4"/>
    </row>
    <row r="641" ht="14.25" customHeight="1"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4"/>
    </row>
    <row r="642" ht="14.25" customHeight="1"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4"/>
    </row>
    <row r="643" ht="14.25" customHeight="1"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4"/>
    </row>
    <row r="644" ht="14.25" customHeight="1"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4"/>
    </row>
    <row r="645" ht="14.25" customHeight="1"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4"/>
    </row>
    <row r="646" ht="14.25" customHeight="1"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4"/>
    </row>
    <row r="647" ht="14.25" customHeight="1"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4"/>
    </row>
    <row r="648" ht="14.25" customHeight="1"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4"/>
    </row>
    <row r="649" ht="14.25" customHeight="1"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4"/>
    </row>
    <row r="650" ht="14.25" customHeight="1"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4"/>
    </row>
    <row r="651" ht="14.25" customHeight="1"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4"/>
    </row>
    <row r="652" ht="14.25" customHeight="1"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4"/>
    </row>
    <row r="653" ht="14.25" customHeight="1"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4"/>
    </row>
    <row r="654" ht="14.25" customHeight="1"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4"/>
    </row>
    <row r="655" ht="14.25" customHeight="1"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4"/>
    </row>
    <row r="656" ht="14.25" customHeight="1"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4"/>
    </row>
    <row r="657" ht="14.25" customHeight="1"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4"/>
    </row>
    <row r="658" ht="14.25" customHeight="1"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4"/>
    </row>
    <row r="659" ht="14.25" customHeight="1"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4"/>
    </row>
    <row r="660" ht="14.25" customHeight="1"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4"/>
    </row>
    <row r="661" ht="14.25" customHeight="1"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4"/>
    </row>
    <row r="662" ht="14.25" customHeight="1"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4"/>
    </row>
    <row r="663" ht="14.25" customHeight="1"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4"/>
    </row>
    <row r="664" ht="14.25" customHeight="1"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4"/>
    </row>
    <row r="665" ht="14.25" customHeight="1"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4"/>
    </row>
    <row r="666" ht="14.25" customHeight="1"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4"/>
    </row>
    <row r="667" ht="14.25" customHeight="1"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4"/>
    </row>
    <row r="668" ht="14.25" customHeight="1"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4"/>
    </row>
    <row r="669" ht="14.25" customHeight="1"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4"/>
    </row>
    <row r="670" ht="14.25" customHeight="1"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4"/>
    </row>
    <row r="671" ht="14.25" customHeight="1"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4"/>
    </row>
    <row r="672" ht="14.25" customHeight="1"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4"/>
    </row>
    <row r="673" ht="14.25" customHeight="1"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4"/>
    </row>
    <row r="674" ht="14.25" customHeight="1"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4"/>
    </row>
    <row r="675" ht="14.25" customHeight="1"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4"/>
    </row>
    <row r="676" ht="14.25" customHeight="1"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4"/>
    </row>
    <row r="677" ht="14.25" customHeight="1"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4"/>
    </row>
    <row r="678" ht="14.25" customHeight="1"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4"/>
    </row>
    <row r="679" ht="14.25" customHeight="1"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4"/>
    </row>
    <row r="680" ht="14.25" customHeight="1"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4"/>
    </row>
    <row r="681" ht="14.25" customHeight="1"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4"/>
    </row>
    <row r="682" ht="14.25" customHeight="1"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4"/>
    </row>
    <row r="683" ht="14.25" customHeight="1"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4"/>
    </row>
    <row r="684" ht="14.25" customHeight="1"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4"/>
    </row>
    <row r="685" ht="14.25" customHeight="1"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4"/>
    </row>
    <row r="686" ht="14.25" customHeight="1"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4"/>
    </row>
    <row r="687" ht="14.25" customHeight="1"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4"/>
    </row>
    <row r="688" ht="14.25" customHeight="1"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4"/>
    </row>
    <row r="689" ht="14.25" customHeight="1"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4"/>
    </row>
    <row r="690" ht="14.25" customHeight="1"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4"/>
    </row>
    <row r="691" ht="14.25" customHeight="1"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4"/>
    </row>
    <row r="692" ht="14.25" customHeight="1"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4"/>
    </row>
    <row r="693" ht="14.25" customHeight="1"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4"/>
    </row>
    <row r="694" ht="14.25" customHeight="1"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4"/>
    </row>
    <row r="695" ht="14.25" customHeight="1"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4"/>
    </row>
    <row r="696" ht="14.25" customHeight="1"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4"/>
    </row>
    <row r="697" ht="14.25" customHeight="1"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4"/>
    </row>
    <row r="698" ht="14.25" customHeight="1"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4"/>
    </row>
    <row r="699" ht="14.25" customHeight="1"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4"/>
    </row>
    <row r="700" ht="14.25" customHeight="1"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4"/>
    </row>
    <row r="701" ht="14.25" customHeight="1"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4"/>
    </row>
    <row r="702" ht="14.25" customHeight="1"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4"/>
    </row>
    <row r="703" ht="14.25" customHeight="1"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4"/>
    </row>
    <row r="704" ht="14.25" customHeight="1"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4"/>
    </row>
    <row r="705" ht="14.25" customHeight="1"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4"/>
    </row>
    <row r="706" ht="14.25" customHeight="1"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4"/>
    </row>
    <row r="707" ht="14.25" customHeight="1"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4"/>
    </row>
    <row r="708" ht="14.25" customHeight="1"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4"/>
    </row>
    <row r="709" ht="14.25" customHeight="1"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4"/>
    </row>
    <row r="710" ht="14.25" customHeight="1"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4"/>
    </row>
    <row r="711" ht="14.25" customHeight="1"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4"/>
    </row>
    <row r="712" ht="14.25" customHeight="1"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4"/>
    </row>
    <row r="713" ht="14.25" customHeight="1"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4"/>
    </row>
    <row r="714" ht="14.25" customHeight="1"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4"/>
    </row>
    <row r="715" ht="14.25" customHeight="1"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4"/>
    </row>
    <row r="716" ht="14.25" customHeight="1"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4"/>
    </row>
    <row r="717" ht="14.25" customHeight="1"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4"/>
    </row>
    <row r="718" ht="14.25" customHeight="1"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4"/>
    </row>
    <row r="719" ht="14.25" customHeight="1"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4"/>
    </row>
    <row r="720" ht="14.25" customHeight="1"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4"/>
    </row>
    <row r="721" ht="14.25" customHeight="1"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4"/>
    </row>
    <row r="722" ht="14.25" customHeight="1"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4"/>
    </row>
    <row r="723" ht="14.25" customHeight="1"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4"/>
    </row>
    <row r="724" ht="14.25" customHeight="1"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4"/>
    </row>
    <row r="725" ht="14.25" customHeight="1"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4"/>
    </row>
    <row r="726" ht="14.25" customHeight="1"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4"/>
    </row>
    <row r="727" ht="14.25" customHeight="1"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4"/>
    </row>
    <row r="728" ht="14.25" customHeight="1"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4"/>
    </row>
    <row r="729" ht="14.25" customHeight="1"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4"/>
    </row>
    <row r="730" ht="14.25" customHeight="1"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4"/>
    </row>
    <row r="731" ht="14.25" customHeight="1"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4"/>
    </row>
    <row r="732" ht="14.25" customHeight="1"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4"/>
    </row>
    <row r="733" ht="14.25" customHeight="1"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4"/>
    </row>
    <row r="734" ht="14.25" customHeight="1"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4"/>
    </row>
    <row r="735" ht="14.25" customHeight="1"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4"/>
    </row>
    <row r="736" ht="14.25" customHeight="1"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4"/>
    </row>
    <row r="737" ht="14.25" customHeight="1"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4"/>
    </row>
    <row r="738" ht="14.25" customHeight="1"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4"/>
    </row>
    <row r="739" ht="14.25" customHeight="1"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4"/>
    </row>
    <row r="740" ht="14.25" customHeight="1"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4"/>
    </row>
    <row r="741" ht="14.25" customHeight="1"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4"/>
    </row>
    <row r="742" ht="14.25" customHeight="1"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4"/>
    </row>
    <row r="743" ht="14.25" customHeight="1"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4"/>
    </row>
    <row r="744" ht="14.25" customHeight="1"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4"/>
    </row>
    <row r="745" ht="14.25" customHeight="1"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4"/>
    </row>
    <row r="746" ht="14.25" customHeight="1"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4"/>
    </row>
    <row r="747" ht="14.25" customHeight="1"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4"/>
    </row>
    <row r="748" ht="14.25" customHeight="1"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4"/>
    </row>
    <row r="749" ht="14.25" customHeight="1"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4"/>
    </row>
    <row r="750" ht="14.25" customHeight="1"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4"/>
    </row>
    <row r="751" ht="14.25" customHeight="1"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4"/>
    </row>
    <row r="752" ht="14.25" customHeight="1"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4"/>
    </row>
    <row r="753" ht="14.25" customHeight="1"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4"/>
    </row>
    <row r="754" ht="14.25" customHeight="1"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4"/>
    </row>
    <row r="755" ht="14.25" customHeight="1"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4"/>
    </row>
    <row r="756" ht="14.25" customHeight="1"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4"/>
    </row>
    <row r="757" ht="14.25" customHeight="1"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4"/>
    </row>
    <row r="758" ht="14.25" customHeight="1"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4"/>
    </row>
    <row r="759" ht="14.25" customHeight="1"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4"/>
    </row>
    <row r="760" ht="14.25" customHeight="1"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4"/>
    </row>
    <row r="761" ht="14.25" customHeight="1"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4"/>
    </row>
    <row r="762" ht="14.25" customHeight="1"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4"/>
    </row>
    <row r="763" ht="14.25" customHeight="1"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4"/>
    </row>
    <row r="764" ht="14.25" customHeight="1"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4"/>
    </row>
    <row r="765" ht="14.25" customHeight="1"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4"/>
    </row>
    <row r="766" ht="14.25" customHeight="1"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4"/>
    </row>
    <row r="767" ht="14.25" customHeight="1"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4"/>
    </row>
    <row r="768" ht="14.25" customHeight="1"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4"/>
    </row>
    <row r="769" ht="14.25" customHeight="1"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4"/>
    </row>
    <row r="770" ht="14.25" customHeight="1"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4"/>
    </row>
    <row r="771" ht="14.25" customHeight="1"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4"/>
    </row>
    <row r="772" ht="14.25" customHeight="1"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4"/>
    </row>
    <row r="773" ht="14.25" customHeight="1"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4"/>
    </row>
    <row r="774" ht="14.25" customHeight="1"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4"/>
    </row>
    <row r="775" ht="14.25" customHeight="1"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4"/>
    </row>
    <row r="776" ht="14.25" customHeight="1"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4"/>
    </row>
    <row r="777" ht="14.25" customHeight="1"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4"/>
    </row>
    <row r="778" ht="14.25" customHeight="1"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4"/>
    </row>
    <row r="779" ht="14.25" customHeight="1"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4"/>
    </row>
    <row r="780" ht="14.25" customHeight="1"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4"/>
    </row>
    <row r="781" ht="14.25" customHeight="1"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4"/>
    </row>
    <row r="782" ht="14.25" customHeight="1"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4"/>
    </row>
    <row r="783" ht="14.25" customHeight="1"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4"/>
    </row>
    <row r="784" ht="14.25" customHeight="1"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4"/>
    </row>
    <row r="785" ht="14.25" customHeight="1"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4"/>
    </row>
    <row r="786" ht="14.25" customHeight="1"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4"/>
    </row>
    <row r="787" ht="14.25" customHeight="1"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4"/>
    </row>
    <row r="788" ht="14.25" customHeight="1"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4"/>
    </row>
    <row r="789" ht="14.25" customHeight="1"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4"/>
    </row>
    <row r="790" ht="14.25" customHeight="1"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4"/>
    </row>
    <row r="791" ht="14.25" customHeight="1"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4"/>
    </row>
    <row r="792" ht="14.25" customHeight="1"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4"/>
    </row>
    <row r="793" ht="14.25" customHeight="1"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4"/>
    </row>
    <row r="794" ht="14.25" customHeight="1"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4"/>
    </row>
    <row r="795" ht="14.25" customHeight="1"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4"/>
    </row>
    <row r="796" ht="14.25" customHeight="1"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4"/>
    </row>
    <row r="797" ht="14.25" customHeight="1"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4"/>
    </row>
    <row r="798" ht="14.25" customHeight="1"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4"/>
    </row>
    <row r="799" ht="14.25" customHeight="1"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4"/>
    </row>
    <row r="800" ht="14.25" customHeight="1"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4"/>
    </row>
    <row r="801" ht="14.25" customHeight="1"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4"/>
    </row>
    <row r="802" ht="14.25" customHeight="1"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4"/>
    </row>
    <row r="803" ht="14.25" customHeight="1"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4"/>
    </row>
    <row r="804" ht="14.25" customHeight="1"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4"/>
    </row>
    <row r="805" ht="14.25" customHeight="1"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4"/>
    </row>
    <row r="806" ht="14.25" customHeight="1"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4"/>
    </row>
    <row r="807" ht="14.25" customHeight="1"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4"/>
    </row>
    <row r="808" ht="14.25" customHeight="1"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4"/>
    </row>
    <row r="809" ht="14.25" customHeight="1"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4"/>
    </row>
    <row r="810" ht="14.25" customHeight="1"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4"/>
    </row>
    <row r="811" ht="14.25" customHeight="1"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4"/>
    </row>
    <row r="812" ht="14.25" customHeight="1"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4"/>
    </row>
    <row r="813" ht="14.25" customHeight="1"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4"/>
    </row>
    <row r="814" ht="14.25" customHeight="1"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4"/>
    </row>
    <row r="815" ht="14.25" customHeight="1"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4"/>
    </row>
    <row r="816" ht="14.25" customHeight="1"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4"/>
    </row>
    <row r="817" ht="14.25" customHeight="1"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4"/>
    </row>
    <row r="818" ht="14.25" customHeight="1"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4"/>
    </row>
    <row r="819" ht="14.25" customHeight="1"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4"/>
    </row>
    <row r="820" ht="14.25" customHeight="1"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4"/>
    </row>
    <row r="821" ht="14.25" customHeight="1"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4"/>
    </row>
    <row r="822" ht="14.25" customHeight="1"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4"/>
    </row>
    <row r="823" ht="14.25" customHeight="1"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4"/>
    </row>
    <row r="824" ht="14.25" customHeight="1"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4"/>
    </row>
    <row r="825" ht="14.25" customHeight="1"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4"/>
    </row>
    <row r="826" ht="14.25" customHeight="1"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4"/>
    </row>
    <row r="827" ht="14.25" customHeight="1"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4"/>
    </row>
    <row r="828" ht="14.25" customHeight="1"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4"/>
    </row>
    <row r="829" ht="14.25" customHeight="1"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4"/>
    </row>
    <row r="830" ht="14.25" customHeight="1"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4"/>
    </row>
    <row r="831" ht="14.25" customHeight="1"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4"/>
    </row>
    <row r="832" ht="14.25" customHeight="1"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4"/>
    </row>
    <row r="833" ht="14.25" customHeight="1"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4"/>
    </row>
    <row r="834" ht="14.25" customHeight="1"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4"/>
    </row>
    <row r="835" ht="14.25" customHeight="1"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4"/>
    </row>
    <row r="836" ht="14.25" customHeight="1"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4"/>
    </row>
    <row r="837" ht="14.25" customHeight="1"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4"/>
    </row>
    <row r="838" ht="14.25" customHeight="1"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4"/>
    </row>
    <row r="839" ht="14.25" customHeight="1"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4"/>
    </row>
    <row r="840" ht="14.25" customHeight="1"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4"/>
    </row>
    <row r="841" ht="14.25" customHeight="1"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4"/>
    </row>
    <row r="842" ht="14.25" customHeight="1"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4"/>
    </row>
    <row r="843" ht="14.25" customHeight="1"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4"/>
    </row>
    <row r="844" ht="14.25" customHeight="1"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4"/>
    </row>
    <row r="845" ht="14.25" customHeight="1"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4"/>
    </row>
    <row r="846" ht="14.25" customHeight="1"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4"/>
    </row>
    <row r="847" ht="14.25" customHeight="1"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4"/>
    </row>
    <row r="848" ht="14.25" customHeight="1"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4"/>
    </row>
    <row r="849" ht="14.25" customHeight="1"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4"/>
    </row>
    <row r="850" ht="14.25" customHeight="1"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4"/>
    </row>
    <row r="851" ht="14.25" customHeight="1"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4"/>
    </row>
    <row r="852" ht="14.25" customHeight="1"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4"/>
    </row>
    <row r="853" ht="14.25" customHeight="1"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4"/>
    </row>
    <row r="854" ht="14.25" customHeight="1"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4"/>
    </row>
    <row r="855" ht="14.25" customHeight="1"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4"/>
    </row>
    <row r="856" ht="14.25" customHeight="1"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4"/>
    </row>
    <row r="857" ht="14.25" customHeight="1"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4"/>
    </row>
    <row r="858" ht="14.25" customHeight="1"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4"/>
    </row>
    <row r="859" ht="14.25" customHeight="1"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4"/>
    </row>
    <row r="860" ht="14.25" customHeight="1"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4"/>
    </row>
    <row r="861" ht="14.25" customHeight="1"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4"/>
    </row>
    <row r="862" ht="14.25" customHeight="1"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4"/>
    </row>
    <row r="863" ht="14.25" customHeight="1"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4"/>
    </row>
    <row r="864" ht="14.25" customHeight="1"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4"/>
    </row>
    <row r="865" ht="14.25" customHeight="1"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4"/>
    </row>
    <row r="866" ht="14.25" customHeight="1"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4"/>
    </row>
    <row r="867" ht="14.25" customHeight="1"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4"/>
    </row>
    <row r="868" ht="14.25" customHeight="1"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4"/>
    </row>
    <row r="869" ht="14.25" customHeight="1"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4"/>
    </row>
    <row r="870" ht="14.25" customHeight="1"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4"/>
    </row>
    <row r="871" ht="14.25" customHeight="1"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4"/>
    </row>
    <row r="872" ht="14.25" customHeight="1"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4"/>
    </row>
    <row r="873" ht="14.25" customHeight="1"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4"/>
    </row>
    <row r="874" ht="14.25" customHeight="1"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4"/>
    </row>
    <row r="875" ht="14.25" customHeight="1"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4"/>
    </row>
    <row r="876" ht="14.25" customHeight="1"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4"/>
    </row>
    <row r="877" ht="14.25" customHeight="1"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4"/>
    </row>
    <row r="878" ht="14.25" customHeight="1"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4"/>
    </row>
    <row r="879" ht="14.25" customHeight="1"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4"/>
    </row>
    <row r="880" ht="14.25" customHeight="1"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4"/>
    </row>
    <row r="881" ht="14.25" customHeight="1"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4"/>
    </row>
    <row r="882" ht="14.25" customHeight="1"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4"/>
    </row>
    <row r="883" ht="14.25" customHeight="1"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4"/>
    </row>
    <row r="884" ht="14.25" customHeight="1"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4"/>
    </row>
    <row r="885" ht="14.25" customHeight="1"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4"/>
    </row>
    <row r="886" ht="14.25" customHeight="1"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4"/>
    </row>
    <row r="887" ht="14.25" customHeight="1"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4"/>
    </row>
    <row r="888" ht="14.25" customHeight="1"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4"/>
    </row>
    <row r="889" ht="14.25" customHeight="1"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4"/>
    </row>
    <row r="890" ht="14.25" customHeight="1"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4"/>
    </row>
    <row r="891" ht="14.25" customHeight="1"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4"/>
    </row>
    <row r="892" ht="14.25" customHeight="1"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4"/>
    </row>
    <row r="893" ht="14.25" customHeight="1"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4"/>
    </row>
    <row r="894" ht="14.25" customHeight="1"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4"/>
    </row>
    <row r="895" ht="14.25" customHeight="1"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4"/>
    </row>
    <row r="896" ht="14.25" customHeight="1"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4"/>
    </row>
    <row r="897" ht="14.25" customHeight="1"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4"/>
    </row>
    <row r="898" ht="14.25" customHeight="1"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4"/>
    </row>
    <row r="899" ht="14.25" customHeight="1"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4"/>
    </row>
    <row r="900" ht="14.25" customHeight="1"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4"/>
    </row>
    <row r="901" ht="14.25" customHeight="1"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4"/>
    </row>
    <row r="902" ht="14.25" customHeight="1"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4"/>
    </row>
    <row r="903" ht="14.25" customHeight="1"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4"/>
    </row>
    <row r="904" ht="14.25" customHeight="1"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4"/>
    </row>
    <row r="905" ht="14.25" customHeight="1"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4"/>
    </row>
    <row r="906" ht="14.25" customHeight="1"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4"/>
    </row>
    <row r="907" ht="14.25" customHeight="1"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4"/>
    </row>
    <row r="908" ht="14.25" customHeight="1"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4"/>
    </row>
    <row r="909" ht="14.25" customHeight="1"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4"/>
    </row>
    <row r="910" ht="14.25" customHeight="1"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4"/>
    </row>
    <row r="911" ht="14.25" customHeight="1"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4"/>
    </row>
    <row r="912" ht="14.25" customHeight="1"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4"/>
    </row>
    <row r="913" ht="14.25" customHeight="1"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4"/>
    </row>
    <row r="914" ht="14.25" customHeight="1"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4"/>
    </row>
    <row r="915" ht="14.25" customHeight="1"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4"/>
    </row>
    <row r="916" ht="14.25" customHeight="1"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4"/>
    </row>
    <row r="917" ht="14.25" customHeight="1"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4"/>
    </row>
    <row r="918" ht="14.25" customHeight="1"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4"/>
    </row>
    <row r="919" ht="14.25" customHeight="1"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4"/>
    </row>
    <row r="920" ht="14.25" customHeight="1"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4"/>
    </row>
    <row r="921" ht="14.25" customHeight="1"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4"/>
    </row>
    <row r="922" ht="14.25" customHeight="1"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4"/>
    </row>
    <row r="923" ht="14.25" customHeight="1"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4"/>
    </row>
    <row r="924" ht="14.25" customHeight="1"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4"/>
    </row>
    <row r="925" ht="14.25" customHeight="1"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4"/>
    </row>
    <row r="926" ht="14.25" customHeight="1"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4"/>
    </row>
    <row r="927" ht="14.25" customHeight="1"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4"/>
    </row>
    <row r="928" ht="14.25" customHeight="1"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4"/>
    </row>
    <row r="929" ht="14.25" customHeight="1"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4"/>
    </row>
    <row r="930" ht="14.25" customHeight="1"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4"/>
    </row>
    <row r="931" ht="14.25" customHeight="1"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4"/>
    </row>
    <row r="932" ht="14.25" customHeight="1"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4"/>
    </row>
    <row r="933" ht="14.25" customHeight="1"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4"/>
    </row>
    <row r="934" ht="14.25" customHeight="1"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4"/>
    </row>
    <row r="935" ht="14.25" customHeight="1"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4"/>
    </row>
    <row r="936" ht="14.25" customHeight="1"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4"/>
    </row>
    <row r="937" ht="14.25" customHeight="1"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4"/>
    </row>
    <row r="938" ht="14.25" customHeight="1"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4"/>
    </row>
    <row r="939" ht="14.25" customHeight="1"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4"/>
    </row>
    <row r="940" ht="14.25" customHeight="1"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4"/>
    </row>
    <row r="941" ht="14.25" customHeight="1"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4"/>
    </row>
    <row r="942" ht="14.25" customHeight="1"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4"/>
    </row>
    <row r="943" ht="14.25" customHeight="1"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4"/>
    </row>
    <row r="944" ht="14.25" customHeight="1"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4"/>
    </row>
    <row r="945" ht="14.25" customHeight="1"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4"/>
    </row>
    <row r="946" ht="14.25" customHeight="1"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4"/>
    </row>
    <row r="947" ht="14.25" customHeight="1"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4"/>
    </row>
    <row r="948" ht="14.25" customHeight="1"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4"/>
    </row>
    <row r="949" ht="14.25" customHeight="1"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4"/>
    </row>
    <row r="950" ht="14.25" customHeight="1"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4"/>
    </row>
    <row r="951" ht="14.25" customHeight="1"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4"/>
    </row>
    <row r="952" ht="14.25" customHeight="1"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4"/>
    </row>
    <row r="953" ht="14.25" customHeight="1"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4"/>
    </row>
    <row r="954" ht="14.25" customHeight="1"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4"/>
    </row>
    <row r="955" ht="14.25" customHeight="1"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4"/>
    </row>
    <row r="956" ht="14.25" customHeight="1"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4"/>
    </row>
    <row r="957" ht="14.25" customHeight="1"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4"/>
    </row>
    <row r="958" ht="14.25" customHeight="1"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4"/>
    </row>
    <row r="959" ht="14.25" customHeight="1"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4"/>
    </row>
    <row r="960" ht="14.25" customHeight="1"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4"/>
    </row>
    <row r="961" ht="14.25" customHeight="1"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4"/>
    </row>
    <row r="962" ht="14.25" customHeight="1"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4"/>
    </row>
    <row r="963" ht="14.25" customHeight="1"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4"/>
    </row>
    <row r="964" ht="14.25" customHeight="1"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4"/>
    </row>
    <row r="965" ht="14.25" customHeight="1"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4"/>
    </row>
    <row r="966" ht="14.25" customHeight="1"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4"/>
    </row>
    <row r="967" ht="14.25" customHeight="1"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4"/>
    </row>
    <row r="968" ht="14.25" customHeight="1"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4"/>
    </row>
    <row r="969" ht="14.25" customHeight="1"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4"/>
    </row>
    <row r="970" ht="14.25" customHeight="1"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4"/>
    </row>
    <row r="971" ht="14.25" customHeight="1"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4"/>
    </row>
    <row r="972" ht="14.25" customHeight="1"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4"/>
    </row>
    <row r="973" ht="14.25" customHeight="1"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4"/>
    </row>
    <row r="974" ht="14.25" customHeight="1"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4"/>
    </row>
    <row r="975" ht="14.25" customHeight="1"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4"/>
    </row>
    <row r="976" ht="14.25" customHeight="1"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4"/>
    </row>
    <row r="977" ht="14.25" customHeight="1"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4"/>
    </row>
    <row r="978" ht="14.25" customHeight="1"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4"/>
    </row>
    <row r="979" ht="14.25" customHeight="1"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4"/>
    </row>
    <row r="980" ht="14.25" customHeight="1"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4"/>
    </row>
    <row r="981" ht="14.25" customHeight="1"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4"/>
    </row>
    <row r="982" ht="14.25" customHeight="1"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4"/>
    </row>
    <row r="983" ht="14.25" customHeight="1"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4"/>
    </row>
    <row r="984" ht="14.25" customHeight="1"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4"/>
    </row>
    <row r="985" ht="14.25" customHeight="1"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4"/>
    </row>
    <row r="986" ht="14.25" customHeight="1"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4"/>
    </row>
    <row r="987" ht="14.25" customHeight="1"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4"/>
    </row>
    <row r="988" ht="14.25" customHeight="1"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4"/>
    </row>
    <row r="989" ht="14.25" customHeight="1"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4"/>
    </row>
    <row r="990" ht="14.25" customHeight="1"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4"/>
    </row>
    <row r="991" ht="14.25" customHeight="1"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4"/>
    </row>
    <row r="992" ht="14.25" customHeight="1"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4"/>
    </row>
    <row r="993" ht="14.25" customHeight="1"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4"/>
    </row>
    <row r="994" ht="14.25" customHeight="1"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4"/>
    </row>
    <row r="995" ht="14.25" customHeight="1"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4"/>
    </row>
    <row r="996" ht="14.25" customHeight="1"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4"/>
    </row>
    <row r="997" ht="14.25" customHeight="1"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4"/>
    </row>
    <row r="998" ht="14.25" customHeight="1"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4"/>
    </row>
    <row r="999" ht="14.25" customHeight="1"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4"/>
    </row>
    <row r="1000" ht="14.25" customHeight="1"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4"/>
    </row>
  </sheetData>
  <mergeCells count="37">
    <mergeCell ref="P12:P13"/>
    <mergeCell ref="R12:R13"/>
    <mergeCell ref="A9:T9"/>
    <mergeCell ref="A11:T11"/>
    <mergeCell ref="A12:A13"/>
    <mergeCell ref="B12:B13"/>
    <mergeCell ref="C12:C13"/>
    <mergeCell ref="D12:D13"/>
    <mergeCell ref="E12:E13"/>
    <mergeCell ref="A33:H33"/>
    <mergeCell ref="A35:F35"/>
    <mergeCell ref="F12:F13"/>
    <mergeCell ref="G12:G13"/>
    <mergeCell ref="A29:H29"/>
    <mergeCell ref="A30:H30"/>
    <mergeCell ref="A31:H31"/>
    <mergeCell ref="A32:H32"/>
    <mergeCell ref="A34:T34"/>
    <mergeCell ref="A2:T2"/>
    <mergeCell ref="A3:T3"/>
    <mergeCell ref="A4:S4"/>
    <mergeCell ref="A5:T5"/>
    <mergeCell ref="A6:T6"/>
    <mergeCell ref="A7:T7"/>
    <mergeCell ref="A8:T8"/>
    <mergeCell ref="H12:H13"/>
    <mergeCell ref="I12:I13"/>
    <mergeCell ref="J12:J13"/>
    <mergeCell ref="K12:K13"/>
    <mergeCell ref="L12:L13"/>
    <mergeCell ref="M12:M13"/>
    <mergeCell ref="N12:N13"/>
    <mergeCell ref="O12:O13"/>
    <mergeCell ref="S12:S13"/>
    <mergeCell ref="T12:T13"/>
    <mergeCell ref="S35:T35"/>
    <mergeCell ref="A36:T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6.71"/>
    <col customWidth="1" min="2" max="2" width="14.71"/>
    <col customWidth="1" min="3" max="3" width="11.71"/>
    <col customWidth="1" min="4" max="4" width="11.43"/>
    <col customWidth="1" min="5" max="5" width="0.29"/>
    <col customWidth="1" min="6" max="6" width="17.29"/>
    <col customWidth="1" min="7" max="7" width="23.29"/>
    <col customWidth="1" min="8" max="8" width="20.14"/>
    <col customWidth="1" min="9" max="9" width="12.29"/>
    <col customWidth="1" min="10" max="10" width="12.86"/>
    <col customWidth="1" min="11" max="11" width="12.29"/>
    <col customWidth="1" min="12" max="12" width="30.29"/>
    <col customWidth="1" min="13" max="13" width="9.71"/>
    <col customWidth="1" min="14" max="14" width="11.57"/>
    <col customWidth="1" min="15" max="17" width="14.29"/>
    <col customWidth="1" min="18" max="18" width="4.71"/>
    <col customWidth="1" min="19" max="19" width="12.43"/>
    <col customWidth="1" min="20" max="20" width="22.71"/>
    <col customWidth="1" min="21" max="24" width="11.14"/>
    <col customWidth="1" min="25" max="27" width="15.29"/>
    <col customWidth="1" min="28" max="28" width="17.57"/>
    <col customWidth="1" min="29" max="29" width="16.71"/>
    <col customWidth="1" min="30" max="30" width="16.0"/>
    <col customWidth="1" min="31" max="31" width="9.71"/>
    <col customWidth="1" min="32" max="32" width="8.71"/>
    <col customWidth="1" min="33" max="33" width="20.0"/>
    <col customWidth="1" min="34" max="34" width="22.86"/>
  </cols>
  <sheetData>
    <row r="1" ht="14.25" hidden="1" customHeight="1">
      <c r="F1" s="119"/>
      <c r="G1" s="119"/>
      <c r="H1" s="120"/>
      <c r="I1" s="119"/>
      <c r="J1" s="119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ht="14.25" hidden="1" customHeight="1">
      <c r="A2" s="5" t="s">
        <v>158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ht="14.25" hidden="1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</row>
    <row r="4" ht="17.25" hidden="1" customHeight="1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10"/>
    </row>
    <row r="5" ht="33.0" hidden="1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7"/>
    </row>
    <row r="6" ht="14.25" hidden="1" customHeight="1">
      <c r="A6" s="11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</row>
    <row r="7" ht="14.25" hidden="1" customHeight="1">
      <c r="A7" s="11"/>
      <c r="B7" s="12"/>
      <c r="C7" s="12"/>
      <c r="D7" s="12"/>
      <c r="E7" s="12"/>
      <c r="F7" s="121"/>
      <c r="G7" s="121"/>
      <c r="H7" s="122"/>
      <c r="I7" s="121"/>
      <c r="J7" s="121"/>
      <c r="K7" s="12"/>
      <c r="L7" s="12"/>
      <c r="M7" s="13"/>
      <c r="N7" s="13"/>
      <c r="O7" s="13"/>
      <c r="P7" s="13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</row>
    <row r="8" ht="18.75" hidden="1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</row>
    <row r="9" ht="29.25" customHeight="1">
      <c r="A9" s="20" t="s">
        <v>12</v>
      </c>
      <c r="B9" s="21" t="s">
        <v>15</v>
      </c>
      <c r="C9" s="21" t="s">
        <v>13</v>
      </c>
      <c r="D9" s="21" t="s">
        <v>14</v>
      </c>
      <c r="E9" s="21" t="s">
        <v>15</v>
      </c>
      <c r="F9" s="21" t="s">
        <v>16</v>
      </c>
      <c r="G9" s="21" t="s">
        <v>169</v>
      </c>
      <c r="H9" s="24" t="s">
        <v>23</v>
      </c>
      <c r="I9" s="21" t="s">
        <v>27</v>
      </c>
      <c r="J9" s="21" t="s">
        <v>30</v>
      </c>
      <c r="K9" s="21" t="s">
        <v>18</v>
      </c>
      <c r="L9" s="21" t="s">
        <v>31</v>
      </c>
      <c r="M9" s="22" t="s">
        <v>170</v>
      </c>
      <c r="N9" s="21" t="s">
        <v>21</v>
      </c>
      <c r="O9" s="21" t="s">
        <v>22</v>
      </c>
      <c r="P9" s="21" t="s">
        <v>171</v>
      </c>
      <c r="Q9" s="21" t="s">
        <v>172</v>
      </c>
      <c r="R9" s="32" t="s">
        <v>24</v>
      </c>
      <c r="S9" s="23" t="s">
        <v>25</v>
      </c>
      <c r="T9" s="25" t="s">
        <v>174</v>
      </c>
      <c r="U9" s="23" t="s">
        <v>37</v>
      </c>
      <c r="V9" s="25" t="s">
        <v>39</v>
      </c>
      <c r="W9" s="25" t="s">
        <v>40</v>
      </c>
      <c r="X9" s="25" t="s">
        <v>43</v>
      </c>
      <c r="Y9" s="25" t="s">
        <v>45</v>
      </c>
      <c r="Z9" s="25" t="s">
        <v>46</v>
      </c>
      <c r="AA9" s="25" t="s">
        <v>47</v>
      </c>
      <c r="AB9" s="25" t="s">
        <v>48</v>
      </c>
      <c r="AC9" s="23" t="s">
        <v>32</v>
      </c>
      <c r="AD9" s="23" t="s">
        <v>33</v>
      </c>
      <c r="AE9" s="27" t="s">
        <v>34</v>
      </c>
    </row>
    <row r="10" ht="27.0" customHeight="1">
      <c r="A10" s="28"/>
      <c r="B10" s="30"/>
      <c r="C10" s="29"/>
      <c r="D10" s="29"/>
      <c r="E10" s="29"/>
      <c r="F10" s="29"/>
      <c r="G10" s="30"/>
      <c r="H10" s="30"/>
      <c r="I10" s="29"/>
      <c r="J10" s="30"/>
      <c r="K10" s="29"/>
      <c r="L10" s="29"/>
      <c r="M10" s="29"/>
      <c r="N10" s="29"/>
      <c r="O10" s="29"/>
      <c r="P10" s="30"/>
      <c r="Q10" s="30"/>
      <c r="R10" s="29"/>
      <c r="S10" s="29"/>
      <c r="T10" s="29"/>
      <c r="U10" s="29"/>
      <c r="V10" s="30"/>
      <c r="W10" s="30"/>
      <c r="X10" s="30"/>
      <c r="Y10" s="30"/>
      <c r="Z10" s="30"/>
      <c r="AA10" s="30"/>
      <c r="AB10" s="30"/>
      <c r="AC10" s="30"/>
      <c r="AD10" s="30"/>
      <c r="AE10" s="33"/>
    </row>
    <row r="11" ht="14.25" customHeight="1">
      <c r="A11" s="42">
        <v>1.0</v>
      </c>
      <c r="B11" s="42" t="s">
        <v>175</v>
      </c>
      <c r="C11" s="44">
        <v>45997.0</v>
      </c>
      <c r="D11" s="35">
        <v>46003.0</v>
      </c>
      <c r="E11" s="37"/>
      <c r="F11" s="37" t="s">
        <v>176</v>
      </c>
      <c r="G11" s="37" t="s">
        <v>177</v>
      </c>
      <c r="H11" s="49">
        <v>1.07769700402E11</v>
      </c>
      <c r="I11" s="37"/>
      <c r="J11" s="37"/>
      <c r="K11" s="42"/>
      <c r="L11" s="37" t="s">
        <v>178</v>
      </c>
      <c r="M11" s="48"/>
      <c r="N11" s="43"/>
      <c r="O11" s="43">
        <v>4000000.0</v>
      </c>
      <c r="P11" s="43"/>
      <c r="Q11" s="43"/>
      <c r="R11" s="50"/>
      <c r="S11" s="47"/>
      <c r="T11" s="51">
        <v>4000000.0</v>
      </c>
      <c r="U11" s="47"/>
      <c r="V11" s="47"/>
      <c r="W11" s="47"/>
      <c r="X11" s="47"/>
      <c r="Y11" s="47"/>
      <c r="Z11" s="47"/>
      <c r="AA11" s="47"/>
      <c r="AB11" s="47"/>
      <c r="AC11" s="47"/>
      <c r="AD11" s="47">
        <f t="shared" ref="AD11:AD15" si="1">O11+SUM(S11:AB11)</f>
        <v>8000000</v>
      </c>
      <c r="AE11" s="52"/>
      <c r="AF11" s="56"/>
      <c r="AG11" s="54"/>
      <c r="AH11" s="54"/>
    </row>
    <row r="12" ht="14.25" customHeight="1">
      <c r="A12" s="42">
        <f t="shared" ref="A12:A17" si="2">A11+1</f>
        <v>2</v>
      </c>
      <c r="B12" s="42" t="s">
        <v>175</v>
      </c>
      <c r="C12" s="44">
        <v>45997.0</v>
      </c>
      <c r="D12" s="35">
        <v>46003.0</v>
      </c>
      <c r="E12" s="37"/>
      <c r="F12" s="37" t="s">
        <v>176</v>
      </c>
      <c r="G12" s="37" t="s">
        <v>177</v>
      </c>
      <c r="H12" s="49">
        <v>1.07769827433E11</v>
      </c>
      <c r="I12" s="37"/>
      <c r="J12" s="37"/>
      <c r="K12" s="42"/>
      <c r="L12" s="37" t="s">
        <v>179</v>
      </c>
      <c r="M12" s="48"/>
      <c r="N12" s="43"/>
      <c r="O12" s="43">
        <v>4000000.0</v>
      </c>
      <c r="P12" s="43"/>
      <c r="Q12" s="43"/>
      <c r="R12" s="59"/>
      <c r="S12" s="47"/>
      <c r="T12" s="60">
        <v>3000000.0</v>
      </c>
      <c r="U12" s="47"/>
      <c r="V12" s="47"/>
      <c r="W12" s="47"/>
      <c r="X12" s="47"/>
      <c r="Y12" s="47"/>
      <c r="Z12" s="47"/>
      <c r="AA12" s="47"/>
      <c r="AB12" s="47"/>
      <c r="AC12" s="47"/>
      <c r="AD12" s="47">
        <f t="shared" si="1"/>
        <v>7000000</v>
      </c>
      <c r="AE12" s="52"/>
      <c r="AF12" s="56"/>
      <c r="AG12" s="54"/>
      <c r="AH12" s="54"/>
    </row>
    <row r="13" ht="14.25" customHeight="1">
      <c r="A13" s="42">
        <f t="shared" si="2"/>
        <v>3</v>
      </c>
      <c r="B13" s="42" t="s">
        <v>175</v>
      </c>
      <c r="C13" s="44">
        <v>46003.0</v>
      </c>
      <c r="D13" s="35">
        <v>46004.0</v>
      </c>
      <c r="E13" s="37"/>
      <c r="F13" s="37" t="s">
        <v>63</v>
      </c>
      <c r="G13" s="37" t="s">
        <v>177</v>
      </c>
      <c r="H13" s="49"/>
      <c r="I13" s="37"/>
      <c r="J13" s="37" t="s">
        <v>180</v>
      </c>
      <c r="K13" s="42" t="s">
        <v>181</v>
      </c>
      <c r="L13" s="37" t="s">
        <v>182</v>
      </c>
      <c r="M13" s="48"/>
      <c r="N13" s="43"/>
      <c r="O13" s="43">
        <v>4800000.0</v>
      </c>
      <c r="P13" s="43"/>
      <c r="Q13" s="43"/>
      <c r="R13" s="59">
        <v>7.0</v>
      </c>
      <c r="S13" s="47">
        <v>1.05E7</v>
      </c>
      <c r="T13" s="60"/>
      <c r="U13" s="47">
        <v>300000.0</v>
      </c>
      <c r="V13" s="47">
        <v>1000000.0</v>
      </c>
      <c r="W13" s="47"/>
      <c r="X13" s="47"/>
      <c r="Y13" s="47">
        <v>1850000.0</v>
      </c>
      <c r="Z13" s="47"/>
      <c r="AA13" s="47"/>
      <c r="AB13" s="47"/>
      <c r="AC13" s="47"/>
      <c r="AD13" s="47">
        <f t="shared" si="1"/>
        <v>18450000</v>
      </c>
      <c r="AE13" s="52"/>
      <c r="AF13" s="56"/>
      <c r="AG13" s="56"/>
      <c r="AH13" s="56"/>
    </row>
    <row r="14" ht="14.25" customHeight="1">
      <c r="A14" s="42">
        <f t="shared" si="2"/>
        <v>4</v>
      </c>
      <c r="B14" s="42" t="s">
        <v>185</v>
      </c>
      <c r="C14" s="44">
        <v>46005.0</v>
      </c>
      <c r="D14" s="35">
        <v>46005.0</v>
      </c>
      <c r="E14" s="37"/>
      <c r="F14" s="37" t="s">
        <v>176</v>
      </c>
      <c r="G14" s="37" t="s">
        <v>186</v>
      </c>
      <c r="H14" s="49">
        <v>1.0779945095E11</v>
      </c>
      <c r="I14" s="37" t="s">
        <v>187</v>
      </c>
      <c r="J14" s="37"/>
      <c r="K14" s="42" t="s">
        <v>188</v>
      </c>
      <c r="L14" s="37" t="s">
        <v>189</v>
      </c>
      <c r="M14" s="48"/>
      <c r="N14" s="43"/>
      <c r="O14" s="43">
        <v>4500000.0</v>
      </c>
      <c r="P14" s="43"/>
      <c r="Q14" s="43"/>
      <c r="R14" s="59"/>
      <c r="S14" s="47"/>
      <c r="T14" s="63"/>
      <c r="U14" s="47"/>
      <c r="V14" s="47"/>
      <c r="W14" s="47"/>
      <c r="X14" s="47"/>
      <c r="Y14" s="47"/>
      <c r="Z14" s="47"/>
      <c r="AA14" s="47"/>
      <c r="AB14" s="47"/>
      <c r="AC14" s="47"/>
      <c r="AD14" s="47">
        <f t="shared" si="1"/>
        <v>4500000</v>
      </c>
      <c r="AE14" s="52"/>
      <c r="AF14" s="56"/>
      <c r="AG14" s="56"/>
      <c r="AH14" s="56"/>
    </row>
    <row r="15" ht="14.25" customHeight="1">
      <c r="A15" s="42">
        <f t="shared" si="2"/>
        <v>5</v>
      </c>
      <c r="B15" s="42" t="s">
        <v>185</v>
      </c>
      <c r="C15" s="44">
        <v>46005.0</v>
      </c>
      <c r="D15" s="35">
        <v>46005.0</v>
      </c>
      <c r="E15" s="37"/>
      <c r="F15" s="37" t="s">
        <v>191</v>
      </c>
      <c r="G15" s="37" t="s">
        <v>186</v>
      </c>
      <c r="H15" s="49"/>
      <c r="I15" s="37"/>
      <c r="J15" s="37" t="s">
        <v>192</v>
      </c>
      <c r="K15" s="42" t="s">
        <v>188</v>
      </c>
      <c r="L15" s="124" t="s">
        <v>194</v>
      </c>
      <c r="M15" s="48"/>
      <c r="N15" s="43"/>
      <c r="O15" s="43">
        <v>4.0E7</v>
      </c>
      <c r="P15" s="43"/>
      <c r="Q15" s="43"/>
      <c r="R15" s="59"/>
      <c r="S15" s="47"/>
      <c r="T15" s="63">
        <v>3000000.0</v>
      </c>
      <c r="U15" s="47">
        <v>800000.0</v>
      </c>
      <c r="V15" s="47">
        <v>600000.0</v>
      </c>
      <c r="W15" s="47">
        <v>500000.0</v>
      </c>
      <c r="X15" s="47">
        <v>1000000.0</v>
      </c>
      <c r="Y15" s="47">
        <v>7776000.0</v>
      </c>
      <c r="Z15" s="47"/>
      <c r="AA15" s="47"/>
      <c r="AB15" s="47"/>
      <c r="AC15" s="47"/>
      <c r="AD15" s="47">
        <f t="shared" si="1"/>
        <v>53676000</v>
      </c>
      <c r="AE15" s="52"/>
      <c r="AF15" s="56"/>
      <c r="AG15" s="56"/>
      <c r="AH15" s="56"/>
    </row>
    <row r="16" ht="14.25" customHeight="1">
      <c r="A16" s="42">
        <f t="shared" si="2"/>
        <v>6</v>
      </c>
      <c r="B16" s="42" t="s">
        <v>185</v>
      </c>
      <c r="C16" s="44">
        <v>46005.0</v>
      </c>
      <c r="D16" s="35">
        <v>46005.0</v>
      </c>
      <c r="E16" s="37"/>
      <c r="F16" s="37" t="s">
        <v>176</v>
      </c>
      <c r="G16" s="37" t="s">
        <v>186</v>
      </c>
      <c r="H16" s="49">
        <v>1.0779945095E11</v>
      </c>
      <c r="I16" s="37" t="s">
        <v>197</v>
      </c>
      <c r="J16" s="37"/>
      <c r="K16" s="42" t="s">
        <v>188</v>
      </c>
      <c r="L16" s="37" t="s">
        <v>189</v>
      </c>
      <c r="M16" s="48"/>
      <c r="N16" s="43"/>
      <c r="O16" s="43">
        <v>4500000.0</v>
      </c>
      <c r="P16" s="43"/>
      <c r="Q16" s="43"/>
      <c r="R16" s="59"/>
      <c r="S16" s="47"/>
      <c r="T16" s="63"/>
      <c r="U16" s="47"/>
      <c r="V16" s="47"/>
      <c r="W16" s="47"/>
      <c r="X16" s="47"/>
      <c r="Y16" s="47"/>
      <c r="Z16" s="47"/>
      <c r="AA16" s="47"/>
      <c r="AB16" s="47"/>
      <c r="AC16" s="47"/>
      <c r="AD16" s="47">
        <f>O16+S16+U16+V16+AB16</f>
        <v>4500000</v>
      </c>
      <c r="AE16" s="52"/>
      <c r="AF16" s="56"/>
      <c r="AG16" s="56"/>
      <c r="AH16" s="56"/>
    </row>
    <row r="17" ht="14.25" customHeight="1">
      <c r="A17" s="42">
        <f t="shared" si="2"/>
        <v>7</v>
      </c>
      <c r="B17" s="42" t="s">
        <v>185</v>
      </c>
      <c r="C17" s="44">
        <v>46005.0</v>
      </c>
      <c r="D17" s="35">
        <v>46005.0</v>
      </c>
      <c r="E17" s="37"/>
      <c r="F17" s="37" t="s">
        <v>191</v>
      </c>
      <c r="G17" s="37" t="s">
        <v>186</v>
      </c>
      <c r="H17" s="49"/>
      <c r="I17" s="68"/>
      <c r="J17" s="68" t="s">
        <v>200</v>
      </c>
      <c r="K17" s="42" t="s">
        <v>188</v>
      </c>
      <c r="L17" s="124" t="s">
        <v>194</v>
      </c>
      <c r="M17" s="48"/>
      <c r="N17" s="43"/>
      <c r="O17" s="43">
        <v>4.0E7</v>
      </c>
      <c r="P17" s="43"/>
      <c r="Q17" s="43"/>
      <c r="R17" s="59"/>
      <c r="S17" s="47">
        <v>3000000.0</v>
      </c>
      <c r="T17" s="63">
        <v>3000000.0</v>
      </c>
      <c r="U17" s="47">
        <v>800000.0</v>
      </c>
      <c r="V17" s="47">
        <v>600000.0</v>
      </c>
      <c r="W17" s="47">
        <v>500000.0</v>
      </c>
      <c r="X17" s="47">
        <v>1000000.0</v>
      </c>
      <c r="Y17" s="47">
        <v>8208000.0</v>
      </c>
      <c r="Z17" s="47"/>
      <c r="AA17" s="47"/>
      <c r="AB17" s="47"/>
      <c r="AC17" s="47"/>
      <c r="AD17" s="47">
        <f>O17+S17+T17+U17+V17+W17+X17+Y17</f>
        <v>57108000</v>
      </c>
      <c r="AE17" s="52"/>
      <c r="AF17" s="56"/>
      <c r="AG17" s="56"/>
      <c r="AH17" s="56"/>
    </row>
    <row r="18" ht="14.25" customHeight="1">
      <c r="A18" s="42"/>
      <c r="B18" s="42" t="s">
        <v>202</v>
      </c>
      <c r="C18" s="44">
        <v>46372.0</v>
      </c>
      <c r="D18" s="35">
        <v>46372.0</v>
      </c>
      <c r="E18" s="37"/>
      <c r="F18" s="37" t="s">
        <v>176</v>
      </c>
      <c r="G18" s="37" t="s">
        <v>202</v>
      </c>
      <c r="H18" s="49">
        <v>1.0780515256E11</v>
      </c>
      <c r="I18" s="68"/>
      <c r="J18" s="68"/>
      <c r="K18" s="42" t="s">
        <v>203</v>
      </c>
      <c r="L18" s="37" t="s">
        <v>189</v>
      </c>
      <c r="M18" s="48"/>
      <c r="N18" s="43"/>
      <c r="O18" s="43">
        <v>800000.0</v>
      </c>
      <c r="P18" s="43"/>
      <c r="Q18" s="43"/>
      <c r="R18" s="59"/>
      <c r="S18" s="47"/>
      <c r="T18" s="63"/>
      <c r="U18" s="47"/>
      <c r="V18" s="47"/>
      <c r="W18" s="47"/>
      <c r="X18" s="47"/>
      <c r="Y18" s="47"/>
      <c r="Z18" s="47"/>
      <c r="AA18" s="47"/>
      <c r="AB18" s="47"/>
      <c r="AC18" s="47"/>
      <c r="AD18" s="47">
        <f>O18</f>
        <v>800000</v>
      </c>
      <c r="AE18" s="52"/>
      <c r="AF18" s="56"/>
      <c r="AG18" s="56"/>
      <c r="AH18" s="56"/>
    </row>
    <row r="19" ht="14.25" customHeight="1">
      <c r="A19" s="42">
        <f>A17+1</f>
        <v>8</v>
      </c>
      <c r="B19" s="42" t="s">
        <v>185</v>
      </c>
      <c r="C19" s="44">
        <v>46006.0</v>
      </c>
      <c r="D19" s="35">
        <v>46008.0</v>
      </c>
      <c r="E19" s="37"/>
      <c r="F19" s="37" t="s">
        <v>176</v>
      </c>
      <c r="G19" s="37" t="s">
        <v>205</v>
      </c>
      <c r="H19" s="134" t="s">
        <v>206</v>
      </c>
      <c r="I19" s="37" t="s">
        <v>208</v>
      </c>
      <c r="J19" s="37" t="s">
        <v>209</v>
      </c>
      <c r="K19" s="42" t="s">
        <v>210</v>
      </c>
      <c r="L19" s="37" t="s">
        <v>211</v>
      </c>
      <c r="M19" s="48"/>
      <c r="N19" s="43"/>
      <c r="O19" s="43">
        <v>2000000.0</v>
      </c>
      <c r="P19" s="43"/>
      <c r="Q19" s="43"/>
      <c r="R19" s="59"/>
      <c r="S19" s="47"/>
      <c r="T19" s="60"/>
      <c r="U19" s="47">
        <v>800000.0</v>
      </c>
      <c r="V19" s="47">
        <v>400000.0</v>
      </c>
      <c r="W19" s="47"/>
      <c r="X19" s="47"/>
      <c r="Y19" s="47">
        <v>3053455.0</v>
      </c>
      <c r="Z19" s="47"/>
      <c r="AA19" s="47"/>
      <c r="AB19" s="47"/>
      <c r="AC19" s="47"/>
      <c r="AD19" s="47">
        <f>O19+U19+V19+Y19</f>
        <v>6253455</v>
      </c>
      <c r="AE19" s="52"/>
      <c r="AF19" s="56"/>
      <c r="AG19" s="56"/>
      <c r="AH19" s="56"/>
    </row>
    <row r="20" ht="14.25" customHeight="1">
      <c r="A20" s="42">
        <f t="shared" ref="A20:A56" si="3">A19+1</f>
        <v>9</v>
      </c>
      <c r="B20" s="42" t="s">
        <v>185</v>
      </c>
      <c r="C20" s="44">
        <v>46006.0</v>
      </c>
      <c r="D20" s="35">
        <v>46008.0</v>
      </c>
      <c r="E20" s="37"/>
      <c r="F20" s="37" t="s">
        <v>176</v>
      </c>
      <c r="G20" s="37" t="s">
        <v>213</v>
      </c>
      <c r="H20" s="142" t="s">
        <v>215</v>
      </c>
      <c r="I20" s="37"/>
      <c r="J20" s="37"/>
      <c r="K20" s="42"/>
      <c r="L20" s="37" t="s">
        <v>216</v>
      </c>
      <c r="M20" s="48"/>
      <c r="N20" s="43"/>
      <c r="O20" s="43">
        <v>4500000.0</v>
      </c>
      <c r="P20" s="43"/>
      <c r="Q20" s="43"/>
      <c r="R20" s="59"/>
      <c r="S20" s="47"/>
      <c r="T20" s="60"/>
      <c r="U20" s="47"/>
      <c r="V20" s="47"/>
      <c r="W20" s="47"/>
      <c r="X20" s="47"/>
      <c r="Y20" s="47"/>
      <c r="Z20" s="47"/>
      <c r="AA20" s="47"/>
      <c r="AB20" s="47"/>
      <c r="AC20" s="47"/>
      <c r="AD20" s="47">
        <f t="shared" ref="AD20:AD21" si="4">O20+S20+U20+V20+AB20</f>
        <v>4500000</v>
      </c>
      <c r="AE20" s="52"/>
      <c r="AF20" s="56"/>
      <c r="AG20" s="56"/>
      <c r="AH20" s="56"/>
    </row>
    <row r="21" ht="14.25" customHeight="1">
      <c r="A21" s="42">
        <f t="shared" si="3"/>
        <v>10</v>
      </c>
      <c r="B21" s="42" t="s">
        <v>185</v>
      </c>
      <c r="C21" s="44">
        <v>46006.0</v>
      </c>
      <c r="D21" s="35">
        <v>46008.0</v>
      </c>
      <c r="E21" s="37"/>
      <c r="F21" s="37" t="s">
        <v>176</v>
      </c>
      <c r="G21" s="37" t="s">
        <v>217</v>
      </c>
      <c r="H21" s="142" t="s">
        <v>218</v>
      </c>
      <c r="I21" s="37"/>
      <c r="J21" s="37"/>
      <c r="K21" s="42"/>
      <c r="L21" s="37" t="s">
        <v>219</v>
      </c>
      <c r="M21" s="48"/>
      <c r="N21" s="43"/>
      <c r="O21" s="43">
        <v>2000000.0</v>
      </c>
      <c r="P21" s="43"/>
      <c r="Q21" s="43"/>
      <c r="R21" s="59"/>
      <c r="S21" s="47"/>
      <c r="T21" s="60"/>
      <c r="U21" s="47"/>
      <c r="V21" s="47"/>
      <c r="W21" s="47"/>
      <c r="X21" s="47"/>
      <c r="Y21" s="47"/>
      <c r="Z21" s="47"/>
      <c r="AA21" s="47"/>
      <c r="AB21" s="47"/>
      <c r="AC21" s="47"/>
      <c r="AD21" s="47">
        <f t="shared" si="4"/>
        <v>2000000</v>
      </c>
      <c r="AE21" s="52"/>
      <c r="AF21" s="56"/>
      <c r="AG21" s="56"/>
      <c r="AH21" s="56"/>
    </row>
    <row r="22" ht="14.25" customHeight="1">
      <c r="A22" s="42">
        <f t="shared" si="3"/>
        <v>11</v>
      </c>
      <c r="B22" s="42" t="s">
        <v>185</v>
      </c>
      <c r="C22" s="44">
        <v>46006.0</v>
      </c>
      <c r="D22" s="35">
        <v>46008.0</v>
      </c>
      <c r="E22" s="37"/>
      <c r="F22" s="37" t="s">
        <v>63</v>
      </c>
      <c r="G22" s="144" t="s">
        <v>220</v>
      </c>
      <c r="H22" s="49"/>
      <c r="I22" s="145" t="s">
        <v>221</v>
      </c>
      <c r="J22" s="145" t="s">
        <v>222</v>
      </c>
      <c r="K22" s="42" t="s">
        <v>181</v>
      </c>
      <c r="L22" s="124" t="s">
        <v>223</v>
      </c>
      <c r="M22" s="48"/>
      <c r="N22" s="43"/>
      <c r="O22" s="43">
        <v>5500000.0</v>
      </c>
      <c r="P22" s="43"/>
      <c r="Q22" s="43"/>
      <c r="R22" s="59"/>
      <c r="S22" s="47"/>
      <c r="T22" s="60"/>
      <c r="U22" s="47">
        <v>300000.0</v>
      </c>
      <c r="V22" s="47">
        <v>150000.0</v>
      </c>
      <c r="W22" s="47"/>
      <c r="X22" s="47"/>
      <c r="Y22" s="47">
        <v>864000.0</v>
      </c>
      <c r="Z22" s="47"/>
      <c r="AA22" s="47"/>
      <c r="AB22" s="47"/>
      <c r="AC22" s="47"/>
      <c r="AD22" s="47">
        <f>O22+U22+V22+Y22</f>
        <v>6814000</v>
      </c>
      <c r="AE22" s="52"/>
      <c r="AF22" s="56"/>
      <c r="AG22" s="56"/>
      <c r="AH22" s="56"/>
    </row>
    <row r="23" ht="14.25" customHeight="1">
      <c r="A23" s="42">
        <f t="shared" si="3"/>
        <v>12</v>
      </c>
      <c r="B23" s="42" t="s">
        <v>185</v>
      </c>
      <c r="C23" s="44">
        <v>46006.0</v>
      </c>
      <c r="D23" s="35">
        <v>46008.0</v>
      </c>
      <c r="E23" s="37"/>
      <c r="F23" s="37" t="s">
        <v>63</v>
      </c>
      <c r="G23" s="144" t="s">
        <v>213</v>
      </c>
      <c r="H23" s="49"/>
      <c r="I23" s="37"/>
      <c r="J23" s="37"/>
      <c r="K23" s="42"/>
      <c r="L23" s="124" t="s">
        <v>224</v>
      </c>
      <c r="M23" s="48"/>
      <c r="N23" s="43"/>
      <c r="O23" s="43">
        <v>18000.0</v>
      </c>
      <c r="P23" s="43">
        <v>70.0</v>
      </c>
      <c r="Q23" s="43">
        <v>891.0</v>
      </c>
      <c r="R23" s="59"/>
      <c r="S23" s="47"/>
      <c r="T23" s="60"/>
      <c r="U23" s="47"/>
      <c r="V23" s="47"/>
      <c r="W23" s="47"/>
      <c r="X23" s="47"/>
      <c r="Y23" s="47"/>
      <c r="Z23" s="47"/>
      <c r="AA23" s="47"/>
      <c r="AB23" s="47"/>
      <c r="AC23" s="47"/>
      <c r="AD23" s="47">
        <f t="shared" ref="AD23:AD24" si="5">O23*P23</f>
        <v>1260000</v>
      </c>
      <c r="AE23" s="52"/>
      <c r="AF23" s="56"/>
      <c r="AG23" s="56"/>
      <c r="AH23" s="56"/>
    </row>
    <row r="24" ht="14.25" customHeight="1">
      <c r="A24" s="42">
        <f t="shared" si="3"/>
        <v>13</v>
      </c>
      <c r="B24" s="42" t="s">
        <v>185</v>
      </c>
      <c r="C24" s="44">
        <v>46006.0</v>
      </c>
      <c r="D24" s="35">
        <v>46008.0</v>
      </c>
      <c r="E24" s="37"/>
      <c r="F24" s="37" t="s">
        <v>63</v>
      </c>
      <c r="G24" s="144" t="s">
        <v>217</v>
      </c>
      <c r="H24" s="49"/>
      <c r="I24" s="37"/>
      <c r="J24" s="37"/>
      <c r="K24" s="42"/>
      <c r="L24" s="124" t="s">
        <v>225</v>
      </c>
      <c r="M24" s="48"/>
      <c r="N24" s="43"/>
      <c r="O24" s="43">
        <v>33000.0</v>
      </c>
      <c r="P24" s="43">
        <v>65.0</v>
      </c>
      <c r="Q24" s="43">
        <v>5280.0</v>
      </c>
      <c r="R24" s="59"/>
      <c r="S24" s="47"/>
      <c r="T24" s="60"/>
      <c r="U24" s="47"/>
      <c r="V24" s="47"/>
      <c r="W24" s="47"/>
      <c r="X24" s="47"/>
      <c r="Y24" s="47"/>
      <c r="Z24" s="47"/>
      <c r="AA24" s="47"/>
      <c r="AB24" s="47"/>
      <c r="AC24" s="47"/>
      <c r="AD24" s="47">
        <f t="shared" si="5"/>
        <v>2145000</v>
      </c>
      <c r="AE24" s="52"/>
      <c r="AF24" s="56"/>
      <c r="AG24" s="56"/>
      <c r="AH24" s="56"/>
    </row>
    <row r="25" ht="14.25" customHeight="1">
      <c r="A25" s="42">
        <f t="shared" si="3"/>
        <v>14</v>
      </c>
      <c r="B25" s="42" t="s">
        <v>202</v>
      </c>
      <c r="C25" s="44">
        <v>46374.0</v>
      </c>
      <c r="D25" s="35">
        <v>46374.0</v>
      </c>
      <c r="E25" s="37"/>
      <c r="F25" s="37" t="s">
        <v>226</v>
      </c>
      <c r="G25" s="37" t="s">
        <v>202</v>
      </c>
      <c r="H25" s="49"/>
      <c r="I25" s="37"/>
      <c r="J25" s="37" t="s">
        <v>227</v>
      </c>
      <c r="K25" s="42" t="s">
        <v>203</v>
      </c>
      <c r="L25" s="124" t="s">
        <v>228</v>
      </c>
      <c r="M25" s="48">
        <v>1.0</v>
      </c>
      <c r="N25" s="43"/>
      <c r="O25" s="43">
        <v>3900000.0</v>
      </c>
      <c r="P25" s="43"/>
      <c r="Q25" s="43"/>
      <c r="R25" s="59"/>
      <c r="S25" s="47"/>
      <c r="T25" s="60"/>
      <c r="U25" s="47"/>
      <c r="V25" s="47"/>
      <c r="W25" s="47"/>
      <c r="X25" s="47"/>
      <c r="Y25" s="47"/>
      <c r="Z25" s="47"/>
      <c r="AA25" s="47"/>
      <c r="AB25" s="47"/>
      <c r="AC25" s="47"/>
      <c r="AD25" s="47">
        <f>O25</f>
        <v>3900000</v>
      </c>
      <c r="AE25" s="52"/>
      <c r="AF25" s="56"/>
      <c r="AG25" s="56"/>
      <c r="AH25" s="56"/>
    </row>
    <row r="26" ht="14.25" customHeight="1">
      <c r="A26" s="42">
        <f t="shared" si="3"/>
        <v>15</v>
      </c>
      <c r="B26" s="42" t="s">
        <v>185</v>
      </c>
      <c r="C26" s="44">
        <v>46007.0</v>
      </c>
      <c r="D26" s="35">
        <v>46010.0</v>
      </c>
      <c r="E26" s="37"/>
      <c r="F26" s="37" t="s">
        <v>176</v>
      </c>
      <c r="G26" s="144" t="s">
        <v>213</v>
      </c>
      <c r="H26" s="142" t="s">
        <v>229</v>
      </c>
      <c r="I26" s="37"/>
      <c r="J26" s="37"/>
      <c r="K26" s="42"/>
      <c r="L26" s="37" t="s">
        <v>216</v>
      </c>
      <c r="M26" s="48"/>
      <c r="N26" s="43"/>
      <c r="O26" s="73">
        <v>4500000.0</v>
      </c>
      <c r="P26" s="73"/>
      <c r="Q26" s="73"/>
      <c r="R26" s="59"/>
      <c r="S26" s="47"/>
      <c r="T26" s="60"/>
      <c r="U26" s="47"/>
      <c r="V26" s="47"/>
      <c r="W26" s="47"/>
      <c r="X26" s="47"/>
      <c r="Y26" s="47"/>
      <c r="Z26" s="47"/>
      <c r="AA26" s="47"/>
      <c r="AB26" s="47"/>
      <c r="AC26" s="47"/>
      <c r="AD26" s="47">
        <f t="shared" ref="AD26:AD28" si="6">O26+S26+U26+V26+AB26</f>
        <v>4500000</v>
      </c>
      <c r="AE26" s="52"/>
      <c r="AF26" s="56"/>
      <c r="AG26" s="56"/>
      <c r="AH26" s="56"/>
    </row>
    <row r="27" ht="14.25" customHeight="1">
      <c r="A27" s="42">
        <f t="shared" si="3"/>
        <v>16</v>
      </c>
      <c r="B27" s="42" t="s">
        <v>185</v>
      </c>
      <c r="C27" s="44">
        <v>46007.0</v>
      </c>
      <c r="D27" s="35">
        <v>46010.0</v>
      </c>
      <c r="E27" s="37"/>
      <c r="F27" s="37" t="s">
        <v>176</v>
      </c>
      <c r="G27" s="144" t="s">
        <v>230</v>
      </c>
      <c r="H27" s="142" t="s">
        <v>231</v>
      </c>
      <c r="I27" s="37"/>
      <c r="J27" s="37"/>
      <c r="K27" s="42"/>
      <c r="L27" s="37" t="s">
        <v>232</v>
      </c>
      <c r="M27" s="48"/>
      <c r="N27" s="43"/>
      <c r="O27" s="73">
        <v>4500000.0</v>
      </c>
      <c r="P27" s="73"/>
      <c r="Q27" s="73"/>
      <c r="R27" s="59"/>
      <c r="S27" s="47"/>
      <c r="T27" s="60"/>
      <c r="U27" s="47"/>
      <c r="V27" s="47"/>
      <c r="W27" s="47"/>
      <c r="X27" s="47"/>
      <c r="Y27" s="47"/>
      <c r="Z27" s="47"/>
      <c r="AA27" s="47"/>
      <c r="AB27" s="47"/>
      <c r="AC27" s="47"/>
      <c r="AD27" s="47">
        <f t="shared" si="6"/>
        <v>4500000</v>
      </c>
      <c r="AE27" s="52"/>
      <c r="AF27" s="56"/>
      <c r="AG27" s="56"/>
      <c r="AH27" s="56"/>
    </row>
    <row r="28" ht="14.25" customHeight="1">
      <c r="A28" s="42">
        <f t="shared" si="3"/>
        <v>17</v>
      </c>
      <c r="B28" s="42" t="s">
        <v>185</v>
      </c>
      <c r="C28" s="44">
        <v>46007.0</v>
      </c>
      <c r="D28" s="35">
        <v>46010.0</v>
      </c>
      <c r="E28" s="37"/>
      <c r="F28" s="37" t="s">
        <v>176</v>
      </c>
      <c r="G28" s="144" t="s">
        <v>233</v>
      </c>
      <c r="H28" s="142" t="s">
        <v>234</v>
      </c>
      <c r="I28" s="37"/>
      <c r="J28" s="37"/>
      <c r="K28" s="42"/>
      <c r="L28" s="37" t="s">
        <v>232</v>
      </c>
      <c r="M28" s="48"/>
      <c r="N28" s="43"/>
      <c r="O28" s="73">
        <v>4500000.0</v>
      </c>
      <c r="P28" s="73"/>
      <c r="Q28" s="73"/>
      <c r="R28" s="59"/>
      <c r="S28" s="47"/>
      <c r="T28" s="60"/>
      <c r="U28" s="47"/>
      <c r="V28" s="47"/>
      <c r="W28" s="47"/>
      <c r="X28" s="47"/>
      <c r="Y28" s="47"/>
      <c r="Z28" s="47"/>
      <c r="AA28" s="47"/>
      <c r="AB28" s="47"/>
      <c r="AC28" s="47"/>
      <c r="AD28" s="47">
        <f t="shared" si="6"/>
        <v>4500000</v>
      </c>
      <c r="AE28" s="52"/>
      <c r="AF28" s="56"/>
      <c r="AG28" s="56"/>
      <c r="AH28" s="56"/>
    </row>
    <row r="29" ht="14.25" customHeight="1">
      <c r="A29" s="42">
        <f t="shared" si="3"/>
        <v>18</v>
      </c>
      <c r="B29" s="42" t="s">
        <v>185</v>
      </c>
      <c r="C29" s="44">
        <v>46007.0</v>
      </c>
      <c r="D29" s="35">
        <v>46010.0</v>
      </c>
      <c r="E29" s="37"/>
      <c r="F29" s="37" t="s">
        <v>63</v>
      </c>
      <c r="G29" s="144" t="s">
        <v>235</v>
      </c>
      <c r="H29" s="49"/>
      <c r="I29" s="145" t="s">
        <v>236</v>
      </c>
      <c r="J29" s="145" t="s">
        <v>237</v>
      </c>
      <c r="K29" s="42" t="s">
        <v>238</v>
      </c>
      <c r="L29" s="124" t="s">
        <v>223</v>
      </c>
      <c r="M29" s="48"/>
      <c r="N29" s="43"/>
      <c r="O29" s="43">
        <v>4600000.0</v>
      </c>
      <c r="P29" s="43"/>
      <c r="Q29" s="43"/>
      <c r="R29" s="59"/>
      <c r="S29" s="47"/>
      <c r="T29" s="60"/>
      <c r="U29" s="47">
        <v>300000.0</v>
      </c>
      <c r="V29" s="47">
        <v>150000.0</v>
      </c>
      <c r="W29" s="47"/>
      <c r="X29" s="47"/>
      <c r="Y29" s="47">
        <v>324000.0</v>
      </c>
      <c r="Z29" s="47"/>
      <c r="AA29" s="47"/>
      <c r="AB29" s="47"/>
      <c r="AC29" s="47"/>
      <c r="AD29" s="47">
        <f>O29+U29+V29+Y29</f>
        <v>5374000</v>
      </c>
      <c r="AE29" s="52"/>
      <c r="AF29" s="56"/>
      <c r="AG29" s="56"/>
      <c r="AH29" s="56"/>
    </row>
    <row r="30" ht="14.25" customHeight="1">
      <c r="A30" s="42">
        <f t="shared" si="3"/>
        <v>19</v>
      </c>
      <c r="B30" s="42" t="s">
        <v>185</v>
      </c>
      <c r="C30" s="44">
        <v>46007.0</v>
      </c>
      <c r="D30" s="35">
        <v>46010.0</v>
      </c>
      <c r="E30" s="37"/>
      <c r="F30" s="37" t="s">
        <v>63</v>
      </c>
      <c r="G30" s="144" t="s">
        <v>213</v>
      </c>
      <c r="H30" s="49"/>
      <c r="I30" s="37"/>
      <c r="J30" s="37"/>
      <c r="K30" s="42"/>
      <c r="L30" s="124" t="s">
        <v>224</v>
      </c>
      <c r="M30" s="48"/>
      <c r="N30" s="43"/>
      <c r="O30" s="77">
        <v>33000.0</v>
      </c>
      <c r="P30" s="146">
        <v>70.0</v>
      </c>
      <c r="Q30" s="146">
        <v>1935.0</v>
      </c>
      <c r="R30" s="59"/>
      <c r="S30" s="47"/>
      <c r="T30" s="60"/>
      <c r="U30" s="47"/>
      <c r="V30" s="47"/>
      <c r="W30" s="47"/>
      <c r="X30" s="47"/>
      <c r="Y30" s="47"/>
      <c r="Z30" s="47"/>
      <c r="AA30" s="47"/>
      <c r="AB30" s="47"/>
      <c r="AC30" s="47"/>
      <c r="AD30" s="47">
        <f>O30*P30</f>
        <v>2310000</v>
      </c>
      <c r="AE30" s="52"/>
      <c r="AF30" s="56"/>
      <c r="AG30" s="56"/>
      <c r="AH30" s="56"/>
    </row>
    <row r="31" ht="14.25" customHeight="1">
      <c r="A31" s="42">
        <f t="shared" si="3"/>
        <v>20</v>
      </c>
      <c r="B31" s="42" t="s">
        <v>185</v>
      </c>
      <c r="C31" s="44">
        <v>46007.0</v>
      </c>
      <c r="D31" s="35">
        <v>46010.0</v>
      </c>
      <c r="E31" s="37"/>
      <c r="F31" s="37" t="s">
        <v>63</v>
      </c>
      <c r="G31" s="144" t="s">
        <v>230</v>
      </c>
      <c r="H31" s="49"/>
      <c r="I31" s="37"/>
      <c r="J31" s="37"/>
      <c r="K31" s="42"/>
      <c r="L31" s="124" t="s">
        <v>239</v>
      </c>
      <c r="M31" s="48"/>
      <c r="N31" s="43"/>
      <c r="O31" s="77">
        <v>4500.0</v>
      </c>
      <c r="P31" s="146"/>
      <c r="Q31" s="146">
        <v>113.0</v>
      </c>
      <c r="R31" s="59"/>
      <c r="S31" s="47"/>
      <c r="T31" s="60"/>
      <c r="U31" s="47"/>
      <c r="V31" s="47"/>
      <c r="W31" s="47"/>
      <c r="X31" s="47"/>
      <c r="Y31" s="47"/>
      <c r="Z31" s="47"/>
      <c r="AA31" s="47"/>
      <c r="AB31" s="47"/>
      <c r="AC31" s="47"/>
      <c r="AD31" s="47">
        <f>O31*Q31</f>
        <v>508500</v>
      </c>
      <c r="AE31" s="52"/>
      <c r="AF31" s="56"/>
      <c r="AG31" s="56"/>
      <c r="AH31" s="56"/>
    </row>
    <row r="32" ht="14.25" customHeight="1">
      <c r="A32" s="42">
        <f t="shared" si="3"/>
        <v>21</v>
      </c>
      <c r="B32" s="42" t="s">
        <v>185</v>
      </c>
      <c r="C32" s="44">
        <v>46007.0</v>
      </c>
      <c r="D32" s="35">
        <v>46010.0</v>
      </c>
      <c r="E32" s="37"/>
      <c r="F32" s="37" t="s">
        <v>240</v>
      </c>
      <c r="G32" s="144" t="s">
        <v>233</v>
      </c>
      <c r="H32" s="49"/>
      <c r="I32" s="37"/>
      <c r="J32" s="37"/>
      <c r="K32" s="42"/>
      <c r="L32" s="124" t="s">
        <v>241</v>
      </c>
      <c r="M32" s="48"/>
      <c r="N32" s="43"/>
      <c r="O32" s="77">
        <v>6500.0</v>
      </c>
      <c r="P32" s="146"/>
      <c r="Q32" s="146">
        <v>218.0</v>
      </c>
      <c r="R32" s="59"/>
      <c r="S32" s="47"/>
      <c r="T32" s="60"/>
      <c r="U32" s="47"/>
      <c r="V32" s="47"/>
      <c r="W32" s="47"/>
      <c r="X32" s="47"/>
      <c r="Y32" s="47"/>
      <c r="Z32" s="47"/>
      <c r="AA32" s="47"/>
      <c r="AB32" s="47"/>
      <c r="AC32" s="47"/>
      <c r="AD32" s="47">
        <f>Q32*O32</f>
        <v>1417000</v>
      </c>
      <c r="AE32" s="52"/>
      <c r="AF32" s="56"/>
      <c r="AG32" s="56"/>
      <c r="AH32" s="56"/>
    </row>
    <row r="33" ht="14.25" customHeight="1">
      <c r="A33" s="42">
        <f t="shared" si="3"/>
        <v>22</v>
      </c>
      <c r="B33" s="147" t="s">
        <v>185</v>
      </c>
      <c r="C33" s="44">
        <v>46378.0</v>
      </c>
      <c r="D33" s="35">
        <v>46379.0</v>
      </c>
      <c r="E33" s="37"/>
      <c r="F33" s="148" t="s">
        <v>176</v>
      </c>
      <c r="G33" s="149" t="s">
        <v>186</v>
      </c>
      <c r="H33" s="150" t="s">
        <v>242</v>
      </c>
      <c r="I33" s="37" t="s">
        <v>243</v>
      </c>
      <c r="J33" s="37"/>
      <c r="K33" s="42" t="s">
        <v>188</v>
      </c>
      <c r="L33" s="151" t="s">
        <v>244</v>
      </c>
      <c r="M33" s="48"/>
      <c r="N33" s="43"/>
      <c r="O33" s="73">
        <v>4500000.0</v>
      </c>
      <c r="P33" s="146"/>
      <c r="Q33" s="146"/>
      <c r="R33" s="59"/>
      <c r="S33" s="47"/>
      <c r="T33" s="51"/>
      <c r="U33" s="47"/>
      <c r="V33" s="47"/>
      <c r="W33" s="47"/>
      <c r="X33" s="47"/>
      <c r="Y33" s="47"/>
      <c r="Z33" s="47"/>
      <c r="AA33" s="47"/>
      <c r="AB33" s="47"/>
      <c r="AC33" s="47"/>
      <c r="AD33" s="47">
        <f>O33+SUM(T33:AB33)</f>
        <v>4500000</v>
      </c>
      <c r="AE33" s="52"/>
      <c r="AF33" s="56"/>
      <c r="AG33" s="56"/>
      <c r="AH33" s="56"/>
    </row>
    <row r="34" ht="14.25" customHeight="1">
      <c r="A34" s="42">
        <f t="shared" si="3"/>
        <v>23</v>
      </c>
      <c r="B34" s="147" t="s">
        <v>185</v>
      </c>
      <c r="C34" s="44">
        <v>46379.0</v>
      </c>
      <c r="D34" s="35">
        <v>46381.0</v>
      </c>
      <c r="E34" s="37"/>
      <c r="F34" s="148" t="s">
        <v>245</v>
      </c>
      <c r="G34" s="149" t="s">
        <v>186</v>
      </c>
      <c r="H34" s="152"/>
      <c r="I34" s="37"/>
      <c r="J34" s="37" t="s">
        <v>246</v>
      </c>
      <c r="K34" s="42" t="s">
        <v>188</v>
      </c>
      <c r="L34" s="124" t="s">
        <v>194</v>
      </c>
      <c r="M34" s="48"/>
      <c r="N34" s="43"/>
      <c r="O34" s="77">
        <v>4.0E7</v>
      </c>
      <c r="P34" s="146"/>
      <c r="Q34" s="146"/>
      <c r="R34" s="59"/>
      <c r="S34" s="47"/>
      <c r="T34" s="51">
        <v>3000000.0</v>
      </c>
      <c r="U34" s="47">
        <v>800000.0</v>
      </c>
      <c r="V34" s="47">
        <v>600000.0</v>
      </c>
      <c r="W34" s="47">
        <v>500000.0</v>
      </c>
      <c r="X34" s="47">
        <v>1000000.0</v>
      </c>
      <c r="Y34" s="47">
        <v>7344000.0</v>
      </c>
      <c r="Z34" s="47"/>
      <c r="AA34" s="47"/>
      <c r="AB34" s="47"/>
      <c r="AC34" s="47"/>
      <c r="AD34" s="47">
        <f>O34+T34+U34+V34+W34+X34+Y34</f>
        <v>53244000</v>
      </c>
      <c r="AE34" s="52"/>
      <c r="AF34" s="56"/>
      <c r="AG34" s="56"/>
      <c r="AH34" s="56"/>
    </row>
    <row r="35" ht="14.25" customHeight="1">
      <c r="A35" s="42">
        <f t="shared" si="3"/>
        <v>24</v>
      </c>
      <c r="B35" s="147" t="s">
        <v>185</v>
      </c>
      <c r="C35" s="44">
        <v>46378.0</v>
      </c>
      <c r="D35" s="35">
        <v>46379.0</v>
      </c>
      <c r="E35" s="37"/>
      <c r="F35" s="148" t="s">
        <v>176</v>
      </c>
      <c r="G35" s="149" t="s">
        <v>186</v>
      </c>
      <c r="H35" s="150" t="s">
        <v>242</v>
      </c>
      <c r="I35" s="37" t="s">
        <v>247</v>
      </c>
      <c r="J35" s="37"/>
      <c r="K35" s="42" t="s">
        <v>188</v>
      </c>
      <c r="L35" s="151" t="s">
        <v>244</v>
      </c>
      <c r="M35" s="48"/>
      <c r="N35" s="43"/>
      <c r="O35" s="73">
        <v>4500000.0</v>
      </c>
      <c r="P35" s="146"/>
      <c r="Q35" s="146"/>
      <c r="R35" s="59"/>
      <c r="S35" s="47"/>
      <c r="T35" s="51"/>
      <c r="U35" s="47"/>
      <c r="V35" s="47"/>
      <c r="W35" s="47"/>
      <c r="X35" s="47"/>
      <c r="Y35" s="47"/>
      <c r="Z35" s="47"/>
      <c r="AA35" s="47"/>
      <c r="AB35" s="47"/>
      <c r="AC35" s="47"/>
      <c r="AD35" s="47">
        <f>O35+SUM(T35:AB35)</f>
        <v>4500000</v>
      </c>
      <c r="AE35" s="52"/>
      <c r="AF35" s="56"/>
      <c r="AG35" s="56"/>
      <c r="AH35" s="56"/>
    </row>
    <row r="36" ht="14.25" customHeight="1">
      <c r="A36" s="42">
        <f t="shared" si="3"/>
        <v>25</v>
      </c>
      <c r="B36" s="147" t="s">
        <v>185</v>
      </c>
      <c r="C36" s="44">
        <v>46379.0</v>
      </c>
      <c r="D36" s="35">
        <v>46381.0</v>
      </c>
      <c r="E36" s="37"/>
      <c r="F36" s="148" t="s">
        <v>245</v>
      </c>
      <c r="G36" s="149" t="s">
        <v>186</v>
      </c>
      <c r="H36" s="152"/>
      <c r="I36" s="37"/>
      <c r="J36" s="37" t="s">
        <v>248</v>
      </c>
      <c r="K36" s="42" t="s">
        <v>188</v>
      </c>
      <c r="L36" s="124" t="s">
        <v>194</v>
      </c>
      <c r="M36" s="48"/>
      <c r="N36" s="43"/>
      <c r="O36" s="77">
        <v>4.0E7</v>
      </c>
      <c r="P36" s="146"/>
      <c r="Q36" s="146"/>
      <c r="R36" s="59"/>
      <c r="S36" s="47">
        <v>3000000.0</v>
      </c>
      <c r="T36" s="51">
        <v>3000000.0</v>
      </c>
      <c r="U36" s="47">
        <v>800000.0</v>
      </c>
      <c r="V36" s="47">
        <v>600000.0</v>
      </c>
      <c r="W36" s="47">
        <v>500000.0</v>
      </c>
      <c r="X36" s="47">
        <v>1000000.0</v>
      </c>
      <c r="Y36" s="47">
        <v>7344000.0</v>
      </c>
      <c r="Z36" s="47"/>
      <c r="AA36" s="47"/>
      <c r="AB36" s="47"/>
      <c r="AC36" s="47"/>
      <c r="AD36" s="47">
        <f>O36+S36+T36+U36+V36+W36+X36+Y36</f>
        <v>56244000</v>
      </c>
      <c r="AE36" s="52"/>
      <c r="AF36" s="56"/>
      <c r="AG36" s="56"/>
      <c r="AH36" s="56"/>
    </row>
    <row r="37" ht="14.25" customHeight="1">
      <c r="A37" s="42">
        <f t="shared" si="3"/>
        <v>26</v>
      </c>
      <c r="B37" s="147" t="s">
        <v>185</v>
      </c>
      <c r="C37" s="44">
        <v>46379.0</v>
      </c>
      <c r="D37" s="35">
        <v>46379.0</v>
      </c>
      <c r="E37" s="37"/>
      <c r="F37" s="148" t="s">
        <v>176</v>
      </c>
      <c r="G37" s="149" t="s">
        <v>186</v>
      </c>
      <c r="H37" s="150" t="s">
        <v>242</v>
      </c>
      <c r="I37" s="37" t="s">
        <v>252</v>
      </c>
      <c r="J37" s="37"/>
      <c r="K37" s="42" t="s">
        <v>188</v>
      </c>
      <c r="L37" s="151" t="s">
        <v>244</v>
      </c>
      <c r="M37" s="48"/>
      <c r="N37" s="43"/>
      <c r="O37" s="73">
        <v>4500000.0</v>
      </c>
      <c r="P37" s="146"/>
      <c r="Q37" s="146"/>
      <c r="R37" s="59"/>
      <c r="S37" s="47"/>
      <c r="T37" s="51"/>
      <c r="U37" s="47"/>
      <c r="V37" s="47"/>
      <c r="W37" s="47"/>
      <c r="X37" s="47"/>
      <c r="Y37" s="47"/>
      <c r="Z37" s="47"/>
      <c r="AA37" s="47"/>
      <c r="AB37" s="47"/>
      <c r="AC37" s="47"/>
      <c r="AD37" s="47">
        <f>O37+SUM(T37:AC37)</f>
        <v>4500000</v>
      </c>
      <c r="AE37" s="52"/>
      <c r="AF37" s="56"/>
      <c r="AG37" s="56"/>
      <c r="AH37" s="56"/>
    </row>
    <row r="38" ht="14.25" customHeight="1">
      <c r="A38" s="42">
        <f t="shared" si="3"/>
        <v>27</v>
      </c>
      <c r="B38" s="147" t="s">
        <v>185</v>
      </c>
      <c r="C38" s="44">
        <v>46379.0</v>
      </c>
      <c r="D38" s="35">
        <v>46382.0</v>
      </c>
      <c r="E38" s="37"/>
      <c r="F38" s="148" t="s">
        <v>245</v>
      </c>
      <c r="G38" s="149" t="s">
        <v>186</v>
      </c>
      <c r="H38" s="160"/>
      <c r="I38" s="37"/>
      <c r="J38" s="37" t="s">
        <v>258</v>
      </c>
      <c r="K38" s="42" t="s">
        <v>188</v>
      </c>
      <c r="L38" s="124" t="s">
        <v>194</v>
      </c>
      <c r="M38" s="48"/>
      <c r="N38" s="43"/>
      <c r="O38" s="77">
        <v>4.0E7</v>
      </c>
      <c r="P38" s="146"/>
      <c r="Q38" s="146"/>
      <c r="R38" s="59"/>
      <c r="S38" s="47">
        <v>3000000.0</v>
      </c>
      <c r="T38" s="51">
        <v>3000000.0</v>
      </c>
      <c r="U38" s="47">
        <v>800000.0</v>
      </c>
      <c r="V38" s="47">
        <v>600000.0</v>
      </c>
      <c r="W38" s="47">
        <v>500000.0</v>
      </c>
      <c r="X38" s="47">
        <v>1000000.0</v>
      </c>
      <c r="Y38" s="47">
        <v>7344000.0</v>
      </c>
      <c r="Z38" s="47"/>
      <c r="AA38" s="47"/>
      <c r="AB38" s="47"/>
      <c r="AC38" s="47"/>
      <c r="AD38" s="47">
        <f>O38+S38+T38+U38+V38+W38+X38+Y38</f>
        <v>56244000</v>
      </c>
      <c r="AE38" s="52"/>
      <c r="AF38" s="56"/>
      <c r="AG38" s="56"/>
      <c r="AH38" s="56"/>
    </row>
    <row r="39" ht="14.25" customHeight="1">
      <c r="A39" s="42">
        <f t="shared" si="3"/>
        <v>28</v>
      </c>
      <c r="B39" s="39" t="s">
        <v>185</v>
      </c>
      <c r="C39" s="44"/>
      <c r="D39" s="35">
        <v>46383.0</v>
      </c>
      <c r="E39" s="37"/>
      <c r="F39" s="144"/>
      <c r="G39" s="144" t="s">
        <v>213</v>
      </c>
      <c r="H39" s="161">
        <v>1.0784022061E11</v>
      </c>
      <c r="I39" s="134"/>
      <c r="J39" s="134"/>
      <c r="K39" s="39"/>
      <c r="L39" s="39" t="s">
        <v>262</v>
      </c>
      <c r="M39" s="48"/>
      <c r="N39" s="43"/>
      <c r="O39" s="162">
        <v>4500000.0</v>
      </c>
      <c r="P39" s="162"/>
      <c r="Q39" s="146"/>
      <c r="R39" s="59"/>
      <c r="S39" s="47"/>
      <c r="T39" s="60"/>
      <c r="U39" s="162"/>
      <c r="V39" s="162"/>
      <c r="W39" s="162"/>
      <c r="X39" s="162"/>
      <c r="Y39" s="162"/>
      <c r="Z39" s="47"/>
      <c r="AA39" s="47"/>
      <c r="AB39" s="47"/>
      <c r="AC39" s="47"/>
      <c r="AD39" s="47">
        <f t="shared" ref="AD39:AD40" si="7">O39</f>
        <v>4500000</v>
      </c>
      <c r="AE39" s="52"/>
      <c r="AF39" s="56"/>
      <c r="AG39" s="56"/>
      <c r="AH39" s="56"/>
    </row>
    <row r="40" ht="14.25" customHeight="1">
      <c r="A40" s="42">
        <f t="shared" si="3"/>
        <v>29</v>
      </c>
      <c r="B40" s="39" t="s">
        <v>185</v>
      </c>
      <c r="C40" s="44"/>
      <c r="D40" s="35">
        <v>46383.0</v>
      </c>
      <c r="E40" s="37"/>
      <c r="F40" s="144"/>
      <c r="G40" s="144" t="s">
        <v>264</v>
      </c>
      <c r="H40" s="161">
        <v>1.078393959E11</v>
      </c>
      <c r="I40" s="41"/>
      <c r="J40" s="41"/>
      <c r="K40" s="41"/>
      <c r="L40" s="39" t="s">
        <v>262</v>
      </c>
      <c r="M40" s="48"/>
      <c r="N40" s="43"/>
      <c r="O40" s="165">
        <v>2000000.0</v>
      </c>
      <c r="P40" s="165"/>
      <c r="Q40" s="146"/>
      <c r="R40" s="59"/>
      <c r="S40" s="47"/>
      <c r="T40" s="60"/>
      <c r="U40" s="162"/>
      <c r="V40" s="162"/>
      <c r="W40" s="162"/>
      <c r="X40" s="162"/>
      <c r="Y40" s="165"/>
      <c r="Z40" s="47"/>
      <c r="AA40" s="47"/>
      <c r="AB40" s="47"/>
      <c r="AC40" s="47"/>
      <c r="AD40" s="47">
        <f t="shared" si="7"/>
        <v>2000000</v>
      </c>
      <c r="AE40" s="52"/>
      <c r="AF40" s="56"/>
      <c r="AG40" s="56"/>
      <c r="AH40" s="56"/>
    </row>
    <row r="41" ht="14.25" customHeight="1">
      <c r="A41" s="42">
        <f t="shared" si="3"/>
        <v>30</v>
      </c>
      <c r="B41" s="39" t="s">
        <v>185</v>
      </c>
      <c r="C41" s="44"/>
      <c r="D41" s="35">
        <v>46383.0</v>
      </c>
      <c r="E41" s="37"/>
      <c r="F41" s="144"/>
      <c r="G41" s="144" t="s">
        <v>220</v>
      </c>
      <c r="H41" s="161"/>
      <c r="I41" s="41" t="s">
        <v>268</v>
      </c>
      <c r="J41" s="41" t="s">
        <v>269</v>
      </c>
      <c r="K41" s="41" t="s">
        <v>270</v>
      </c>
      <c r="L41" s="39" t="s">
        <v>223</v>
      </c>
      <c r="M41" s="48"/>
      <c r="N41" s="43"/>
      <c r="O41" s="165">
        <v>5900000.0</v>
      </c>
      <c r="P41" s="165"/>
      <c r="Q41" s="146"/>
      <c r="R41" s="59"/>
      <c r="S41" s="47"/>
      <c r="T41" s="60"/>
      <c r="U41" s="162">
        <v>500000.0</v>
      </c>
      <c r="V41" s="162">
        <v>230000.0</v>
      </c>
      <c r="W41" s="162"/>
      <c r="X41" s="162"/>
      <c r="Y41" s="165">
        <v>1904728.0</v>
      </c>
      <c r="Z41" s="47"/>
      <c r="AA41" s="47"/>
      <c r="AB41" s="47"/>
      <c r="AC41" s="47"/>
      <c r="AD41" s="47">
        <f>O41+U41+V41+Y41</f>
        <v>8534728</v>
      </c>
      <c r="AE41" s="52"/>
      <c r="AF41" s="56"/>
      <c r="AG41" s="56"/>
      <c r="AH41" s="56"/>
    </row>
    <row r="42" ht="14.25" customHeight="1">
      <c r="A42" s="42">
        <f t="shared" si="3"/>
        <v>31</v>
      </c>
      <c r="B42" s="39" t="s">
        <v>185</v>
      </c>
      <c r="C42" s="44"/>
      <c r="D42" s="35">
        <v>46383.0</v>
      </c>
      <c r="E42" s="37"/>
      <c r="F42" s="144"/>
      <c r="G42" s="144" t="s">
        <v>213</v>
      </c>
      <c r="H42" s="161"/>
      <c r="I42" s="41"/>
      <c r="J42" s="41"/>
      <c r="K42" s="41"/>
      <c r="L42" s="39" t="s">
        <v>224</v>
      </c>
      <c r="M42" s="48"/>
      <c r="N42" s="43"/>
      <c r="O42" s="165">
        <v>45000.0</v>
      </c>
      <c r="P42" s="165">
        <v>70.0</v>
      </c>
      <c r="Q42" s="146"/>
      <c r="R42" s="59"/>
      <c r="S42" s="47"/>
      <c r="T42" s="60"/>
      <c r="U42" s="162"/>
      <c r="V42" s="162"/>
      <c r="W42" s="162"/>
      <c r="X42" s="162"/>
      <c r="Y42" s="165"/>
      <c r="Z42" s="47"/>
      <c r="AA42" s="47"/>
      <c r="AB42" s="47"/>
      <c r="AC42" s="47"/>
      <c r="AD42" s="47">
        <f>O42*P42</f>
        <v>3150000</v>
      </c>
      <c r="AE42" s="52"/>
      <c r="AF42" s="56"/>
      <c r="AG42" s="56"/>
      <c r="AH42" s="56"/>
    </row>
    <row r="43" ht="14.25" customHeight="1">
      <c r="A43" s="42">
        <f t="shared" si="3"/>
        <v>32</v>
      </c>
      <c r="B43" s="39" t="s">
        <v>185</v>
      </c>
      <c r="C43" s="44"/>
      <c r="D43" s="35">
        <v>46384.0</v>
      </c>
      <c r="E43" s="37"/>
      <c r="F43" s="144"/>
      <c r="G43" s="144" t="s">
        <v>213</v>
      </c>
      <c r="H43" s="161"/>
      <c r="I43" s="41"/>
      <c r="J43" s="41"/>
      <c r="K43" s="41"/>
      <c r="L43" s="39" t="s">
        <v>273</v>
      </c>
      <c r="M43" s="48"/>
      <c r="N43" s="43"/>
      <c r="O43" s="165">
        <v>1000000.0</v>
      </c>
      <c r="P43" s="165"/>
      <c r="Q43" s="146"/>
      <c r="R43" s="59"/>
      <c r="S43" s="47"/>
      <c r="T43" s="60"/>
      <c r="U43" s="162"/>
      <c r="V43" s="162"/>
      <c r="W43" s="162"/>
      <c r="X43" s="162"/>
      <c r="Y43" s="165"/>
      <c r="Z43" s="47"/>
      <c r="AA43" s="47"/>
      <c r="AB43" s="47"/>
      <c r="AC43" s="47"/>
      <c r="AD43" s="47">
        <f t="shared" ref="AD43:AD46" si="8">O43</f>
        <v>1000000</v>
      </c>
      <c r="AE43" s="52"/>
      <c r="AF43" s="56"/>
      <c r="AG43" s="56"/>
      <c r="AH43" s="56"/>
    </row>
    <row r="44" ht="14.25" customHeight="1">
      <c r="A44" s="42">
        <f t="shared" si="3"/>
        <v>33</v>
      </c>
      <c r="B44" s="39" t="s">
        <v>185</v>
      </c>
      <c r="C44" s="44"/>
      <c r="D44" s="35">
        <v>46384.0</v>
      </c>
      <c r="E44" s="37"/>
      <c r="F44" s="144"/>
      <c r="G44" s="144" t="s">
        <v>213</v>
      </c>
      <c r="H44" s="161"/>
      <c r="I44" s="41"/>
      <c r="J44" s="41"/>
      <c r="K44" s="41"/>
      <c r="L44" s="39" t="s">
        <v>275</v>
      </c>
      <c r="M44" s="48"/>
      <c r="N44" s="43"/>
      <c r="O44" s="165">
        <v>1000000.0</v>
      </c>
      <c r="P44" s="165"/>
      <c r="Q44" s="146"/>
      <c r="R44" s="59"/>
      <c r="S44" s="47"/>
      <c r="T44" s="60"/>
      <c r="U44" s="162"/>
      <c r="V44" s="162"/>
      <c r="W44" s="162"/>
      <c r="X44" s="162"/>
      <c r="Y44" s="165"/>
      <c r="Z44" s="47"/>
      <c r="AA44" s="47"/>
      <c r="AB44" s="47"/>
      <c r="AC44" s="47"/>
      <c r="AD44" s="47">
        <f t="shared" si="8"/>
        <v>1000000</v>
      </c>
      <c r="AE44" s="52"/>
      <c r="AF44" s="56"/>
      <c r="AG44" s="56"/>
      <c r="AH44" s="56"/>
    </row>
    <row r="45" ht="14.25" customHeight="1">
      <c r="A45" s="42">
        <f t="shared" si="3"/>
        <v>34</v>
      </c>
      <c r="B45" s="39" t="s">
        <v>185</v>
      </c>
      <c r="C45" s="44"/>
      <c r="D45" s="35">
        <v>46383.0</v>
      </c>
      <c r="E45" s="37"/>
      <c r="F45" s="144"/>
      <c r="G45" s="144" t="s">
        <v>264</v>
      </c>
      <c r="H45" s="161"/>
      <c r="I45" s="41"/>
      <c r="J45" s="41"/>
      <c r="K45" s="41"/>
      <c r="L45" s="39" t="s">
        <v>273</v>
      </c>
      <c r="M45" s="48"/>
      <c r="N45" s="43"/>
      <c r="O45" s="165">
        <v>1000000.0</v>
      </c>
      <c r="P45" s="165"/>
      <c r="Q45" s="146"/>
      <c r="R45" s="59"/>
      <c r="S45" s="47"/>
      <c r="T45" s="60"/>
      <c r="U45" s="165"/>
      <c r="V45" s="165"/>
      <c r="W45" s="165"/>
      <c r="X45" s="165"/>
      <c r="Y45" s="165"/>
      <c r="Z45" s="47"/>
      <c r="AA45" s="47"/>
      <c r="AB45" s="47"/>
      <c r="AC45" s="47"/>
      <c r="AD45" s="47">
        <f t="shared" si="8"/>
        <v>1000000</v>
      </c>
      <c r="AE45" s="52"/>
      <c r="AF45" s="56"/>
      <c r="AG45" s="56"/>
      <c r="AH45" s="56"/>
    </row>
    <row r="46" ht="14.25" customHeight="1">
      <c r="A46" s="42">
        <f t="shared" si="3"/>
        <v>35</v>
      </c>
      <c r="B46" s="39" t="s">
        <v>185</v>
      </c>
      <c r="C46" s="44"/>
      <c r="D46" s="35">
        <v>46385.0</v>
      </c>
      <c r="E46" s="37"/>
      <c r="F46" s="144" t="s">
        <v>176</v>
      </c>
      <c r="G46" s="144" t="s">
        <v>186</v>
      </c>
      <c r="H46" s="161">
        <v>1.0784487443E11</v>
      </c>
      <c r="I46" s="134"/>
      <c r="J46" s="134"/>
      <c r="K46" s="39" t="s">
        <v>188</v>
      </c>
      <c r="L46" s="39" t="s">
        <v>244</v>
      </c>
      <c r="M46" s="48"/>
      <c r="N46" s="43"/>
      <c r="O46" s="162">
        <v>4500000.0</v>
      </c>
      <c r="P46" s="162"/>
      <c r="Q46" s="146"/>
      <c r="R46" s="59"/>
      <c r="S46" s="47"/>
      <c r="T46" s="60"/>
      <c r="U46" s="174"/>
      <c r="V46" s="174"/>
      <c r="W46" s="174"/>
      <c r="X46" s="162"/>
      <c r="Y46" s="174"/>
      <c r="Z46" s="47"/>
      <c r="AA46" s="47"/>
      <c r="AB46" s="47"/>
      <c r="AC46" s="47"/>
      <c r="AD46" s="47">
        <f t="shared" si="8"/>
        <v>4500000</v>
      </c>
      <c r="AE46" s="52"/>
      <c r="AF46" s="56"/>
      <c r="AG46" s="56"/>
      <c r="AH46" s="56"/>
    </row>
    <row r="47" ht="14.25" customHeight="1">
      <c r="A47" s="42">
        <f t="shared" si="3"/>
        <v>36</v>
      </c>
      <c r="B47" s="39" t="s">
        <v>185</v>
      </c>
      <c r="C47" s="44"/>
      <c r="D47" s="35">
        <v>46386.0</v>
      </c>
      <c r="E47" s="37"/>
      <c r="F47" s="144" t="s">
        <v>276</v>
      </c>
      <c r="G47" s="144" t="s">
        <v>186</v>
      </c>
      <c r="H47" s="161"/>
      <c r="I47" s="134" t="s">
        <v>277</v>
      </c>
      <c r="J47" s="134" t="s">
        <v>278</v>
      </c>
      <c r="K47" s="39" t="s">
        <v>188</v>
      </c>
      <c r="L47" s="39" t="s">
        <v>194</v>
      </c>
      <c r="M47" s="48"/>
      <c r="N47" s="43"/>
      <c r="O47" s="165">
        <v>1.8E7</v>
      </c>
      <c r="P47" s="165"/>
      <c r="Q47" s="146"/>
      <c r="R47" s="59"/>
      <c r="S47" s="47"/>
      <c r="T47" s="60"/>
      <c r="U47" s="162">
        <v>800000.0</v>
      </c>
      <c r="V47" s="162">
        <v>600000.0</v>
      </c>
      <c r="W47" s="162">
        <v>500000.0</v>
      </c>
      <c r="X47" s="165"/>
      <c r="Y47" s="162">
        <v>2808000.0</v>
      </c>
      <c r="Z47" s="47"/>
      <c r="AA47" s="47"/>
      <c r="AB47" s="47"/>
      <c r="AC47" s="47"/>
      <c r="AD47" s="47">
        <f>O47+U47+V47+W47+Y47</f>
        <v>22708000</v>
      </c>
      <c r="AE47" s="52"/>
      <c r="AF47" s="56"/>
      <c r="AG47" s="56"/>
      <c r="AH47" s="56"/>
    </row>
    <row r="48" ht="14.25" customHeight="1">
      <c r="A48" s="42">
        <f t="shared" si="3"/>
        <v>37</v>
      </c>
      <c r="B48" s="39" t="s">
        <v>185</v>
      </c>
      <c r="C48" s="44"/>
      <c r="D48" s="35">
        <v>46385.0</v>
      </c>
      <c r="E48" s="37"/>
      <c r="F48" s="144" t="s">
        <v>176</v>
      </c>
      <c r="G48" s="144" t="s">
        <v>186</v>
      </c>
      <c r="H48" s="161">
        <v>1.0784489182E11</v>
      </c>
      <c r="I48" s="174"/>
      <c r="J48" s="41"/>
      <c r="K48" s="41" t="s">
        <v>188</v>
      </c>
      <c r="L48" s="39" t="s">
        <v>244</v>
      </c>
      <c r="M48" s="48"/>
      <c r="N48" s="43"/>
      <c r="O48" s="165">
        <v>4500000.0</v>
      </c>
      <c r="P48" s="165"/>
      <c r="Q48" s="146"/>
      <c r="R48" s="59"/>
      <c r="S48" s="47"/>
      <c r="T48" s="60"/>
      <c r="U48" s="174"/>
      <c r="V48" s="174"/>
      <c r="W48" s="174"/>
      <c r="X48" s="174"/>
      <c r="Y48" s="174"/>
      <c r="Z48" s="47"/>
      <c r="AA48" s="47"/>
      <c r="AB48" s="47"/>
      <c r="AC48" s="47"/>
      <c r="AD48" s="47">
        <f>O48</f>
        <v>4500000</v>
      </c>
      <c r="AE48" s="52"/>
      <c r="AF48" s="56"/>
      <c r="AG48" s="56"/>
      <c r="AH48" s="56"/>
    </row>
    <row r="49" ht="14.25" customHeight="1">
      <c r="A49" s="42">
        <f t="shared" si="3"/>
        <v>38</v>
      </c>
      <c r="B49" s="39" t="s">
        <v>185</v>
      </c>
      <c r="C49" s="44"/>
      <c r="D49" s="35">
        <v>46386.0</v>
      </c>
      <c r="E49" s="37"/>
      <c r="F49" s="144" t="s">
        <v>276</v>
      </c>
      <c r="G49" s="144" t="s">
        <v>186</v>
      </c>
      <c r="H49" s="161"/>
      <c r="I49" s="41" t="s">
        <v>279</v>
      </c>
      <c r="J49" s="41" t="s">
        <v>280</v>
      </c>
      <c r="K49" s="41" t="s">
        <v>188</v>
      </c>
      <c r="L49" s="39" t="s">
        <v>194</v>
      </c>
      <c r="M49" s="48"/>
      <c r="N49" s="43"/>
      <c r="O49" s="165">
        <v>4.0E7</v>
      </c>
      <c r="P49" s="165"/>
      <c r="Q49" s="146"/>
      <c r="R49" s="59"/>
      <c r="S49" s="47"/>
      <c r="T49" s="60">
        <v>3000000.0</v>
      </c>
      <c r="U49" s="162">
        <v>800000.0</v>
      </c>
      <c r="V49" s="162">
        <v>600000.0</v>
      </c>
      <c r="W49" s="162">
        <v>500000.0</v>
      </c>
      <c r="X49" s="162">
        <v>1000000.0</v>
      </c>
      <c r="Y49" s="165">
        <v>4320000.0</v>
      </c>
      <c r="Z49" s="47"/>
      <c r="AA49" s="47"/>
      <c r="AB49" s="47"/>
      <c r="AC49" s="47"/>
      <c r="AD49" s="47">
        <f>O49+T49+U49+V49+W49+X49+Y49</f>
        <v>50220000</v>
      </c>
      <c r="AE49" s="52"/>
      <c r="AF49" s="56"/>
      <c r="AG49" s="56"/>
      <c r="AH49" s="56"/>
    </row>
    <row r="50" ht="14.25" customHeight="1">
      <c r="A50" s="42">
        <f t="shared" si="3"/>
        <v>39</v>
      </c>
      <c r="B50" s="42" t="s">
        <v>175</v>
      </c>
      <c r="C50" s="44"/>
      <c r="D50" s="35">
        <v>46368.0</v>
      </c>
      <c r="E50" s="37"/>
      <c r="F50" s="148"/>
      <c r="G50" s="149" t="s">
        <v>177</v>
      </c>
      <c r="H50" s="175">
        <v>1.07789879524E11</v>
      </c>
      <c r="I50" s="37"/>
      <c r="J50" s="37"/>
      <c r="K50" s="42"/>
      <c r="L50" s="176" t="s">
        <v>281</v>
      </c>
      <c r="M50" s="177">
        <v>2.0</v>
      </c>
      <c r="N50" s="43"/>
      <c r="O50" s="178">
        <v>1500000.0</v>
      </c>
      <c r="P50" s="146"/>
      <c r="Q50" s="146"/>
      <c r="R50" s="59"/>
      <c r="S50" s="179"/>
      <c r="T50" s="60"/>
      <c r="U50" s="47"/>
      <c r="V50" s="180"/>
      <c r="W50" s="47"/>
      <c r="X50" s="47"/>
      <c r="Y50" s="47"/>
      <c r="Z50" s="47"/>
      <c r="AA50" s="47"/>
      <c r="AB50" s="47"/>
      <c r="AC50" s="47"/>
      <c r="AD50" s="47">
        <f t="shared" ref="AD50:AD54" si="9">M50*O50</f>
        <v>3000000</v>
      </c>
      <c r="AE50" s="52"/>
      <c r="AF50" s="56"/>
      <c r="AG50" s="56"/>
      <c r="AH50" s="56"/>
    </row>
    <row r="51" ht="14.25" customHeight="1">
      <c r="A51" s="42">
        <f t="shared" si="3"/>
        <v>40</v>
      </c>
      <c r="B51" s="42" t="s">
        <v>175</v>
      </c>
      <c r="C51" s="44"/>
      <c r="D51" s="35">
        <v>46381.0</v>
      </c>
      <c r="E51" s="37"/>
      <c r="F51" s="37"/>
      <c r="G51" s="149" t="s">
        <v>177</v>
      </c>
      <c r="H51" s="49"/>
      <c r="I51" s="37"/>
      <c r="J51" s="37"/>
      <c r="K51" s="42"/>
      <c r="L51" s="176" t="s">
        <v>282</v>
      </c>
      <c r="M51" s="181">
        <v>2.0</v>
      </c>
      <c r="N51" s="43"/>
      <c r="O51" s="182">
        <v>8000000.0</v>
      </c>
      <c r="P51" s="146"/>
      <c r="Q51" s="146"/>
      <c r="R51" s="59"/>
      <c r="S51" s="183"/>
      <c r="T51" s="60"/>
      <c r="U51" s="47"/>
      <c r="V51" s="183"/>
      <c r="W51" s="47"/>
      <c r="X51" s="47"/>
      <c r="Y51" s="47"/>
      <c r="Z51" s="47"/>
      <c r="AA51" s="47"/>
      <c r="AB51" s="47"/>
      <c r="AC51" s="47"/>
      <c r="AD51" s="47">
        <f t="shared" si="9"/>
        <v>16000000</v>
      </c>
      <c r="AE51" s="52"/>
      <c r="AF51" s="56"/>
      <c r="AG51" s="56"/>
      <c r="AH51" s="56"/>
    </row>
    <row r="52" ht="14.25" customHeight="1">
      <c r="A52" s="42">
        <f t="shared" si="3"/>
        <v>41</v>
      </c>
      <c r="B52" s="42" t="s">
        <v>175</v>
      </c>
      <c r="C52" s="44"/>
      <c r="D52" s="35">
        <v>46381.0</v>
      </c>
      <c r="E52" s="37"/>
      <c r="F52" s="37"/>
      <c r="G52" s="149" t="s">
        <v>177</v>
      </c>
      <c r="H52" s="49"/>
      <c r="I52" s="37"/>
      <c r="J52" s="37"/>
      <c r="K52" s="42"/>
      <c r="L52" s="123" t="s">
        <v>283</v>
      </c>
      <c r="M52" s="184">
        <v>1.0</v>
      </c>
      <c r="N52" s="43"/>
      <c r="O52" s="178">
        <v>500000.0</v>
      </c>
      <c r="P52" s="146"/>
      <c r="Q52" s="146"/>
      <c r="R52" s="59"/>
      <c r="S52" s="185"/>
      <c r="T52" s="60"/>
      <c r="U52" s="47"/>
      <c r="V52" s="185"/>
      <c r="W52" s="47"/>
      <c r="X52" s="47"/>
      <c r="Y52" s="47"/>
      <c r="Z52" s="47"/>
      <c r="AA52" s="47"/>
      <c r="AB52" s="47"/>
      <c r="AC52" s="47"/>
      <c r="AD52" s="47">
        <f t="shared" si="9"/>
        <v>500000</v>
      </c>
      <c r="AE52" s="52"/>
      <c r="AF52" s="56"/>
      <c r="AG52" s="56"/>
      <c r="AH52" s="56"/>
    </row>
    <row r="53" ht="14.25" customHeight="1">
      <c r="A53" s="42">
        <f t="shared" si="3"/>
        <v>42</v>
      </c>
      <c r="B53" s="42" t="s">
        <v>175</v>
      </c>
      <c r="C53" s="44"/>
      <c r="D53" s="35">
        <v>46381.0</v>
      </c>
      <c r="E53" s="37"/>
      <c r="F53" s="37"/>
      <c r="G53" s="149" t="s">
        <v>177</v>
      </c>
      <c r="H53" s="49"/>
      <c r="I53" s="37"/>
      <c r="J53" s="37"/>
      <c r="K53" s="42"/>
      <c r="L53" s="123" t="s">
        <v>284</v>
      </c>
      <c r="M53" s="184">
        <v>1.0</v>
      </c>
      <c r="N53" s="43"/>
      <c r="O53" s="178">
        <v>500000.0</v>
      </c>
      <c r="P53" s="146"/>
      <c r="Q53" s="146"/>
      <c r="R53" s="59"/>
      <c r="S53" s="185"/>
      <c r="T53" s="60"/>
      <c r="U53" s="47"/>
      <c r="V53" s="185"/>
      <c r="W53" s="47"/>
      <c r="X53" s="47"/>
      <c r="Y53" s="47"/>
      <c r="Z53" s="47"/>
      <c r="AA53" s="47"/>
      <c r="AB53" s="47"/>
      <c r="AC53" s="47"/>
      <c r="AD53" s="47">
        <f t="shared" si="9"/>
        <v>500000</v>
      </c>
      <c r="AE53" s="52"/>
      <c r="AF53" s="56"/>
      <c r="AG53" s="56"/>
      <c r="AH53" s="56"/>
    </row>
    <row r="54" ht="14.25" customHeight="1">
      <c r="A54" s="42">
        <f t="shared" si="3"/>
        <v>43</v>
      </c>
      <c r="B54" s="42" t="s">
        <v>175</v>
      </c>
      <c r="C54" s="44"/>
      <c r="D54" s="35">
        <v>46381.0</v>
      </c>
      <c r="E54" s="37"/>
      <c r="F54" s="37"/>
      <c r="G54" s="149" t="s">
        <v>177</v>
      </c>
      <c r="H54" s="49"/>
      <c r="I54" s="68"/>
      <c r="J54" s="68"/>
      <c r="K54" s="42"/>
      <c r="L54" s="176" t="s">
        <v>285</v>
      </c>
      <c r="M54" s="181">
        <v>2.0</v>
      </c>
      <c r="N54" s="43"/>
      <c r="O54" s="182">
        <v>3000000.0</v>
      </c>
      <c r="P54" s="43"/>
      <c r="Q54" s="43"/>
      <c r="R54" s="42"/>
      <c r="S54" s="186"/>
      <c r="T54" s="60"/>
      <c r="U54" s="47"/>
      <c r="V54" s="186"/>
      <c r="W54" s="47"/>
      <c r="X54" s="47"/>
      <c r="Y54" s="47"/>
      <c r="Z54" s="47"/>
      <c r="AA54" s="47"/>
      <c r="AB54" s="47"/>
      <c r="AC54" s="47"/>
      <c r="AD54" s="47">
        <f t="shared" si="9"/>
        <v>6000000</v>
      </c>
      <c r="AE54" s="52"/>
      <c r="AF54" s="56"/>
      <c r="AG54" s="56"/>
      <c r="AH54" s="56"/>
    </row>
    <row r="55" ht="14.25" customHeight="1">
      <c r="A55" s="42">
        <f t="shared" si="3"/>
        <v>44</v>
      </c>
      <c r="B55" s="42" t="s">
        <v>175</v>
      </c>
      <c r="C55" s="44"/>
      <c r="D55" s="35">
        <v>46381.0</v>
      </c>
      <c r="E55" s="37"/>
      <c r="F55" s="37"/>
      <c r="G55" s="149" t="s">
        <v>177</v>
      </c>
      <c r="H55" s="49"/>
      <c r="I55" s="37"/>
      <c r="J55" s="37"/>
      <c r="K55" s="42"/>
      <c r="L55" s="184" t="s">
        <v>286</v>
      </c>
      <c r="M55" s="181">
        <v>1.0</v>
      </c>
      <c r="N55" s="43"/>
      <c r="O55" s="182">
        <v>5500000.0</v>
      </c>
      <c r="P55" s="43"/>
      <c r="Q55" s="43"/>
      <c r="R55" s="42"/>
      <c r="S55" s="186">
        <v>1500000.0</v>
      </c>
      <c r="T55" s="63"/>
      <c r="U55" s="47"/>
      <c r="V55" s="186">
        <v>596000.0</v>
      </c>
      <c r="W55" s="47"/>
      <c r="X55" s="47"/>
      <c r="Y55" s="47"/>
      <c r="Z55" s="47"/>
      <c r="AA55" s="47"/>
      <c r="AB55" s="47"/>
      <c r="AC55" s="47"/>
      <c r="AD55" s="47">
        <f t="shared" ref="AD55:AD56" si="10">O55+S55+V55</f>
        <v>7596000</v>
      </c>
      <c r="AE55" s="52"/>
      <c r="AF55" s="56"/>
      <c r="AG55" s="56"/>
      <c r="AH55" s="56"/>
    </row>
    <row r="56" ht="14.25" customHeight="1">
      <c r="A56" s="42">
        <f t="shared" si="3"/>
        <v>45</v>
      </c>
      <c r="B56" s="42" t="s">
        <v>175</v>
      </c>
      <c r="C56" s="44"/>
      <c r="D56" s="35">
        <v>46381.0</v>
      </c>
      <c r="E56" s="37"/>
      <c r="F56" s="37"/>
      <c r="G56" s="149" t="s">
        <v>177</v>
      </c>
      <c r="H56" s="49"/>
      <c r="I56" s="37"/>
      <c r="J56" s="37"/>
      <c r="K56" s="42"/>
      <c r="L56" s="184" t="s">
        <v>287</v>
      </c>
      <c r="M56" s="181">
        <v>1.0</v>
      </c>
      <c r="N56" s="43"/>
      <c r="O56" s="182">
        <v>5800000.0</v>
      </c>
      <c r="P56" s="43"/>
      <c r="Q56" s="43"/>
      <c r="R56" s="59"/>
      <c r="S56" s="186">
        <v>1500000.0</v>
      </c>
      <c r="T56" s="60"/>
      <c r="U56" s="47"/>
      <c r="V56" s="186">
        <v>596000.0</v>
      </c>
      <c r="W56" s="47"/>
      <c r="X56" s="47"/>
      <c r="Y56" s="47"/>
      <c r="Z56" s="47"/>
      <c r="AA56" s="47"/>
      <c r="AB56" s="47"/>
      <c r="AC56" s="47"/>
      <c r="AD56" s="47">
        <f t="shared" si="10"/>
        <v>7896000</v>
      </c>
      <c r="AE56" s="52"/>
      <c r="AF56" s="56"/>
      <c r="AG56" s="56"/>
      <c r="AH56" s="56"/>
    </row>
    <row r="57" ht="14.25" customHeight="1">
      <c r="A57" s="187"/>
      <c r="B57" s="188"/>
      <c r="C57" s="127"/>
      <c r="D57" s="36"/>
      <c r="E57" s="37"/>
      <c r="F57" s="128"/>
      <c r="G57" s="128"/>
      <c r="H57" s="189"/>
      <c r="I57" s="128"/>
      <c r="J57" s="128"/>
      <c r="K57" s="42"/>
      <c r="L57" s="37"/>
      <c r="M57" s="48"/>
      <c r="N57" s="43"/>
      <c r="O57" s="43"/>
      <c r="P57" s="75"/>
      <c r="Q57" s="75"/>
      <c r="R57" s="190"/>
      <c r="S57" s="47"/>
      <c r="T57" s="191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52"/>
      <c r="AF57" s="56"/>
      <c r="AG57" s="56"/>
      <c r="AH57" s="56"/>
    </row>
    <row r="58" ht="14.25" customHeight="1">
      <c r="A58" s="187"/>
      <c r="B58" s="188"/>
      <c r="C58" s="127"/>
      <c r="D58" s="36"/>
      <c r="E58" s="37"/>
      <c r="F58" s="128"/>
      <c r="G58" s="128"/>
      <c r="H58" s="189"/>
      <c r="I58" s="128"/>
      <c r="J58" s="128"/>
      <c r="K58" s="42"/>
      <c r="L58" s="37"/>
      <c r="M58" s="48"/>
      <c r="N58" s="43"/>
      <c r="O58" s="43"/>
      <c r="P58" s="75"/>
      <c r="Q58" s="75"/>
      <c r="R58" s="190"/>
      <c r="S58" s="47"/>
      <c r="T58" s="191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52"/>
      <c r="AF58" s="56"/>
      <c r="AG58" s="56"/>
      <c r="AH58" s="56"/>
    </row>
    <row r="59" ht="14.25" customHeight="1">
      <c r="A59" s="34"/>
      <c r="B59" s="84"/>
      <c r="C59" s="36"/>
      <c r="D59" s="36"/>
      <c r="E59" s="35"/>
      <c r="F59" s="72"/>
      <c r="G59" s="72"/>
      <c r="H59" s="86"/>
      <c r="I59" s="72"/>
      <c r="J59" s="72"/>
      <c r="K59" s="39"/>
      <c r="L59" s="70"/>
      <c r="M59" s="71"/>
      <c r="N59" s="43"/>
      <c r="O59" s="45"/>
      <c r="P59" s="114"/>
      <c r="Q59" s="114"/>
      <c r="R59" s="75"/>
      <c r="S59" s="73"/>
      <c r="T59" s="76"/>
      <c r="U59" s="73"/>
      <c r="V59" s="73"/>
      <c r="W59" s="73"/>
      <c r="X59" s="73"/>
      <c r="Y59" s="73"/>
      <c r="Z59" s="73"/>
      <c r="AA59" s="73"/>
      <c r="AB59" s="73"/>
      <c r="AC59" s="73"/>
      <c r="AD59" s="77"/>
      <c r="AE59" s="78"/>
      <c r="AF59" s="92"/>
      <c r="AG59" s="92"/>
      <c r="AH59" s="92"/>
    </row>
    <row r="60" ht="14.25" customHeight="1">
      <c r="A60" s="79" t="s">
        <v>73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1"/>
      <c r="M60" s="77">
        <f t="shared" ref="M60:O60" si="11">SUM(M11:M59)</f>
        <v>11</v>
      </c>
      <c r="N60" s="77">
        <f t="shared" si="11"/>
        <v>0</v>
      </c>
      <c r="O60" s="77">
        <f t="shared" si="11"/>
        <v>379440000</v>
      </c>
      <c r="P60" s="77"/>
      <c r="Q60" s="77"/>
      <c r="R60" s="77">
        <f t="shared" ref="R60:AB60" si="12">SUM(R11:R59)</f>
        <v>7</v>
      </c>
      <c r="S60" s="77">
        <f t="shared" si="12"/>
        <v>22500000</v>
      </c>
      <c r="T60" s="77">
        <f t="shared" si="12"/>
        <v>25000000</v>
      </c>
      <c r="U60" s="77">
        <f t="shared" si="12"/>
        <v>7800000</v>
      </c>
      <c r="V60" s="77">
        <f t="shared" si="12"/>
        <v>7322000</v>
      </c>
      <c r="W60" s="77">
        <f t="shared" si="12"/>
        <v>3500000</v>
      </c>
      <c r="X60" s="77">
        <f t="shared" si="12"/>
        <v>6000000</v>
      </c>
      <c r="Y60" s="77">
        <f t="shared" si="12"/>
        <v>53140183</v>
      </c>
      <c r="Z60" s="77">
        <f t="shared" si="12"/>
        <v>0</v>
      </c>
      <c r="AA60" s="77">
        <f t="shared" si="12"/>
        <v>0</v>
      </c>
      <c r="AB60" s="77">
        <f t="shared" si="12"/>
        <v>0</v>
      </c>
      <c r="AC60" s="77"/>
      <c r="AD60" s="77">
        <f>SUM(AD11:AD59)</f>
        <v>527852683</v>
      </c>
      <c r="AE60" s="78"/>
    </row>
    <row r="61" ht="17.25" customHeight="1">
      <c r="A61" s="79" t="s">
        <v>76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1"/>
      <c r="M61" s="83"/>
      <c r="N61" s="83"/>
      <c r="O61" s="83"/>
      <c r="P61" s="83"/>
      <c r="Q61" s="83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>
        <f>SUM(AD11:AD59)</f>
        <v>527852683</v>
      </c>
      <c r="AE61" s="87"/>
    </row>
    <row r="62" ht="17.25" customHeight="1">
      <c r="A62" s="79" t="s">
        <v>83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8"/>
      <c r="M62" s="89"/>
      <c r="N62" s="89"/>
      <c r="O62" s="90"/>
      <c r="P62" s="90"/>
      <c r="Q62" s="90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91">
        <f>AD61-AC61</f>
        <v>527852683</v>
      </c>
      <c r="AE62" s="87"/>
    </row>
    <row r="63" ht="17.25" customHeight="1">
      <c r="A63" s="79" t="s">
        <v>86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1"/>
      <c r="M63" s="83"/>
      <c r="N63" s="83"/>
      <c r="O63" s="83"/>
      <c r="P63" s="83"/>
      <c r="Q63" s="83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>
        <f>AD61*0.08</f>
        <v>42228214.64</v>
      </c>
      <c r="AE63" s="87"/>
    </row>
    <row r="64" ht="17.25" customHeight="1">
      <c r="A64" s="79" t="s">
        <v>88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1"/>
      <c r="M64" s="83"/>
      <c r="N64" s="83"/>
      <c r="O64" s="83"/>
      <c r="P64" s="83"/>
      <c r="Q64" s="83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>
        <f>AD63+AD61</f>
        <v>570080897.6</v>
      </c>
      <c r="AE64" s="87"/>
    </row>
    <row r="65" ht="14.25" customHeight="1">
      <c r="A65" s="93" t="s">
        <v>89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5"/>
    </row>
    <row r="66" ht="37.5" customHeight="1">
      <c r="A66" s="96"/>
      <c r="B66" s="97"/>
      <c r="C66" s="97"/>
      <c r="D66" s="97"/>
      <c r="E66" s="97"/>
      <c r="F66" s="97"/>
      <c r="G66" s="97"/>
      <c r="H66" s="97"/>
      <c r="I66" s="98"/>
      <c r="J66" s="108"/>
      <c r="K66" s="99"/>
      <c r="L66" s="99"/>
      <c r="M66" s="100"/>
      <c r="N66" s="100"/>
      <c r="O66" s="100"/>
      <c r="P66" s="193"/>
      <c r="Q66" s="193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2"/>
      <c r="AE66" s="98"/>
    </row>
    <row r="67" ht="19.5" customHeight="1">
      <c r="A67" s="103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9"/>
    </row>
    <row r="68" ht="14.25" customHeight="1">
      <c r="A68" s="104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6"/>
    </row>
    <row r="69" ht="14.25" customHeight="1">
      <c r="F69" s="119"/>
      <c r="G69" s="119"/>
      <c r="H69" s="120"/>
      <c r="I69" s="119"/>
      <c r="J69" s="119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</row>
    <row r="70" ht="14.25" customHeight="1">
      <c r="F70" s="119"/>
      <c r="G70" s="119"/>
      <c r="H70" s="120"/>
      <c r="I70" s="119"/>
      <c r="J70" s="119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4"/>
    </row>
    <row r="71" ht="14.25" customHeight="1">
      <c r="F71" s="119"/>
      <c r="G71" s="119"/>
      <c r="H71" s="120"/>
      <c r="I71" s="119"/>
      <c r="J71" s="119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4"/>
    </row>
    <row r="72" ht="14.25" customHeight="1">
      <c r="F72" s="119"/>
      <c r="G72" s="119"/>
      <c r="H72" s="120"/>
      <c r="I72" s="119"/>
      <c r="J72" s="119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4"/>
    </row>
    <row r="73" ht="14.25" customHeight="1">
      <c r="F73" s="119"/>
      <c r="G73" s="119"/>
      <c r="H73" s="120"/>
      <c r="I73" s="119"/>
      <c r="J73" s="119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4"/>
    </row>
    <row r="74" ht="14.25" customHeight="1">
      <c r="F74" s="119"/>
      <c r="G74" s="119"/>
      <c r="H74" s="120"/>
      <c r="I74" s="119"/>
      <c r="J74" s="119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4"/>
    </row>
    <row r="75" ht="14.25" customHeight="1">
      <c r="F75" s="119"/>
      <c r="G75" s="119"/>
      <c r="H75" s="120"/>
      <c r="I75" s="119"/>
      <c r="J75" s="119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4"/>
    </row>
    <row r="76" ht="14.25" customHeight="1">
      <c r="F76" s="119"/>
      <c r="G76" s="119"/>
      <c r="H76" s="120"/>
      <c r="I76" s="119"/>
      <c r="J76" s="119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4"/>
    </row>
    <row r="77" ht="14.25" customHeight="1">
      <c r="F77" s="119"/>
      <c r="G77" s="119"/>
      <c r="H77" s="120"/>
      <c r="I77" s="119"/>
      <c r="J77" s="119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</row>
    <row r="78" ht="14.25" customHeight="1">
      <c r="F78" s="119"/>
      <c r="G78" s="119"/>
      <c r="H78" s="120"/>
      <c r="I78" s="119"/>
      <c r="J78" s="119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4"/>
    </row>
    <row r="79" ht="14.25" customHeight="1">
      <c r="F79" s="119"/>
      <c r="G79" s="119"/>
      <c r="H79" s="120"/>
      <c r="I79" s="119"/>
      <c r="J79" s="119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4"/>
    </row>
    <row r="80" ht="14.25" customHeight="1">
      <c r="F80" s="119"/>
      <c r="G80" s="119"/>
      <c r="H80" s="120"/>
      <c r="I80" s="119"/>
      <c r="J80" s="119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4"/>
    </row>
    <row r="81" ht="14.25" customHeight="1">
      <c r="F81" s="119"/>
      <c r="G81" s="119"/>
      <c r="H81" s="120"/>
      <c r="I81" s="119"/>
      <c r="J81" s="119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4"/>
    </row>
    <row r="82" ht="14.25" customHeight="1">
      <c r="F82" s="119"/>
      <c r="G82" s="119"/>
      <c r="H82" s="120"/>
      <c r="I82" s="119"/>
      <c r="J82" s="119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4"/>
    </row>
    <row r="83" ht="14.25" customHeight="1">
      <c r="F83" s="119"/>
      <c r="G83" s="119"/>
      <c r="H83" s="120"/>
      <c r="I83" s="119"/>
      <c r="J83" s="119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4"/>
    </row>
    <row r="84" ht="14.25" customHeight="1">
      <c r="F84" s="119"/>
      <c r="G84" s="119"/>
      <c r="H84" s="120"/>
      <c r="I84" s="119"/>
      <c r="J84" s="119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4"/>
    </row>
    <row r="85" ht="14.25" customHeight="1">
      <c r="F85" s="119"/>
      <c r="G85" s="119"/>
      <c r="H85" s="120"/>
      <c r="I85" s="119"/>
      <c r="J85" s="119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4"/>
    </row>
    <row r="86" ht="14.25" customHeight="1">
      <c r="F86" s="119"/>
      <c r="G86" s="119"/>
      <c r="H86" s="120"/>
      <c r="I86" s="119"/>
      <c r="J86" s="119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4"/>
    </row>
    <row r="87" ht="14.25" customHeight="1">
      <c r="F87" s="119"/>
      <c r="G87" s="119"/>
      <c r="H87" s="120"/>
      <c r="I87" s="119"/>
      <c r="J87" s="119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"/>
    </row>
    <row r="88" ht="14.25" customHeight="1">
      <c r="F88" s="119"/>
      <c r="G88" s="119"/>
      <c r="H88" s="120"/>
      <c r="I88" s="119"/>
      <c r="J88" s="119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4"/>
    </row>
    <row r="89" ht="14.25" customHeight="1">
      <c r="F89" s="119"/>
      <c r="G89" s="119"/>
      <c r="H89" s="120"/>
      <c r="I89" s="119"/>
      <c r="J89" s="119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4"/>
    </row>
    <row r="90" ht="14.25" customHeight="1">
      <c r="F90" s="119"/>
      <c r="G90" s="119"/>
      <c r="H90" s="120"/>
      <c r="I90" s="119"/>
      <c r="J90" s="119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4"/>
    </row>
    <row r="91" ht="14.25" customHeight="1">
      <c r="F91" s="119"/>
      <c r="G91" s="119"/>
      <c r="H91" s="120"/>
      <c r="I91" s="119"/>
      <c r="J91" s="119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4"/>
    </row>
    <row r="92" ht="14.25" customHeight="1">
      <c r="F92" s="119"/>
      <c r="G92" s="119"/>
      <c r="H92" s="120"/>
      <c r="I92" s="119"/>
      <c r="J92" s="119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4"/>
    </row>
    <row r="93" ht="14.25" customHeight="1">
      <c r="F93" s="119"/>
      <c r="G93" s="119"/>
      <c r="H93" s="120"/>
      <c r="I93" s="119"/>
      <c r="J93" s="119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4"/>
    </row>
    <row r="94" ht="14.25" customHeight="1">
      <c r="F94" s="119"/>
      <c r="G94" s="119"/>
      <c r="H94" s="120"/>
      <c r="I94" s="119"/>
      <c r="J94" s="119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4"/>
    </row>
    <row r="95" ht="14.25" customHeight="1">
      <c r="F95" s="119"/>
      <c r="G95" s="119"/>
      <c r="H95" s="120"/>
      <c r="I95" s="119"/>
      <c r="J95" s="119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4"/>
    </row>
    <row r="96" ht="14.25" customHeight="1">
      <c r="F96" s="119"/>
      <c r="G96" s="119"/>
      <c r="H96" s="120"/>
      <c r="I96" s="119"/>
      <c r="J96" s="119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4"/>
    </row>
    <row r="97" ht="14.25" customHeight="1">
      <c r="F97" s="119"/>
      <c r="G97" s="119"/>
      <c r="H97" s="120"/>
      <c r="I97" s="119"/>
      <c r="J97" s="119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4"/>
    </row>
    <row r="98" ht="14.25" customHeight="1">
      <c r="F98" s="119"/>
      <c r="G98" s="119"/>
      <c r="H98" s="120"/>
      <c r="I98" s="119"/>
      <c r="J98" s="119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4"/>
    </row>
    <row r="99" ht="14.25" customHeight="1">
      <c r="F99" s="119"/>
      <c r="G99" s="119"/>
      <c r="H99" s="120"/>
      <c r="I99" s="119"/>
      <c r="J99" s="119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4"/>
    </row>
    <row r="100" ht="14.25" customHeight="1">
      <c r="F100" s="119"/>
      <c r="G100" s="119"/>
      <c r="H100" s="120"/>
      <c r="I100" s="119"/>
      <c r="J100" s="119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4"/>
    </row>
    <row r="101" ht="14.25" customHeight="1">
      <c r="F101" s="119"/>
      <c r="G101" s="119"/>
      <c r="H101" s="120"/>
      <c r="I101" s="119"/>
      <c r="J101" s="119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4"/>
    </row>
    <row r="102" ht="14.25" customHeight="1">
      <c r="F102" s="119"/>
      <c r="G102" s="119"/>
      <c r="H102" s="120"/>
      <c r="I102" s="119"/>
      <c r="J102" s="119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4"/>
    </row>
    <row r="103" ht="14.25" customHeight="1">
      <c r="F103" s="119"/>
      <c r="G103" s="119"/>
      <c r="H103" s="120"/>
      <c r="I103" s="119"/>
      <c r="J103" s="119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4"/>
    </row>
    <row r="104" ht="14.25" customHeight="1">
      <c r="F104" s="119"/>
      <c r="G104" s="119"/>
      <c r="H104" s="120"/>
      <c r="I104" s="119"/>
      <c r="J104" s="119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4"/>
    </row>
    <row r="105" ht="14.25" customHeight="1">
      <c r="F105" s="119"/>
      <c r="G105" s="119"/>
      <c r="H105" s="120"/>
      <c r="I105" s="119"/>
      <c r="J105" s="119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4"/>
    </row>
    <row r="106" ht="14.25" customHeight="1">
      <c r="F106" s="119"/>
      <c r="G106" s="119"/>
      <c r="H106" s="120"/>
      <c r="I106" s="119"/>
      <c r="J106" s="119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4"/>
    </row>
    <row r="107" ht="14.25" customHeight="1">
      <c r="F107" s="119"/>
      <c r="G107" s="119"/>
      <c r="H107" s="120"/>
      <c r="I107" s="119"/>
      <c r="J107" s="119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4"/>
    </row>
    <row r="108" ht="14.25" customHeight="1">
      <c r="F108" s="119"/>
      <c r="G108" s="119"/>
      <c r="H108" s="120"/>
      <c r="I108" s="119"/>
      <c r="J108" s="119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4"/>
    </row>
    <row r="109" ht="14.25" customHeight="1">
      <c r="F109" s="119"/>
      <c r="G109" s="119"/>
      <c r="H109" s="120"/>
      <c r="I109" s="119"/>
      <c r="J109" s="119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4"/>
    </row>
    <row r="110" ht="14.25" customHeight="1">
      <c r="F110" s="119"/>
      <c r="G110" s="119"/>
      <c r="H110" s="120"/>
      <c r="I110" s="119"/>
      <c r="J110" s="119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4"/>
    </row>
    <row r="111" ht="14.25" customHeight="1">
      <c r="F111" s="119"/>
      <c r="G111" s="119"/>
      <c r="H111" s="120"/>
      <c r="I111" s="119"/>
      <c r="J111" s="119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4"/>
    </row>
    <row r="112" ht="14.25" customHeight="1">
      <c r="F112" s="119"/>
      <c r="G112" s="119"/>
      <c r="H112" s="120"/>
      <c r="I112" s="119"/>
      <c r="J112" s="119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4"/>
    </row>
    <row r="113" ht="14.25" customHeight="1">
      <c r="F113" s="119"/>
      <c r="G113" s="119"/>
      <c r="H113" s="120"/>
      <c r="I113" s="119"/>
      <c r="J113" s="119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4"/>
    </row>
    <row r="114" ht="14.25" customHeight="1">
      <c r="F114" s="119"/>
      <c r="G114" s="119"/>
      <c r="H114" s="120"/>
      <c r="I114" s="119"/>
      <c r="J114" s="119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4"/>
    </row>
    <row r="115" ht="14.25" customHeight="1">
      <c r="F115" s="119"/>
      <c r="G115" s="119"/>
      <c r="H115" s="120"/>
      <c r="I115" s="119"/>
      <c r="J115" s="119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4"/>
    </row>
    <row r="116" ht="14.25" customHeight="1">
      <c r="F116" s="119"/>
      <c r="G116" s="119"/>
      <c r="H116" s="120"/>
      <c r="I116" s="119"/>
      <c r="J116" s="119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4"/>
    </row>
    <row r="117" ht="14.25" customHeight="1">
      <c r="F117" s="119"/>
      <c r="G117" s="119"/>
      <c r="H117" s="120"/>
      <c r="I117" s="119"/>
      <c r="J117" s="119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4"/>
    </row>
    <row r="118" ht="14.25" customHeight="1">
      <c r="F118" s="119"/>
      <c r="G118" s="119"/>
      <c r="H118" s="120"/>
      <c r="I118" s="119"/>
      <c r="J118" s="119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/>
    </row>
    <row r="119" ht="14.25" customHeight="1">
      <c r="F119" s="119"/>
      <c r="G119" s="119"/>
      <c r="H119" s="120"/>
      <c r="I119" s="119"/>
      <c r="J119" s="119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4"/>
    </row>
    <row r="120" ht="14.25" customHeight="1">
      <c r="F120" s="119"/>
      <c r="G120" s="119"/>
      <c r="H120" s="120"/>
      <c r="I120" s="119"/>
      <c r="J120" s="119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4"/>
    </row>
    <row r="121" ht="14.25" customHeight="1">
      <c r="F121" s="119"/>
      <c r="G121" s="119"/>
      <c r="H121" s="120"/>
      <c r="I121" s="119"/>
      <c r="J121" s="119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4"/>
    </row>
    <row r="122" ht="14.25" customHeight="1">
      <c r="F122" s="119"/>
      <c r="G122" s="119"/>
      <c r="H122" s="120"/>
      <c r="I122" s="119"/>
      <c r="J122" s="119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4"/>
    </row>
    <row r="123" ht="14.25" customHeight="1">
      <c r="F123" s="119"/>
      <c r="G123" s="119"/>
      <c r="H123" s="120"/>
      <c r="I123" s="119"/>
      <c r="J123" s="119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4"/>
    </row>
    <row r="124" ht="14.25" customHeight="1">
      <c r="F124" s="119"/>
      <c r="G124" s="119"/>
      <c r="H124" s="120"/>
      <c r="I124" s="119"/>
      <c r="J124" s="119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4"/>
    </row>
    <row r="125" ht="14.25" customHeight="1">
      <c r="F125" s="119"/>
      <c r="G125" s="119"/>
      <c r="H125" s="120"/>
      <c r="I125" s="119"/>
      <c r="J125" s="119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4"/>
    </row>
    <row r="126" ht="14.25" customHeight="1">
      <c r="F126" s="119"/>
      <c r="G126" s="119"/>
      <c r="H126" s="120"/>
      <c r="I126" s="119"/>
      <c r="J126" s="119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4"/>
    </row>
    <row r="127" ht="14.25" customHeight="1">
      <c r="F127" s="119"/>
      <c r="G127" s="119"/>
      <c r="H127" s="120"/>
      <c r="I127" s="119"/>
      <c r="J127" s="119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4"/>
    </row>
    <row r="128" ht="14.25" customHeight="1">
      <c r="F128" s="119"/>
      <c r="G128" s="119"/>
      <c r="H128" s="120"/>
      <c r="I128" s="119"/>
      <c r="J128" s="119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4"/>
    </row>
    <row r="129" ht="14.25" customHeight="1">
      <c r="F129" s="119"/>
      <c r="G129" s="119"/>
      <c r="H129" s="120"/>
      <c r="I129" s="119"/>
      <c r="J129" s="119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4"/>
    </row>
    <row r="130" ht="14.25" customHeight="1">
      <c r="F130" s="119"/>
      <c r="G130" s="119"/>
      <c r="H130" s="120"/>
      <c r="I130" s="119"/>
      <c r="J130" s="119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4"/>
    </row>
    <row r="131" ht="14.25" customHeight="1">
      <c r="F131" s="119"/>
      <c r="G131" s="119"/>
      <c r="H131" s="120"/>
      <c r="I131" s="119"/>
      <c r="J131" s="119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4"/>
    </row>
    <row r="132" ht="14.25" customHeight="1">
      <c r="F132" s="119"/>
      <c r="G132" s="119"/>
      <c r="H132" s="120"/>
      <c r="I132" s="119"/>
      <c r="J132" s="119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4"/>
    </row>
    <row r="133" ht="14.25" customHeight="1">
      <c r="F133" s="119"/>
      <c r="G133" s="119"/>
      <c r="H133" s="120"/>
      <c r="I133" s="119"/>
      <c r="J133" s="119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4"/>
    </row>
    <row r="134" ht="14.25" customHeight="1">
      <c r="F134" s="119"/>
      <c r="G134" s="119"/>
      <c r="H134" s="120"/>
      <c r="I134" s="119"/>
      <c r="J134" s="119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4"/>
    </row>
    <row r="135" ht="14.25" customHeight="1">
      <c r="F135" s="119"/>
      <c r="G135" s="119"/>
      <c r="H135" s="120"/>
      <c r="I135" s="119"/>
      <c r="J135" s="119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4"/>
    </row>
    <row r="136" ht="14.25" customHeight="1">
      <c r="F136" s="119"/>
      <c r="G136" s="119"/>
      <c r="H136" s="120"/>
      <c r="I136" s="119"/>
      <c r="J136" s="119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4"/>
    </row>
    <row r="137" ht="14.25" customHeight="1">
      <c r="F137" s="119"/>
      <c r="G137" s="119"/>
      <c r="H137" s="120"/>
      <c r="I137" s="119"/>
      <c r="J137" s="119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4"/>
    </row>
    <row r="138" ht="14.25" customHeight="1">
      <c r="F138" s="119"/>
      <c r="G138" s="119"/>
      <c r="H138" s="120"/>
      <c r="I138" s="119"/>
      <c r="J138" s="119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4"/>
    </row>
    <row r="139" ht="14.25" customHeight="1">
      <c r="F139" s="119"/>
      <c r="G139" s="119"/>
      <c r="H139" s="120"/>
      <c r="I139" s="119"/>
      <c r="J139" s="119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4"/>
    </row>
    <row r="140" ht="14.25" customHeight="1">
      <c r="F140" s="119"/>
      <c r="G140" s="119"/>
      <c r="H140" s="120"/>
      <c r="I140" s="119"/>
      <c r="J140" s="119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4"/>
    </row>
    <row r="141" ht="14.25" customHeight="1">
      <c r="F141" s="119"/>
      <c r="G141" s="119"/>
      <c r="H141" s="120"/>
      <c r="I141" s="119"/>
      <c r="J141" s="119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4"/>
    </row>
    <row r="142" ht="14.25" customHeight="1">
      <c r="F142" s="119"/>
      <c r="G142" s="119"/>
      <c r="H142" s="120"/>
      <c r="I142" s="119"/>
      <c r="J142" s="119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4"/>
    </row>
    <row r="143" ht="14.25" customHeight="1">
      <c r="F143" s="119"/>
      <c r="G143" s="119"/>
      <c r="H143" s="120"/>
      <c r="I143" s="119"/>
      <c r="J143" s="119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4"/>
    </row>
    <row r="144" ht="14.25" customHeight="1">
      <c r="F144" s="119"/>
      <c r="G144" s="119"/>
      <c r="H144" s="120"/>
      <c r="I144" s="119"/>
      <c r="J144" s="119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4"/>
    </row>
    <row r="145" ht="14.25" customHeight="1">
      <c r="F145" s="119"/>
      <c r="G145" s="119"/>
      <c r="H145" s="120"/>
      <c r="I145" s="119"/>
      <c r="J145" s="119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4"/>
    </row>
    <row r="146" ht="14.25" customHeight="1">
      <c r="F146" s="119"/>
      <c r="G146" s="119"/>
      <c r="H146" s="120"/>
      <c r="I146" s="119"/>
      <c r="J146" s="119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4"/>
    </row>
    <row r="147" ht="14.25" customHeight="1">
      <c r="F147" s="119"/>
      <c r="G147" s="119"/>
      <c r="H147" s="120"/>
      <c r="I147" s="119"/>
      <c r="J147" s="119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4"/>
    </row>
    <row r="148" ht="14.25" customHeight="1">
      <c r="F148" s="119"/>
      <c r="G148" s="119"/>
      <c r="H148" s="120"/>
      <c r="I148" s="119"/>
      <c r="J148" s="119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4"/>
    </row>
    <row r="149" ht="14.25" customHeight="1">
      <c r="F149" s="119"/>
      <c r="G149" s="119"/>
      <c r="H149" s="120"/>
      <c r="I149" s="119"/>
      <c r="J149" s="119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4"/>
    </row>
    <row r="150" ht="14.25" customHeight="1">
      <c r="F150" s="119"/>
      <c r="G150" s="119"/>
      <c r="H150" s="120"/>
      <c r="I150" s="119"/>
      <c r="J150" s="119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4"/>
    </row>
    <row r="151" ht="14.25" customHeight="1">
      <c r="F151" s="119"/>
      <c r="G151" s="119"/>
      <c r="H151" s="120"/>
      <c r="I151" s="119"/>
      <c r="J151" s="119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4"/>
    </row>
    <row r="152" ht="14.25" customHeight="1">
      <c r="F152" s="119"/>
      <c r="G152" s="119"/>
      <c r="H152" s="120"/>
      <c r="I152" s="119"/>
      <c r="J152" s="119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4"/>
    </row>
    <row r="153" ht="14.25" customHeight="1">
      <c r="F153" s="119"/>
      <c r="G153" s="119"/>
      <c r="H153" s="120"/>
      <c r="I153" s="119"/>
      <c r="J153" s="119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4"/>
    </row>
    <row r="154" ht="14.25" customHeight="1">
      <c r="F154" s="119"/>
      <c r="G154" s="119"/>
      <c r="H154" s="120"/>
      <c r="I154" s="119"/>
      <c r="J154" s="119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4"/>
    </row>
    <row r="155" ht="14.25" customHeight="1">
      <c r="F155" s="119"/>
      <c r="G155" s="119"/>
      <c r="H155" s="120"/>
      <c r="I155" s="119"/>
      <c r="J155" s="119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4"/>
    </row>
    <row r="156" ht="14.25" customHeight="1">
      <c r="F156" s="119"/>
      <c r="G156" s="119"/>
      <c r="H156" s="120"/>
      <c r="I156" s="119"/>
      <c r="J156" s="119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4"/>
    </row>
    <row r="157" ht="14.25" customHeight="1">
      <c r="F157" s="119"/>
      <c r="G157" s="119"/>
      <c r="H157" s="120"/>
      <c r="I157" s="119"/>
      <c r="J157" s="119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4"/>
    </row>
    <row r="158" ht="14.25" customHeight="1">
      <c r="F158" s="119"/>
      <c r="G158" s="119"/>
      <c r="H158" s="120"/>
      <c r="I158" s="119"/>
      <c r="J158" s="119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4"/>
    </row>
    <row r="159" ht="14.25" customHeight="1">
      <c r="F159" s="119"/>
      <c r="G159" s="119"/>
      <c r="H159" s="120"/>
      <c r="I159" s="119"/>
      <c r="J159" s="119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4"/>
    </row>
    <row r="160" ht="14.25" customHeight="1">
      <c r="F160" s="119"/>
      <c r="G160" s="119"/>
      <c r="H160" s="120"/>
      <c r="I160" s="119"/>
      <c r="J160" s="119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4"/>
    </row>
    <row r="161" ht="14.25" customHeight="1">
      <c r="F161" s="119"/>
      <c r="G161" s="119"/>
      <c r="H161" s="120"/>
      <c r="I161" s="119"/>
      <c r="J161" s="119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4"/>
    </row>
    <row r="162" ht="14.25" customHeight="1">
      <c r="F162" s="119"/>
      <c r="G162" s="119"/>
      <c r="H162" s="120"/>
      <c r="I162" s="119"/>
      <c r="J162" s="119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4"/>
    </row>
    <row r="163" ht="14.25" customHeight="1">
      <c r="F163" s="119"/>
      <c r="G163" s="119"/>
      <c r="H163" s="120"/>
      <c r="I163" s="119"/>
      <c r="J163" s="119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4"/>
    </row>
    <row r="164" ht="14.25" customHeight="1">
      <c r="F164" s="119"/>
      <c r="G164" s="119"/>
      <c r="H164" s="120"/>
      <c r="I164" s="119"/>
      <c r="J164" s="119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4"/>
    </row>
    <row r="165" ht="14.25" customHeight="1">
      <c r="F165" s="119"/>
      <c r="G165" s="119"/>
      <c r="H165" s="120"/>
      <c r="I165" s="119"/>
      <c r="J165" s="119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4"/>
    </row>
    <row r="166" ht="14.25" customHeight="1">
      <c r="F166" s="119"/>
      <c r="G166" s="119"/>
      <c r="H166" s="120"/>
      <c r="I166" s="119"/>
      <c r="J166" s="119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4"/>
    </row>
    <row r="167" ht="14.25" customHeight="1">
      <c r="F167" s="119"/>
      <c r="G167" s="119"/>
      <c r="H167" s="120"/>
      <c r="I167" s="119"/>
      <c r="J167" s="119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4"/>
    </row>
    <row r="168" ht="14.25" customHeight="1">
      <c r="F168" s="119"/>
      <c r="G168" s="119"/>
      <c r="H168" s="120"/>
      <c r="I168" s="119"/>
      <c r="J168" s="119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4"/>
    </row>
    <row r="169" ht="14.25" customHeight="1">
      <c r="F169" s="119"/>
      <c r="G169" s="119"/>
      <c r="H169" s="120"/>
      <c r="I169" s="119"/>
      <c r="J169" s="119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4"/>
    </row>
    <row r="170" ht="14.25" customHeight="1">
      <c r="F170" s="119"/>
      <c r="G170" s="119"/>
      <c r="H170" s="120"/>
      <c r="I170" s="119"/>
      <c r="J170" s="119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4"/>
    </row>
    <row r="171" ht="14.25" customHeight="1">
      <c r="F171" s="119"/>
      <c r="G171" s="119"/>
      <c r="H171" s="120"/>
      <c r="I171" s="119"/>
      <c r="J171" s="119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4"/>
    </row>
    <row r="172" ht="14.25" customHeight="1">
      <c r="F172" s="119"/>
      <c r="G172" s="119"/>
      <c r="H172" s="120"/>
      <c r="I172" s="119"/>
      <c r="J172" s="119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4"/>
    </row>
    <row r="173" ht="14.25" customHeight="1">
      <c r="F173" s="119"/>
      <c r="G173" s="119"/>
      <c r="H173" s="120"/>
      <c r="I173" s="119"/>
      <c r="J173" s="119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4"/>
    </row>
    <row r="174" ht="14.25" customHeight="1">
      <c r="F174" s="119"/>
      <c r="G174" s="119"/>
      <c r="H174" s="120"/>
      <c r="I174" s="119"/>
      <c r="J174" s="119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4"/>
    </row>
    <row r="175" ht="14.25" customHeight="1">
      <c r="F175" s="119"/>
      <c r="G175" s="119"/>
      <c r="H175" s="120"/>
      <c r="I175" s="119"/>
      <c r="J175" s="119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4"/>
    </row>
    <row r="176" ht="14.25" customHeight="1">
      <c r="F176" s="119"/>
      <c r="G176" s="119"/>
      <c r="H176" s="120"/>
      <c r="I176" s="119"/>
      <c r="J176" s="119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4"/>
    </row>
    <row r="177" ht="14.25" customHeight="1">
      <c r="F177" s="119"/>
      <c r="G177" s="119"/>
      <c r="H177" s="120"/>
      <c r="I177" s="119"/>
      <c r="J177" s="119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4"/>
    </row>
    <row r="178" ht="14.25" customHeight="1">
      <c r="F178" s="119"/>
      <c r="G178" s="119"/>
      <c r="H178" s="120"/>
      <c r="I178" s="119"/>
      <c r="J178" s="119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4"/>
    </row>
    <row r="179" ht="14.25" customHeight="1">
      <c r="F179" s="119"/>
      <c r="G179" s="119"/>
      <c r="H179" s="120"/>
      <c r="I179" s="119"/>
      <c r="J179" s="119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4"/>
    </row>
    <row r="180" ht="14.25" customHeight="1">
      <c r="F180" s="119"/>
      <c r="G180" s="119"/>
      <c r="H180" s="120"/>
      <c r="I180" s="119"/>
      <c r="J180" s="119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4"/>
    </row>
    <row r="181" ht="14.25" customHeight="1">
      <c r="F181" s="119"/>
      <c r="G181" s="119"/>
      <c r="H181" s="120"/>
      <c r="I181" s="119"/>
      <c r="J181" s="119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4"/>
    </row>
    <row r="182" ht="14.25" customHeight="1">
      <c r="F182" s="119"/>
      <c r="G182" s="119"/>
      <c r="H182" s="120"/>
      <c r="I182" s="119"/>
      <c r="J182" s="119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4"/>
    </row>
    <row r="183" ht="14.25" customHeight="1">
      <c r="F183" s="119"/>
      <c r="G183" s="119"/>
      <c r="H183" s="120"/>
      <c r="I183" s="119"/>
      <c r="J183" s="119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4"/>
    </row>
    <row r="184" ht="14.25" customHeight="1">
      <c r="F184" s="119"/>
      <c r="G184" s="119"/>
      <c r="H184" s="120"/>
      <c r="I184" s="119"/>
      <c r="J184" s="119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4"/>
    </row>
    <row r="185" ht="14.25" customHeight="1">
      <c r="F185" s="119"/>
      <c r="G185" s="119"/>
      <c r="H185" s="120"/>
      <c r="I185" s="119"/>
      <c r="J185" s="119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4"/>
    </row>
    <row r="186" ht="14.25" customHeight="1">
      <c r="F186" s="119"/>
      <c r="G186" s="119"/>
      <c r="H186" s="120"/>
      <c r="I186" s="119"/>
      <c r="J186" s="119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4"/>
    </row>
    <row r="187" ht="14.25" customHeight="1">
      <c r="F187" s="119"/>
      <c r="G187" s="119"/>
      <c r="H187" s="120"/>
      <c r="I187" s="119"/>
      <c r="J187" s="119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4"/>
    </row>
    <row r="188" ht="14.25" customHeight="1">
      <c r="F188" s="119"/>
      <c r="G188" s="119"/>
      <c r="H188" s="120"/>
      <c r="I188" s="119"/>
      <c r="J188" s="119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4"/>
    </row>
    <row r="189" ht="14.25" customHeight="1">
      <c r="F189" s="119"/>
      <c r="G189" s="119"/>
      <c r="H189" s="120"/>
      <c r="I189" s="119"/>
      <c r="J189" s="119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4"/>
    </row>
    <row r="190" ht="14.25" customHeight="1">
      <c r="F190" s="119"/>
      <c r="G190" s="119"/>
      <c r="H190" s="120"/>
      <c r="I190" s="119"/>
      <c r="J190" s="119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4"/>
    </row>
    <row r="191" ht="14.25" customHeight="1">
      <c r="F191" s="119"/>
      <c r="G191" s="119"/>
      <c r="H191" s="120"/>
      <c r="I191" s="119"/>
      <c r="J191" s="119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4"/>
    </row>
    <row r="192" ht="14.25" customHeight="1">
      <c r="F192" s="119"/>
      <c r="G192" s="119"/>
      <c r="H192" s="120"/>
      <c r="I192" s="119"/>
      <c r="J192" s="119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4"/>
    </row>
    <row r="193" ht="14.25" customHeight="1">
      <c r="F193" s="119"/>
      <c r="G193" s="119"/>
      <c r="H193" s="120"/>
      <c r="I193" s="119"/>
      <c r="J193" s="119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4"/>
    </row>
    <row r="194" ht="14.25" customHeight="1">
      <c r="F194" s="119"/>
      <c r="G194" s="119"/>
      <c r="H194" s="120"/>
      <c r="I194" s="119"/>
      <c r="J194" s="119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4"/>
    </row>
    <row r="195" ht="14.25" customHeight="1">
      <c r="F195" s="119"/>
      <c r="G195" s="119"/>
      <c r="H195" s="120"/>
      <c r="I195" s="119"/>
      <c r="J195" s="119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4"/>
    </row>
    <row r="196" ht="14.25" customHeight="1">
      <c r="F196" s="119"/>
      <c r="G196" s="119"/>
      <c r="H196" s="120"/>
      <c r="I196" s="119"/>
      <c r="J196" s="119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4"/>
    </row>
    <row r="197" ht="14.25" customHeight="1">
      <c r="F197" s="119"/>
      <c r="G197" s="119"/>
      <c r="H197" s="120"/>
      <c r="I197" s="119"/>
      <c r="J197" s="119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4"/>
    </row>
    <row r="198" ht="14.25" customHeight="1">
      <c r="F198" s="119"/>
      <c r="G198" s="119"/>
      <c r="H198" s="120"/>
      <c r="I198" s="119"/>
      <c r="J198" s="119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4"/>
    </row>
    <row r="199" ht="14.25" customHeight="1">
      <c r="F199" s="119"/>
      <c r="G199" s="119"/>
      <c r="H199" s="120"/>
      <c r="I199" s="119"/>
      <c r="J199" s="119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4"/>
    </row>
    <row r="200" ht="14.25" customHeight="1">
      <c r="F200" s="119"/>
      <c r="G200" s="119"/>
      <c r="H200" s="120"/>
      <c r="I200" s="119"/>
      <c r="J200" s="119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4"/>
    </row>
    <row r="201" ht="14.25" customHeight="1">
      <c r="F201" s="119"/>
      <c r="G201" s="119"/>
      <c r="H201" s="120"/>
      <c r="I201" s="119"/>
      <c r="J201" s="119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4"/>
    </row>
    <row r="202" ht="14.25" customHeight="1">
      <c r="F202" s="119"/>
      <c r="G202" s="119"/>
      <c r="H202" s="120"/>
      <c r="I202" s="119"/>
      <c r="J202" s="119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4"/>
    </row>
    <row r="203" ht="14.25" customHeight="1">
      <c r="F203" s="119"/>
      <c r="G203" s="119"/>
      <c r="H203" s="120"/>
      <c r="I203" s="119"/>
      <c r="J203" s="119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4"/>
    </row>
    <row r="204" ht="14.25" customHeight="1">
      <c r="F204" s="119"/>
      <c r="G204" s="119"/>
      <c r="H204" s="120"/>
      <c r="I204" s="119"/>
      <c r="J204" s="119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4"/>
    </row>
    <row r="205" ht="14.25" customHeight="1">
      <c r="F205" s="119"/>
      <c r="G205" s="119"/>
      <c r="H205" s="120"/>
      <c r="I205" s="119"/>
      <c r="J205" s="119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4"/>
    </row>
    <row r="206" ht="14.25" customHeight="1">
      <c r="F206" s="119"/>
      <c r="G206" s="119"/>
      <c r="H206" s="120"/>
      <c r="I206" s="119"/>
      <c r="J206" s="119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4"/>
    </row>
    <row r="207" ht="14.25" customHeight="1">
      <c r="F207" s="119"/>
      <c r="G207" s="119"/>
      <c r="H207" s="120"/>
      <c r="I207" s="119"/>
      <c r="J207" s="119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4"/>
    </row>
    <row r="208" ht="14.25" customHeight="1">
      <c r="F208" s="119"/>
      <c r="G208" s="119"/>
      <c r="H208" s="120"/>
      <c r="I208" s="119"/>
      <c r="J208" s="119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4"/>
    </row>
    <row r="209" ht="14.25" customHeight="1">
      <c r="F209" s="119"/>
      <c r="G209" s="119"/>
      <c r="H209" s="120"/>
      <c r="I209" s="119"/>
      <c r="J209" s="119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4"/>
    </row>
    <row r="210" ht="14.25" customHeight="1">
      <c r="F210" s="119"/>
      <c r="G210" s="119"/>
      <c r="H210" s="120"/>
      <c r="I210" s="119"/>
      <c r="J210" s="119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4"/>
    </row>
    <row r="211" ht="14.25" customHeight="1">
      <c r="F211" s="119"/>
      <c r="G211" s="119"/>
      <c r="H211" s="120"/>
      <c r="I211" s="119"/>
      <c r="J211" s="119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4"/>
    </row>
    <row r="212" ht="14.25" customHeight="1">
      <c r="F212" s="119"/>
      <c r="G212" s="119"/>
      <c r="H212" s="120"/>
      <c r="I212" s="119"/>
      <c r="J212" s="119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4"/>
    </row>
    <row r="213" ht="14.25" customHeight="1">
      <c r="F213" s="119"/>
      <c r="G213" s="119"/>
      <c r="H213" s="120"/>
      <c r="I213" s="119"/>
      <c r="J213" s="119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4"/>
    </row>
    <row r="214" ht="14.25" customHeight="1">
      <c r="F214" s="119"/>
      <c r="G214" s="119"/>
      <c r="H214" s="120"/>
      <c r="I214" s="119"/>
      <c r="J214" s="119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4"/>
    </row>
    <row r="215" ht="14.25" customHeight="1">
      <c r="F215" s="119"/>
      <c r="G215" s="119"/>
      <c r="H215" s="120"/>
      <c r="I215" s="119"/>
      <c r="J215" s="119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4"/>
    </row>
    <row r="216" ht="14.25" customHeight="1">
      <c r="F216" s="119"/>
      <c r="G216" s="119"/>
      <c r="H216" s="120"/>
      <c r="I216" s="119"/>
      <c r="J216" s="119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4"/>
    </row>
    <row r="217" ht="14.25" customHeight="1">
      <c r="F217" s="119"/>
      <c r="G217" s="119"/>
      <c r="H217" s="120"/>
      <c r="I217" s="119"/>
      <c r="J217" s="119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4"/>
    </row>
    <row r="218" ht="14.25" customHeight="1">
      <c r="F218" s="119"/>
      <c r="G218" s="119"/>
      <c r="H218" s="120"/>
      <c r="I218" s="119"/>
      <c r="J218" s="119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4"/>
    </row>
    <row r="219" ht="14.25" customHeight="1">
      <c r="F219" s="119"/>
      <c r="G219" s="119"/>
      <c r="H219" s="120"/>
      <c r="I219" s="119"/>
      <c r="J219" s="119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4"/>
    </row>
    <row r="220" ht="14.25" customHeight="1">
      <c r="F220" s="119"/>
      <c r="G220" s="119"/>
      <c r="H220" s="120"/>
      <c r="I220" s="119"/>
      <c r="J220" s="119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4"/>
    </row>
    <row r="221" ht="14.25" customHeight="1">
      <c r="F221" s="119"/>
      <c r="G221" s="119"/>
      <c r="H221" s="120"/>
      <c r="I221" s="119"/>
      <c r="J221" s="119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4"/>
    </row>
    <row r="222" ht="14.25" customHeight="1">
      <c r="F222" s="119"/>
      <c r="G222" s="119"/>
      <c r="H222" s="120"/>
      <c r="I222" s="119"/>
      <c r="J222" s="119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4"/>
    </row>
    <row r="223" ht="14.25" customHeight="1">
      <c r="F223" s="119"/>
      <c r="G223" s="119"/>
      <c r="H223" s="120"/>
      <c r="I223" s="119"/>
      <c r="J223" s="119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4"/>
    </row>
    <row r="224" ht="14.25" customHeight="1">
      <c r="F224" s="119"/>
      <c r="G224" s="119"/>
      <c r="H224" s="120"/>
      <c r="I224" s="119"/>
      <c r="J224" s="119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4"/>
    </row>
    <row r="225" ht="14.25" customHeight="1">
      <c r="F225" s="119"/>
      <c r="G225" s="119"/>
      <c r="H225" s="120"/>
      <c r="I225" s="119"/>
      <c r="J225" s="119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4"/>
    </row>
    <row r="226" ht="14.25" customHeight="1">
      <c r="F226" s="119"/>
      <c r="G226" s="119"/>
      <c r="H226" s="120"/>
      <c r="I226" s="119"/>
      <c r="J226" s="119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/>
    </row>
    <row r="227" ht="14.25" customHeight="1">
      <c r="F227" s="119"/>
      <c r="G227" s="119"/>
      <c r="H227" s="120"/>
      <c r="I227" s="119"/>
      <c r="J227" s="119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4"/>
    </row>
    <row r="228" ht="14.25" customHeight="1">
      <c r="F228" s="119"/>
      <c r="G228" s="119"/>
      <c r="H228" s="120"/>
      <c r="I228" s="119"/>
      <c r="J228" s="119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4"/>
    </row>
    <row r="229" ht="14.25" customHeight="1">
      <c r="F229" s="119"/>
      <c r="G229" s="119"/>
      <c r="H229" s="120"/>
      <c r="I229" s="119"/>
      <c r="J229" s="119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4"/>
    </row>
    <row r="230" ht="14.25" customHeight="1">
      <c r="F230" s="119"/>
      <c r="G230" s="119"/>
      <c r="H230" s="120"/>
      <c r="I230" s="119"/>
      <c r="J230" s="119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4"/>
    </row>
    <row r="231" ht="14.25" customHeight="1">
      <c r="F231" s="119"/>
      <c r="G231" s="119"/>
      <c r="H231" s="120"/>
      <c r="I231" s="119"/>
      <c r="J231" s="119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4"/>
    </row>
    <row r="232" ht="14.25" customHeight="1">
      <c r="F232" s="119"/>
      <c r="G232" s="119"/>
      <c r="H232" s="120"/>
      <c r="I232" s="119"/>
      <c r="J232" s="119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4"/>
    </row>
    <row r="233" ht="14.25" customHeight="1">
      <c r="F233" s="119"/>
      <c r="G233" s="119"/>
      <c r="H233" s="120"/>
      <c r="I233" s="119"/>
      <c r="J233" s="119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4"/>
    </row>
    <row r="234" ht="14.25" customHeight="1">
      <c r="F234" s="119"/>
      <c r="G234" s="119"/>
      <c r="H234" s="120"/>
      <c r="I234" s="119"/>
      <c r="J234" s="119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4"/>
    </row>
    <row r="235" ht="14.25" customHeight="1">
      <c r="F235" s="119"/>
      <c r="G235" s="119"/>
      <c r="H235" s="120"/>
      <c r="I235" s="119"/>
      <c r="J235" s="119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4"/>
    </row>
    <row r="236" ht="14.25" customHeight="1">
      <c r="F236" s="119"/>
      <c r="G236" s="119"/>
      <c r="H236" s="120"/>
      <c r="I236" s="119"/>
      <c r="J236" s="119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4"/>
    </row>
    <row r="237" ht="14.25" customHeight="1">
      <c r="F237" s="119"/>
      <c r="G237" s="119"/>
      <c r="H237" s="120"/>
      <c r="I237" s="119"/>
      <c r="J237" s="119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4"/>
    </row>
    <row r="238" ht="14.25" customHeight="1">
      <c r="F238" s="119"/>
      <c r="G238" s="119"/>
      <c r="H238" s="120"/>
      <c r="I238" s="119"/>
      <c r="J238" s="119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4"/>
    </row>
    <row r="239" ht="14.25" customHeight="1">
      <c r="F239" s="119"/>
      <c r="G239" s="119"/>
      <c r="H239" s="120"/>
      <c r="I239" s="119"/>
      <c r="J239" s="119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4"/>
    </row>
    <row r="240" ht="14.25" customHeight="1">
      <c r="F240" s="119"/>
      <c r="G240" s="119"/>
      <c r="H240" s="120"/>
      <c r="I240" s="119"/>
      <c r="J240" s="119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4"/>
    </row>
    <row r="241" ht="14.25" customHeight="1">
      <c r="F241" s="119"/>
      <c r="G241" s="119"/>
      <c r="H241" s="120"/>
      <c r="I241" s="119"/>
      <c r="J241" s="119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4"/>
    </row>
    <row r="242" ht="14.25" customHeight="1">
      <c r="F242" s="119"/>
      <c r="G242" s="119"/>
      <c r="H242" s="120"/>
      <c r="I242" s="119"/>
      <c r="J242" s="119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4"/>
    </row>
    <row r="243" ht="14.25" customHeight="1">
      <c r="F243" s="119"/>
      <c r="G243" s="119"/>
      <c r="H243" s="120"/>
      <c r="I243" s="119"/>
      <c r="J243" s="119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4"/>
    </row>
    <row r="244" ht="14.25" customHeight="1">
      <c r="F244" s="119"/>
      <c r="G244" s="119"/>
      <c r="H244" s="120"/>
      <c r="I244" s="119"/>
      <c r="J244" s="119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4"/>
    </row>
    <row r="245" ht="14.25" customHeight="1">
      <c r="F245" s="119"/>
      <c r="G245" s="119"/>
      <c r="H245" s="120"/>
      <c r="I245" s="119"/>
      <c r="J245" s="119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4"/>
    </row>
    <row r="246" ht="14.25" customHeight="1">
      <c r="F246" s="119"/>
      <c r="G246" s="119"/>
      <c r="H246" s="120"/>
      <c r="I246" s="119"/>
      <c r="J246" s="119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4"/>
    </row>
    <row r="247" ht="14.25" customHeight="1">
      <c r="F247" s="119"/>
      <c r="G247" s="119"/>
      <c r="H247" s="120"/>
      <c r="I247" s="119"/>
      <c r="J247" s="119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4"/>
    </row>
    <row r="248" ht="14.25" customHeight="1">
      <c r="F248" s="119"/>
      <c r="G248" s="119"/>
      <c r="H248" s="120"/>
      <c r="I248" s="119"/>
      <c r="J248" s="119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4"/>
    </row>
    <row r="249" ht="14.25" customHeight="1">
      <c r="F249" s="119"/>
      <c r="G249" s="119"/>
      <c r="H249" s="120"/>
      <c r="I249" s="119"/>
      <c r="J249" s="119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4"/>
    </row>
    <row r="250" ht="14.25" customHeight="1">
      <c r="F250" s="119"/>
      <c r="G250" s="119"/>
      <c r="H250" s="120"/>
      <c r="I250" s="119"/>
      <c r="J250" s="119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4"/>
    </row>
    <row r="251" ht="14.25" customHeight="1">
      <c r="F251" s="119"/>
      <c r="G251" s="119"/>
      <c r="H251" s="120"/>
      <c r="I251" s="119"/>
      <c r="J251" s="119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4"/>
    </row>
    <row r="252" ht="14.25" customHeight="1">
      <c r="F252" s="119"/>
      <c r="G252" s="119"/>
      <c r="H252" s="120"/>
      <c r="I252" s="119"/>
      <c r="J252" s="119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4"/>
    </row>
    <row r="253" ht="14.25" customHeight="1">
      <c r="F253" s="119"/>
      <c r="G253" s="119"/>
      <c r="H253" s="120"/>
      <c r="I253" s="119"/>
      <c r="J253" s="119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4"/>
    </row>
    <row r="254" ht="14.25" customHeight="1">
      <c r="F254" s="119"/>
      <c r="G254" s="119"/>
      <c r="H254" s="120"/>
      <c r="I254" s="119"/>
      <c r="J254" s="119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4"/>
    </row>
    <row r="255" ht="14.25" customHeight="1">
      <c r="F255" s="119"/>
      <c r="G255" s="119"/>
      <c r="H255" s="120"/>
      <c r="I255" s="119"/>
      <c r="J255" s="119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4"/>
    </row>
    <row r="256" ht="14.25" customHeight="1">
      <c r="F256" s="119"/>
      <c r="G256" s="119"/>
      <c r="H256" s="120"/>
      <c r="I256" s="119"/>
      <c r="J256" s="119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4"/>
    </row>
    <row r="257" ht="14.25" customHeight="1">
      <c r="F257" s="119"/>
      <c r="G257" s="119"/>
      <c r="H257" s="120"/>
      <c r="I257" s="119"/>
      <c r="J257" s="119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4"/>
    </row>
    <row r="258" ht="14.25" customHeight="1">
      <c r="F258" s="119"/>
      <c r="G258" s="119"/>
      <c r="H258" s="120"/>
      <c r="I258" s="119"/>
      <c r="J258" s="119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4"/>
    </row>
    <row r="259" ht="14.25" customHeight="1">
      <c r="F259" s="119"/>
      <c r="G259" s="119"/>
      <c r="H259" s="120"/>
      <c r="I259" s="119"/>
      <c r="J259" s="119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4"/>
    </row>
    <row r="260" ht="14.25" customHeight="1">
      <c r="F260" s="119"/>
      <c r="G260" s="119"/>
      <c r="H260" s="120"/>
      <c r="I260" s="119"/>
      <c r="J260" s="119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4"/>
    </row>
    <row r="261" ht="14.25" customHeight="1">
      <c r="F261" s="119"/>
      <c r="G261" s="119"/>
      <c r="H261" s="120"/>
      <c r="I261" s="119"/>
      <c r="J261" s="119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4"/>
    </row>
    <row r="262" ht="14.25" customHeight="1">
      <c r="F262" s="119"/>
      <c r="G262" s="119"/>
      <c r="H262" s="120"/>
      <c r="I262" s="119"/>
      <c r="J262" s="119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4"/>
    </row>
    <row r="263" ht="14.25" customHeight="1">
      <c r="F263" s="119"/>
      <c r="G263" s="119"/>
      <c r="H263" s="120"/>
      <c r="I263" s="119"/>
      <c r="J263" s="119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4"/>
    </row>
    <row r="264" ht="14.25" customHeight="1">
      <c r="F264" s="119"/>
      <c r="G264" s="119"/>
      <c r="H264" s="120"/>
      <c r="I264" s="119"/>
      <c r="J264" s="119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4"/>
    </row>
    <row r="265" ht="14.25" customHeight="1">
      <c r="F265" s="119"/>
      <c r="G265" s="119"/>
      <c r="H265" s="120"/>
      <c r="I265" s="119"/>
      <c r="J265" s="119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4"/>
    </row>
    <row r="266" ht="14.25" customHeight="1">
      <c r="F266" s="119"/>
      <c r="G266" s="119"/>
      <c r="H266" s="120"/>
      <c r="I266" s="119"/>
      <c r="J266" s="119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4"/>
    </row>
    <row r="267" ht="14.25" customHeight="1">
      <c r="F267" s="119"/>
      <c r="G267" s="119"/>
      <c r="H267" s="120"/>
      <c r="I267" s="119"/>
      <c r="J267" s="119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4"/>
    </row>
    <row r="268" ht="14.25" customHeight="1">
      <c r="F268" s="119"/>
      <c r="G268" s="119"/>
      <c r="H268" s="120"/>
      <c r="I268" s="119"/>
      <c r="J268" s="119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4"/>
    </row>
    <row r="269" ht="14.25" customHeight="1">
      <c r="F269" s="119"/>
      <c r="G269" s="119"/>
      <c r="H269" s="120"/>
      <c r="I269" s="119"/>
      <c r="J269" s="119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4"/>
    </row>
    <row r="270" ht="14.25" customHeight="1">
      <c r="F270" s="119"/>
      <c r="G270" s="119"/>
      <c r="H270" s="120"/>
      <c r="I270" s="119"/>
      <c r="J270" s="119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4"/>
    </row>
    <row r="271" ht="14.25" customHeight="1">
      <c r="F271" s="119"/>
      <c r="G271" s="119"/>
      <c r="H271" s="120"/>
      <c r="I271" s="119"/>
      <c r="J271" s="119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4"/>
    </row>
    <row r="272" ht="14.25" customHeight="1">
      <c r="F272" s="119"/>
      <c r="G272" s="119"/>
      <c r="H272" s="120"/>
      <c r="I272" s="119"/>
      <c r="J272" s="119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4"/>
    </row>
    <row r="273" ht="14.25" customHeight="1">
      <c r="F273" s="119"/>
      <c r="G273" s="119"/>
      <c r="H273" s="120"/>
      <c r="I273" s="119"/>
      <c r="J273" s="119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4"/>
    </row>
    <row r="274" ht="14.25" customHeight="1">
      <c r="F274" s="119"/>
      <c r="G274" s="119"/>
      <c r="H274" s="120"/>
      <c r="I274" s="119"/>
      <c r="J274" s="119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4"/>
    </row>
    <row r="275" ht="14.25" customHeight="1">
      <c r="F275" s="119"/>
      <c r="G275" s="119"/>
      <c r="H275" s="120"/>
      <c r="I275" s="119"/>
      <c r="J275" s="119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4"/>
    </row>
    <row r="276" ht="14.25" customHeight="1">
      <c r="F276" s="119"/>
      <c r="G276" s="119"/>
      <c r="H276" s="120"/>
      <c r="I276" s="119"/>
      <c r="J276" s="119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4"/>
    </row>
    <row r="277" ht="14.25" customHeight="1">
      <c r="F277" s="119"/>
      <c r="G277" s="119"/>
      <c r="H277" s="120"/>
      <c r="I277" s="119"/>
      <c r="J277" s="119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4"/>
    </row>
    <row r="278" ht="14.25" customHeight="1">
      <c r="F278" s="119"/>
      <c r="G278" s="119"/>
      <c r="H278" s="120"/>
      <c r="I278" s="119"/>
      <c r="J278" s="119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4"/>
    </row>
    <row r="279" ht="14.25" customHeight="1">
      <c r="F279" s="119"/>
      <c r="G279" s="119"/>
      <c r="H279" s="120"/>
      <c r="I279" s="119"/>
      <c r="J279" s="119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4"/>
    </row>
    <row r="280" ht="14.25" customHeight="1">
      <c r="F280" s="119"/>
      <c r="G280" s="119"/>
      <c r="H280" s="120"/>
      <c r="I280" s="119"/>
      <c r="J280" s="119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4"/>
    </row>
    <row r="281" ht="14.25" customHeight="1">
      <c r="F281" s="119"/>
      <c r="G281" s="119"/>
      <c r="H281" s="120"/>
      <c r="I281" s="119"/>
      <c r="J281" s="119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4"/>
    </row>
    <row r="282" ht="14.25" customHeight="1">
      <c r="F282" s="119"/>
      <c r="G282" s="119"/>
      <c r="H282" s="120"/>
      <c r="I282" s="119"/>
      <c r="J282" s="119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4"/>
    </row>
    <row r="283" ht="14.25" customHeight="1">
      <c r="F283" s="119"/>
      <c r="G283" s="119"/>
      <c r="H283" s="120"/>
      <c r="I283" s="119"/>
      <c r="J283" s="119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4"/>
    </row>
    <row r="284" ht="14.25" customHeight="1">
      <c r="F284" s="119"/>
      <c r="G284" s="119"/>
      <c r="H284" s="120"/>
      <c r="I284" s="119"/>
      <c r="J284" s="119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4"/>
    </row>
    <row r="285" ht="14.25" customHeight="1">
      <c r="F285" s="119"/>
      <c r="G285" s="119"/>
      <c r="H285" s="120"/>
      <c r="I285" s="119"/>
      <c r="J285" s="119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4"/>
    </row>
    <row r="286" ht="14.25" customHeight="1">
      <c r="F286" s="119"/>
      <c r="G286" s="119"/>
      <c r="H286" s="120"/>
      <c r="I286" s="119"/>
      <c r="J286" s="119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4"/>
    </row>
    <row r="287" ht="14.25" customHeight="1">
      <c r="F287" s="119"/>
      <c r="G287" s="119"/>
      <c r="H287" s="120"/>
      <c r="I287" s="119"/>
      <c r="J287" s="119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4"/>
    </row>
    <row r="288" ht="14.25" customHeight="1">
      <c r="F288" s="119"/>
      <c r="G288" s="119"/>
      <c r="H288" s="120"/>
      <c r="I288" s="119"/>
      <c r="J288" s="119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4"/>
    </row>
    <row r="289" ht="14.25" customHeight="1">
      <c r="F289" s="119"/>
      <c r="G289" s="119"/>
      <c r="H289" s="120"/>
      <c r="I289" s="119"/>
      <c r="J289" s="119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4"/>
    </row>
    <row r="290" ht="14.25" customHeight="1">
      <c r="F290" s="119"/>
      <c r="G290" s="119"/>
      <c r="H290" s="120"/>
      <c r="I290" s="119"/>
      <c r="J290" s="119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4"/>
    </row>
    <row r="291" ht="14.25" customHeight="1">
      <c r="F291" s="119"/>
      <c r="G291" s="119"/>
      <c r="H291" s="120"/>
      <c r="I291" s="119"/>
      <c r="J291" s="119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4"/>
    </row>
    <row r="292" ht="14.25" customHeight="1">
      <c r="F292" s="119"/>
      <c r="G292" s="119"/>
      <c r="H292" s="120"/>
      <c r="I292" s="119"/>
      <c r="J292" s="119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4"/>
    </row>
    <row r="293" ht="14.25" customHeight="1">
      <c r="F293" s="119"/>
      <c r="G293" s="119"/>
      <c r="H293" s="120"/>
      <c r="I293" s="119"/>
      <c r="J293" s="119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4"/>
    </row>
    <row r="294" ht="14.25" customHeight="1">
      <c r="F294" s="119"/>
      <c r="G294" s="119"/>
      <c r="H294" s="120"/>
      <c r="I294" s="119"/>
      <c r="J294" s="119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4"/>
    </row>
    <row r="295" ht="14.25" customHeight="1">
      <c r="F295" s="119"/>
      <c r="G295" s="119"/>
      <c r="H295" s="120"/>
      <c r="I295" s="119"/>
      <c r="J295" s="119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4"/>
    </row>
    <row r="296" ht="14.25" customHeight="1">
      <c r="F296" s="119"/>
      <c r="G296" s="119"/>
      <c r="H296" s="120"/>
      <c r="I296" s="119"/>
      <c r="J296" s="119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4"/>
    </row>
    <row r="297" ht="14.25" customHeight="1">
      <c r="F297" s="119"/>
      <c r="G297" s="119"/>
      <c r="H297" s="120"/>
      <c r="I297" s="119"/>
      <c r="J297" s="119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4"/>
    </row>
    <row r="298" ht="14.25" customHeight="1">
      <c r="F298" s="119"/>
      <c r="G298" s="119"/>
      <c r="H298" s="120"/>
      <c r="I298" s="119"/>
      <c r="J298" s="119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4"/>
    </row>
    <row r="299" ht="14.25" customHeight="1">
      <c r="F299" s="119"/>
      <c r="G299" s="119"/>
      <c r="H299" s="120"/>
      <c r="I299" s="119"/>
      <c r="J299" s="119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4"/>
    </row>
    <row r="300" ht="14.25" customHeight="1">
      <c r="F300" s="119"/>
      <c r="G300" s="119"/>
      <c r="H300" s="120"/>
      <c r="I300" s="119"/>
      <c r="J300" s="119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4"/>
    </row>
    <row r="301" ht="14.25" customHeight="1">
      <c r="F301" s="119"/>
      <c r="G301" s="119"/>
      <c r="H301" s="120"/>
      <c r="I301" s="119"/>
      <c r="J301" s="119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4"/>
    </row>
    <row r="302" ht="14.25" customHeight="1">
      <c r="F302" s="119"/>
      <c r="G302" s="119"/>
      <c r="H302" s="120"/>
      <c r="I302" s="119"/>
      <c r="J302" s="119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4"/>
    </row>
    <row r="303" ht="14.25" customHeight="1">
      <c r="F303" s="119"/>
      <c r="G303" s="119"/>
      <c r="H303" s="120"/>
      <c r="I303" s="119"/>
      <c r="J303" s="119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4"/>
    </row>
    <row r="304" ht="14.25" customHeight="1">
      <c r="F304" s="119"/>
      <c r="G304" s="119"/>
      <c r="H304" s="120"/>
      <c r="I304" s="119"/>
      <c r="J304" s="119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4"/>
    </row>
    <row r="305" ht="14.25" customHeight="1">
      <c r="F305" s="119"/>
      <c r="G305" s="119"/>
      <c r="H305" s="120"/>
      <c r="I305" s="119"/>
      <c r="J305" s="119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4"/>
    </row>
    <row r="306" ht="14.25" customHeight="1">
      <c r="F306" s="119"/>
      <c r="G306" s="119"/>
      <c r="H306" s="120"/>
      <c r="I306" s="119"/>
      <c r="J306" s="119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4"/>
    </row>
    <row r="307" ht="14.25" customHeight="1">
      <c r="F307" s="119"/>
      <c r="G307" s="119"/>
      <c r="H307" s="120"/>
      <c r="I307" s="119"/>
      <c r="J307" s="119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4"/>
    </row>
    <row r="308" ht="14.25" customHeight="1">
      <c r="F308" s="119"/>
      <c r="G308" s="119"/>
      <c r="H308" s="120"/>
      <c r="I308" s="119"/>
      <c r="J308" s="119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4"/>
    </row>
    <row r="309" ht="14.25" customHeight="1">
      <c r="F309" s="119"/>
      <c r="G309" s="119"/>
      <c r="H309" s="120"/>
      <c r="I309" s="119"/>
      <c r="J309" s="119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4"/>
    </row>
    <row r="310" ht="14.25" customHeight="1">
      <c r="F310" s="119"/>
      <c r="G310" s="119"/>
      <c r="H310" s="120"/>
      <c r="I310" s="119"/>
      <c r="J310" s="119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4"/>
    </row>
    <row r="311" ht="14.25" customHeight="1">
      <c r="F311" s="119"/>
      <c r="G311" s="119"/>
      <c r="H311" s="120"/>
      <c r="I311" s="119"/>
      <c r="J311" s="119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4"/>
    </row>
    <row r="312" ht="14.25" customHeight="1">
      <c r="F312" s="119"/>
      <c r="G312" s="119"/>
      <c r="H312" s="120"/>
      <c r="I312" s="119"/>
      <c r="J312" s="119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4"/>
    </row>
    <row r="313" ht="14.25" customHeight="1">
      <c r="F313" s="119"/>
      <c r="G313" s="119"/>
      <c r="H313" s="120"/>
      <c r="I313" s="119"/>
      <c r="J313" s="119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4"/>
    </row>
    <row r="314" ht="14.25" customHeight="1">
      <c r="F314" s="119"/>
      <c r="G314" s="119"/>
      <c r="H314" s="120"/>
      <c r="I314" s="119"/>
      <c r="J314" s="119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4"/>
    </row>
    <row r="315" ht="14.25" customHeight="1">
      <c r="F315" s="119"/>
      <c r="G315" s="119"/>
      <c r="H315" s="120"/>
      <c r="I315" s="119"/>
      <c r="J315" s="119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4"/>
    </row>
    <row r="316" ht="14.25" customHeight="1">
      <c r="F316" s="119"/>
      <c r="G316" s="119"/>
      <c r="H316" s="120"/>
      <c r="I316" s="119"/>
      <c r="J316" s="119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4"/>
    </row>
    <row r="317" ht="14.25" customHeight="1">
      <c r="F317" s="119"/>
      <c r="G317" s="119"/>
      <c r="H317" s="120"/>
      <c r="I317" s="119"/>
      <c r="J317" s="119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4"/>
    </row>
    <row r="318" ht="14.25" customHeight="1">
      <c r="F318" s="119"/>
      <c r="G318" s="119"/>
      <c r="H318" s="120"/>
      <c r="I318" s="119"/>
      <c r="J318" s="119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4"/>
    </row>
    <row r="319" ht="14.25" customHeight="1">
      <c r="F319" s="119"/>
      <c r="G319" s="119"/>
      <c r="H319" s="120"/>
      <c r="I319" s="119"/>
      <c r="J319" s="119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4"/>
    </row>
    <row r="320" ht="14.25" customHeight="1">
      <c r="F320" s="119"/>
      <c r="G320" s="119"/>
      <c r="H320" s="120"/>
      <c r="I320" s="119"/>
      <c r="J320" s="119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4"/>
    </row>
    <row r="321" ht="14.25" customHeight="1">
      <c r="F321" s="119"/>
      <c r="G321" s="119"/>
      <c r="H321" s="120"/>
      <c r="I321" s="119"/>
      <c r="J321" s="119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4"/>
    </row>
    <row r="322" ht="14.25" customHeight="1">
      <c r="F322" s="119"/>
      <c r="G322" s="119"/>
      <c r="H322" s="120"/>
      <c r="I322" s="119"/>
      <c r="J322" s="119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4"/>
    </row>
    <row r="323" ht="14.25" customHeight="1">
      <c r="F323" s="119"/>
      <c r="G323" s="119"/>
      <c r="H323" s="120"/>
      <c r="I323" s="119"/>
      <c r="J323" s="119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4"/>
    </row>
    <row r="324" ht="14.25" customHeight="1">
      <c r="F324" s="119"/>
      <c r="G324" s="119"/>
      <c r="H324" s="120"/>
      <c r="I324" s="119"/>
      <c r="J324" s="119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4"/>
    </row>
    <row r="325" ht="14.25" customHeight="1">
      <c r="F325" s="119"/>
      <c r="G325" s="119"/>
      <c r="H325" s="120"/>
      <c r="I325" s="119"/>
      <c r="J325" s="119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4"/>
    </row>
    <row r="326" ht="14.25" customHeight="1">
      <c r="F326" s="119"/>
      <c r="G326" s="119"/>
      <c r="H326" s="120"/>
      <c r="I326" s="119"/>
      <c r="J326" s="119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4"/>
    </row>
    <row r="327" ht="14.25" customHeight="1">
      <c r="F327" s="119"/>
      <c r="G327" s="119"/>
      <c r="H327" s="120"/>
      <c r="I327" s="119"/>
      <c r="J327" s="119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4"/>
    </row>
    <row r="328" ht="14.25" customHeight="1">
      <c r="F328" s="119"/>
      <c r="G328" s="119"/>
      <c r="H328" s="120"/>
      <c r="I328" s="119"/>
      <c r="J328" s="119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4"/>
    </row>
    <row r="329" ht="14.25" customHeight="1">
      <c r="F329" s="119"/>
      <c r="G329" s="119"/>
      <c r="H329" s="120"/>
      <c r="I329" s="119"/>
      <c r="J329" s="119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4"/>
    </row>
    <row r="330" ht="14.25" customHeight="1">
      <c r="F330" s="119"/>
      <c r="G330" s="119"/>
      <c r="H330" s="120"/>
      <c r="I330" s="119"/>
      <c r="J330" s="119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4"/>
    </row>
    <row r="331" ht="14.25" customHeight="1">
      <c r="F331" s="119"/>
      <c r="G331" s="119"/>
      <c r="H331" s="120"/>
      <c r="I331" s="119"/>
      <c r="J331" s="119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4"/>
    </row>
    <row r="332" ht="14.25" customHeight="1">
      <c r="F332" s="119"/>
      <c r="G332" s="119"/>
      <c r="H332" s="120"/>
      <c r="I332" s="119"/>
      <c r="J332" s="119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4"/>
    </row>
    <row r="333" ht="14.25" customHeight="1">
      <c r="F333" s="119"/>
      <c r="G333" s="119"/>
      <c r="H333" s="120"/>
      <c r="I333" s="119"/>
      <c r="J333" s="119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4"/>
    </row>
    <row r="334" ht="14.25" customHeight="1">
      <c r="F334" s="119"/>
      <c r="G334" s="119"/>
      <c r="H334" s="120"/>
      <c r="I334" s="119"/>
      <c r="J334" s="119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4"/>
    </row>
    <row r="335" ht="14.25" customHeight="1">
      <c r="F335" s="119"/>
      <c r="G335" s="119"/>
      <c r="H335" s="120"/>
      <c r="I335" s="119"/>
      <c r="J335" s="119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4"/>
    </row>
    <row r="336" ht="14.25" customHeight="1">
      <c r="F336" s="119"/>
      <c r="G336" s="119"/>
      <c r="H336" s="120"/>
      <c r="I336" s="119"/>
      <c r="J336" s="119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4"/>
    </row>
    <row r="337" ht="14.25" customHeight="1">
      <c r="F337" s="119"/>
      <c r="G337" s="119"/>
      <c r="H337" s="120"/>
      <c r="I337" s="119"/>
      <c r="J337" s="119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4"/>
    </row>
    <row r="338" ht="14.25" customHeight="1">
      <c r="F338" s="119"/>
      <c r="G338" s="119"/>
      <c r="H338" s="120"/>
      <c r="I338" s="119"/>
      <c r="J338" s="119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4"/>
    </row>
    <row r="339" ht="14.25" customHeight="1">
      <c r="F339" s="119"/>
      <c r="G339" s="119"/>
      <c r="H339" s="120"/>
      <c r="I339" s="119"/>
      <c r="J339" s="119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4"/>
    </row>
    <row r="340" ht="14.25" customHeight="1">
      <c r="F340" s="119"/>
      <c r="G340" s="119"/>
      <c r="H340" s="120"/>
      <c r="I340" s="119"/>
      <c r="J340" s="119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4"/>
    </row>
    <row r="341" ht="14.25" customHeight="1">
      <c r="F341" s="119"/>
      <c r="G341" s="119"/>
      <c r="H341" s="120"/>
      <c r="I341" s="119"/>
      <c r="J341" s="119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4"/>
    </row>
    <row r="342" ht="14.25" customHeight="1">
      <c r="F342" s="119"/>
      <c r="G342" s="119"/>
      <c r="H342" s="120"/>
      <c r="I342" s="119"/>
      <c r="J342" s="119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4"/>
    </row>
    <row r="343" ht="14.25" customHeight="1">
      <c r="F343" s="119"/>
      <c r="G343" s="119"/>
      <c r="H343" s="120"/>
      <c r="I343" s="119"/>
      <c r="J343" s="119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4"/>
    </row>
    <row r="344" ht="14.25" customHeight="1">
      <c r="F344" s="119"/>
      <c r="G344" s="119"/>
      <c r="H344" s="120"/>
      <c r="I344" s="119"/>
      <c r="J344" s="119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4"/>
    </row>
    <row r="345" ht="14.25" customHeight="1">
      <c r="F345" s="119"/>
      <c r="G345" s="119"/>
      <c r="H345" s="120"/>
      <c r="I345" s="119"/>
      <c r="J345" s="119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4"/>
    </row>
    <row r="346" ht="14.25" customHeight="1">
      <c r="F346" s="119"/>
      <c r="G346" s="119"/>
      <c r="H346" s="120"/>
      <c r="I346" s="119"/>
      <c r="J346" s="119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4"/>
    </row>
    <row r="347" ht="14.25" customHeight="1">
      <c r="F347" s="119"/>
      <c r="G347" s="119"/>
      <c r="H347" s="120"/>
      <c r="I347" s="119"/>
      <c r="J347" s="119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4"/>
    </row>
    <row r="348" ht="14.25" customHeight="1">
      <c r="F348" s="119"/>
      <c r="G348" s="119"/>
      <c r="H348" s="120"/>
      <c r="I348" s="119"/>
      <c r="J348" s="119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4"/>
    </row>
    <row r="349" ht="14.25" customHeight="1">
      <c r="F349" s="119"/>
      <c r="G349" s="119"/>
      <c r="H349" s="120"/>
      <c r="I349" s="119"/>
      <c r="J349" s="119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4"/>
    </row>
    <row r="350" ht="14.25" customHeight="1">
      <c r="F350" s="119"/>
      <c r="G350" s="119"/>
      <c r="H350" s="120"/>
      <c r="I350" s="119"/>
      <c r="J350" s="119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4"/>
    </row>
    <row r="351" ht="14.25" customHeight="1">
      <c r="F351" s="119"/>
      <c r="G351" s="119"/>
      <c r="H351" s="120"/>
      <c r="I351" s="119"/>
      <c r="J351" s="119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4"/>
    </row>
    <row r="352" ht="14.25" customHeight="1">
      <c r="F352" s="119"/>
      <c r="G352" s="119"/>
      <c r="H352" s="120"/>
      <c r="I352" s="119"/>
      <c r="J352" s="119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4"/>
    </row>
    <row r="353" ht="14.25" customHeight="1">
      <c r="F353" s="119"/>
      <c r="G353" s="119"/>
      <c r="H353" s="120"/>
      <c r="I353" s="119"/>
      <c r="J353" s="119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4"/>
    </row>
    <row r="354" ht="14.25" customHeight="1">
      <c r="F354" s="119"/>
      <c r="G354" s="119"/>
      <c r="H354" s="120"/>
      <c r="I354" s="119"/>
      <c r="J354" s="119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4"/>
    </row>
    <row r="355" ht="14.25" customHeight="1">
      <c r="F355" s="119"/>
      <c r="G355" s="119"/>
      <c r="H355" s="120"/>
      <c r="I355" s="119"/>
      <c r="J355" s="119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4"/>
    </row>
    <row r="356" ht="14.25" customHeight="1">
      <c r="F356" s="119"/>
      <c r="G356" s="119"/>
      <c r="H356" s="120"/>
      <c r="I356" s="119"/>
      <c r="J356" s="119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4"/>
    </row>
    <row r="357" ht="14.25" customHeight="1">
      <c r="F357" s="119"/>
      <c r="G357" s="119"/>
      <c r="H357" s="120"/>
      <c r="I357" s="119"/>
      <c r="J357" s="119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4"/>
    </row>
    <row r="358" ht="14.25" customHeight="1">
      <c r="F358" s="119"/>
      <c r="G358" s="119"/>
      <c r="H358" s="120"/>
      <c r="I358" s="119"/>
      <c r="J358" s="119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4"/>
    </row>
    <row r="359" ht="14.25" customHeight="1">
      <c r="F359" s="119"/>
      <c r="G359" s="119"/>
      <c r="H359" s="120"/>
      <c r="I359" s="119"/>
      <c r="J359" s="119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4"/>
    </row>
    <row r="360" ht="14.25" customHeight="1">
      <c r="F360" s="119"/>
      <c r="G360" s="119"/>
      <c r="H360" s="120"/>
      <c r="I360" s="119"/>
      <c r="J360" s="119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4"/>
    </row>
    <row r="361" ht="14.25" customHeight="1">
      <c r="F361" s="119"/>
      <c r="G361" s="119"/>
      <c r="H361" s="120"/>
      <c r="I361" s="119"/>
      <c r="J361" s="119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4"/>
    </row>
    <row r="362" ht="14.25" customHeight="1">
      <c r="F362" s="119"/>
      <c r="G362" s="119"/>
      <c r="H362" s="120"/>
      <c r="I362" s="119"/>
      <c r="J362" s="119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4"/>
    </row>
    <row r="363" ht="14.25" customHeight="1">
      <c r="F363" s="119"/>
      <c r="G363" s="119"/>
      <c r="H363" s="120"/>
      <c r="I363" s="119"/>
      <c r="J363" s="119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4"/>
    </row>
    <row r="364" ht="14.25" customHeight="1">
      <c r="F364" s="119"/>
      <c r="G364" s="119"/>
      <c r="H364" s="120"/>
      <c r="I364" s="119"/>
      <c r="J364" s="119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4"/>
    </row>
    <row r="365" ht="14.25" customHeight="1">
      <c r="F365" s="119"/>
      <c r="G365" s="119"/>
      <c r="H365" s="120"/>
      <c r="I365" s="119"/>
      <c r="J365" s="119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4"/>
    </row>
    <row r="366" ht="14.25" customHeight="1">
      <c r="F366" s="119"/>
      <c r="G366" s="119"/>
      <c r="H366" s="120"/>
      <c r="I366" s="119"/>
      <c r="J366" s="119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4"/>
    </row>
    <row r="367" ht="14.25" customHeight="1">
      <c r="F367" s="119"/>
      <c r="G367" s="119"/>
      <c r="H367" s="120"/>
      <c r="I367" s="119"/>
      <c r="J367" s="119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4"/>
    </row>
    <row r="368" ht="14.25" customHeight="1">
      <c r="F368" s="119"/>
      <c r="G368" s="119"/>
      <c r="H368" s="120"/>
      <c r="I368" s="119"/>
      <c r="J368" s="119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4"/>
    </row>
    <row r="369" ht="14.25" customHeight="1">
      <c r="F369" s="119"/>
      <c r="G369" s="119"/>
      <c r="H369" s="120"/>
      <c r="I369" s="119"/>
      <c r="J369" s="119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4"/>
    </row>
    <row r="370" ht="14.25" customHeight="1">
      <c r="F370" s="119"/>
      <c r="G370" s="119"/>
      <c r="H370" s="120"/>
      <c r="I370" s="119"/>
      <c r="J370" s="119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4"/>
    </row>
    <row r="371" ht="14.25" customHeight="1">
      <c r="F371" s="119"/>
      <c r="G371" s="119"/>
      <c r="H371" s="120"/>
      <c r="I371" s="119"/>
      <c r="J371" s="119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4"/>
    </row>
    <row r="372" ht="14.25" customHeight="1">
      <c r="F372" s="119"/>
      <c r="G372" s="119"/>
      <c r="H372" s="120"/>
      <c r="I372" s="119"/>
      <c r="J372" s="119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4"/>
    </row>
    <row r="373" ht="14.25" customHeight="1">
      <c r="F373" s="119"/>
      <c r="G373" s="119"/>
      <c r="H373" s="120"/>
      <c r="I373" s="119"/>
      <c r="J373" s="119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4"/>
    </row>
    <row r="374" ht="14.25" customHeight="1">
      <c r="F374" s="119"/>
      <c r="G374" s="119"/>
      <c r="H374" s="120"/>
      <c r="I374" s="119"/>
      <c r="J374" s="119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4"/>
    </row>
    <row r="375" ht="14.25" customHeight="1">
      <c r="F375" s="119"/>
      <c r="G375" s="119"/>
      <c r="H375" s="120"/>
      <c r="I375" s="119"/>
      <c r="J375" s="119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4"/>
    </row>
    <row r="376" ht="14.25" customHeight="1">
      <c r="F376" s="119"/>
      <c r="G376" s="119"/>
      <c r="H376" s="120"/>
      <c r="I376" s="119"/>
      <c r="J376" s="119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4"/>
    </row>
    <row r="377" ht="14.25" customHeight="1">
      <c r="F377" s="119"/>
      <c r="G377" s="119"/>
      <c r="H377" s="120"/>
      <c r="I377" s="119"/>
      <c r="J377" s="119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4"/>
    </row>
    <row r="378" ht="14.25" customHeight="1">
      <c r="F378" s="119"/>
      <c r="G378" s="119"/>
      <c r="H378" s="120"/>
      <c r="I378" s="119"/>
      <c r="J378" s="119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4"/>
    </row>
    <row r="379" ht="14.25" customHeight="1">
      <c r="F379" s="119"/>
      <c r="G379" s="119"/>
      <c r="H379" s="120"/>
      <c r="I379" s="119"/>
      <c r="J379" s="119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4"/>
    </row>
    <row r="380" ht="14.25" customHeight="1">
      <c r="F380" s="119"/>
      <c r="G380" s="119"/>
      <c r="H380" s="120"/>
      <c r="I380" s="119"/>
      <c r="J380" s="119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4"/>
    </row>
    <row r="381" ht="14.25" customHeight="1">
      <c r="F381" s="119"/>
      <c r="G381" s="119"/>
      <c r="H381" s="120"/>
      <c r="I381" s="119"/>
      <c r="J381" s="119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4"/>
    </row>
    <row r="382" ht="14.25" customHeight="1">
      <c r="F382" s="119"/>
      <c r="G382" s="119"/>
      <c r="H382" s="120"/>
      <c r="I382" s="119"/>
      <c r="J382" s="119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4"/>
    </row>
    <row r="383" ht="14.25" customHeight="1">
      <c r="F383" s="119"/>
      <c r="G383" s="119"/>
      <c r="H383" s="120"/>
      <c r="I383" s="119"/>
      <c r="J383" s="119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4"/>
    </row>
    <row r="384" ht="14.25" customHeight="1">
      <c r="F384" s="119"/>
      <c r="G384" s="119"/>
      <c r="H384" s="120"/>
      <c r="I384" s="119"/>
      <c r="J384" s="119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4"/>
    </row>
    <row r="385" ht="14.25" customHeight="1">
      <c r="F385" s="119"/>
      <c r="G385" s="119"/>
      <c r="H385" s="120"/>
      <c r="I385" s="119"/>
      <c r="J385" s="119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4"/>
    </row>
    <row r="386" ht="14.25" customHeight="1">
      <c r="F386" s="119"/>
      <c r="G386" s="119"/>
      <c r="H386" s="120"/>
      <c r="I386" s="119"/>
      <c r="J386" s="119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4"/>
    </row>
    <row r="387" ht="14.25" customHeight="1">
      <c r="F387" s="119"/>
      <c r="G387" s="119"/>
      <c r="H387" s="120"/>
      <c r="I387" s="119"/>
      <c r="J387" s="119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4"/>
    </row>
    <row r="388" ht="14.25" customHeight="1">
      <c r="F388" s="119"/>
      <c r="G388" s="119"/>
      <c r="H388" s="120"/>
      <c r="I388" s="119"/>
      <c r="J388" s="119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4"/>
    </row>
    <row r="389" ht="14.25" customHeight="1">
      <c r="F389" s="119"/>
      <c r="G389" s="119"/>
      <c r="H389" s="120"/>
      <c r="I389" s="119"/>
      <c r="J389" s="119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4"/>
    </row>
    <row r="390" ht="14.25" customHeight="1">
      <c r="F390" s="119"/>
      <c r="G390" s="119"/>
      <c r="H390" s="120"/>
      <c r="I390" s="119"/>
      <c r="J390" s="119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4"/>
    </row>
    <row r="391" ht="14.25" customHeight="1">
      <c r="F391" s="119"/>
      <c r="G391" s="119"/>
      <c r="H391" s="120"/>
      <c r="I391" s="119"/>
      <c r="J391" s="119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4"/>
    </row>
    <row r="392" ht="14.25" customHeight="1">
      <c r="F392" s="119"/>
      <c r="G392" s="119"/>
      <c r="H392" s="120"/>
      <c r="I392" s="119"/>
      <c r="J392" s="119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4"/>
    </row>
    <row r="393" ht="14.25" customHeight="1">
      <c r="F393" s="119"/>
      <c r="G393" s="119"/>
      <c r="H393" s="120"/>
      <c r="I393" s="119"/>
      <c r="J393" s="119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4"/>
    </row>
    <row r="394" ht="14.25" customHeight="1">
      <c r="F394" s="119"/>
      <c r="G394" s="119"/>
      <c r="H394" s="120"/>
      <c r="I394" s="119"/>
      <c r="J394" s="119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4"/>
    </row>
    <row r="395" ht="14.25" customHeight="1">
      <c r="F395" s="119"/>
      <c r="G395" s="119"/>
      <c r="H395" s="120"/>
      <c r="I395" s="119"/>
      <c r="J395" s="119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4"/>
    </row>
    <row r="396" ht="14.25" customHeight="1">
      <c r="F396" s="119"/>
      <c r="G396" s="119"/>
      <c r="H396" s="120"/>
      <c r="I396" s="119"/>
      <c r="J396" s="119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4"/>
    </row>
    <row r="397" ht="14.25" customHeight="1">
      <c r="F397" s="119"/>
      <c r="G397" s="119"/>
      <c r="H397" s="120"/>
      <c r="I397" s="119"/>
      <c r="J397" s="119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4"/>
    </row>
    <row r="398" ht="14.25" customHeight="1">
      <c r="F398" s="119"/>
      <c r="G398" s="119"/>
      <c r="H398" s="120"/>
      <c r="I398" s="119"/>
      <c r="J398" s="119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4"/>
    </row>
    <row r="399" ht="14.25" customHeight="1">
      <c r="F399" s="119"/>
      <c r="G399" s="119"/>
      <c r="H399" s="120"/>
      <c r="I399" s="119"/>
      <c r="J399" s="119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4"/>
    </row>
    <row r="400" ht="14.25" customHeight="1">
      <c r="F400" s="119"/>
      <c r="G400" s="119"/>
      <c r="H400" s="120"/>
      <c r="I400" s="119"/>
      <c r="J400" s="119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4"/>
    </row>
    <row r="401" ht="14.25" customHeight="1">
      <c r="F401" s="119"/>
      <c r="G401" s="119"/>
      <c r="H401" s="120"/>
      <c r="I401" s="119"/>
      <c r="J401" s="119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4"/>
    </row>
    <row r="402" ht="14.25" customHeight="1">
      <c r="F402" s="119"/>
      <c r="G402" s="119"/>
      <c r="H402" s="120"/>
      <c r="I402" s="119"/>
      <c r="J402" s="119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4"/>
    </row>
    <row r="403" ht="14.25" customHeight="1">
      <c r="F403" s="119"/>
      <c r="G403" s="119"/>
      <c r="H403" s="120"/>
      <c r="I403" s="119"/>
      <c r="J403" s="119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4"/>
    </row>
    <row r="404" ht="14.25" customHeight="1">
      <c r="F404" s="119"/>
      <c r="G404" s="119"/>
      <c r="H404" s="120"/>
      <c r="I404" s="119"/>
      <c r="J404" s="119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4"/>
    </row>
    <row r="405" ht="14.25" customHeight="1">
      <c r="F405" s="119"/>
      <c r="G405" s="119"/>
      <c r="H405" s="120"/>
      <c r="I405" s="119"/>
      <c r="J405" s="119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4"/>
    </row>
    <row r="406" ht="14.25" customHeight="1">
      <c r="F406" s="119"/>
      <c r="G406" s="119"/>
      <c r="H406" s="120"/>
      <c r="I406" s="119"/>
      <c r="J406" s="119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4"/>
    </row>
    <row r="407" ht="14.25" customHeight="1">
      <c r="F407" s="119"/>
      <c r="G407" s="119"/>
      <c r="H407" s="120"/>
      <c r="I407" s="119"/>
      <c r="J407" s="119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4"/>
    </row>
    <row r="408" ht="14.25" customHeight="1">
      <c r="F408" s="119"/>
      <c r="G408" s="119"/>
      <c r="H408" s="120"/>
      <c r="I408" s="119"/>
      <c r="J408" s="119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4"/>
    </row>
    <row r="409" ht="14.25" customHeight="1">
      <c r="F409" s="119"/>
      <c r="G409" s="119"/>
      <c r="H409" s="120"/>
      <c r="I409" s="119"/>
      <c r="J409" s="119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4"/>
    </row>
    <row r="410" ht="14.25" customHeight="1">
      <c r="F410" s="119"/>
      <c r="G410" s="119"/>
      <c r="H410" s="120"/>
      <c r="I410" s="119"/>
      <c r="J410" s="119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4"/>
    </row>
    <row r="411" ht="14.25" customHeight="1">
      <c r="F411" s="119"/>
      <c r="G411" s="119"/>
      <c r="H411" s="120"/>
      <c r="I411" s="119"/>
      <c r="J411" s="119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4"/>
    </row>
    <row r="412" ht="14.25" customHeight="1">
      <c r="F412" s="119"/>
      <c r="G412" s="119"/>
      <c r="H412" s="120"/>
      <c r="I412" s="119"/>
      <c r="J412" s="119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4"/>
    </row>
    <row r="413" ht="14.25" customHeight="1">
      <c r="F413" s="119"/>
      <c r="G413" s="119"/>
      <c r="H413" s="120"/>
      <c r="I413" s="119"/>
      <c r="J413" s="119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4"/>
    </row>
    <row r="414" ht="14.25" customHeight="1">
      <c r="F414" s="119"/>
      <c r="G414" s="119"/>
      <c r="H414" s="120"/>
      <c r="I414" s="119"/>
      <c r="J414" s="119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4"/>
    </row>
    <row r="415" ht="14.25" customHeight="1">
      <c r="F415" s="119"/>
      <c r="G415" s="119"/>
      <c r="H415" s="120"/>
      <c r="I415" s="119"/>
      <c r="J415" s="119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4"/>
    </row>
    <row r="416" ht="14.25" customHeight="1">
      <c r="F416" s="119"/>
      <c r="G416" s="119"/>
      <c r="H416" s="120"/>
      <c r="I416" s="119"/>
      <c r="J416" s="119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4"/>
    </row>
    <row r="417" ht="14.25" customHeight="1">
      <c r="F417" s="119"/>
      <c r="G417" s="119"/>
      <c r="H417" s="120"/>
      <c r="I417" s="119"/>
      <c r="J417" s="119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4"/>
    </row>
    <row r="418" ht="14.25" customHeight="1">
      <c r="F418" s="119"/>
      <c r="G418" s="119"/>
      <c r="H418" s="120"/>
      <c r="I418" s="119"/>
      <c r="J418" s="119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4"/>
    </row>
    <row r="419" ht="14.25" customHeight="1">
      <c r="F419" s="119"/>
      <c r="G419" s="119"/>
      <c r="H419" s="120"/>
      <c r="I419" s="119"/>
      <c r="J419" s="119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4"/>
    </row>
    <row r="420" ht="14.25" customHeight="1">
      <c r="F420" s="119"/>
      <c r="G420" s="119"/>
      <c r="H420" s="120"/>
      <c r="I420" s="119"/>
      <c r="J420" s="119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4"/>
    </row>
    <row r="421" ht="14.25" customHeight="1">
      <c r="F421" s="119"/>
      <c r="G421" s="119"/>
      <c r="H421" s="120"/>
      <c r="I421" s="119"/>
      <c r="J421" s="119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4"/>
    </row>
    <row r="422" ht="14.25" customHeight="1">
      <c r="F422" s="119"/>
      <c r="G422" s="119"/>
      <c r="H422" s="120"/>
      <c r="I422" s="119"/>
      <c r="J422" s="119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4"/>
    </row>
    <row r="423" ht="14.25" customHeight="1">
      <c r="F423" s="119"/>
      <c r="G423" s="119"/>
      <c r="H423" s="120"/>
      <c r="I423" s="119"/>
      <c r="J423" s="119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4"/>
    </row>
    <row r="424" ht="14.25" customHeight="1">
      <c r="F424" s="119"/>
      <c r="G424" s="119"/>
      <c r="H424" s="120"/>
      <c r="I424" s="119"/>
      <c r="J424" s="119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4"/>
    </row>
    <row r="425" ht="14.25" customHeight="1">
      <c r="F425" s="119"/>
      <c r="G425" s="119"/>
      <c r="H425" s="120"/>
      <c r="I425" s="119"/>
      <c r="J425" s="119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4"/>
    </row>
    <row r="426" ht="14.25" customHeight="1">
      <c r="F426" s="119"/>
      <c r="G426" s="119"/>
      <c r="H426" s="120"/>
      <c r="I426" s="119"/>
      <c r="J426" s="119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4"/>
    </row>
    <row r="427" ht="14.25" customHeight="1">
      <c r="F427" s="119"/>
      <c r="G427" s="119"/>
      <c r="H427" s="120"/>
      <c r="I427" s="119"/>
      <c r="J427" s="119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4"/>
    </row>
    <row r="428" ht="14.25" customHeight="1">
      <c r="F428" s="119"/>
      <c r="G428" s="119"/>
      <c r="H428" s="120"/>
      <c r="I428" s="119"/>
      <c r="J428" s="119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4"/>
    </row>
    <row r="429" ht="14.25" customHeight="1">
      <c r="F429" s="119"/>
      <c r="G429" s="119"/>
      <c r="H429" s="120"/>
      <c r="I429" s="119"/>
      <c r="J429" s="119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4"/>
    </row>
    <row r="430" ht="14.25" customHeight="1">
      <c r="F430" s="119"/>
      <c r="G430" s="119"/>
      <c r="H430" s="120"/>
      <c r="I430" s="119"/>
      <c r="J430" s="119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4"/>
    </row>
    <row r="431" ht="14.25" customHeight="1">
      <c r="F431" s="119"/>
      <c r="G431" s="119"/>
      <c r="H431" s="120"/>
      <c r="I431" s="119"/>
      <c r="J431" s="119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4"/>
    </row>
    <row r="432" ht="14.25" customHeight="1">
      <c r="F432" s="119"/>
      <c r="G432" s="119"/>
      <c r="H432" s="120"/>
      <c r="I432" s="119"/>
      <c r="J432" s="119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4"/>
    </row>
    <row r="433" ht="14.25" customHeight="1">
      <c r="F433" s="119"/>
      <c r="G433" s="119"/>
      <c r="H433" s="120"/>
      <c r="I433" s="119"/>
      <c r="J433" s="119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4"/>
    </row>
    <row r="434" ht="14.25" customHeight="1">
      <c r="F434" s="119"/>
      <c r="G434" s="119"/>
      <c r="H434" s="120"/>
      <c r="I434" s="119"/>
      <c r="J434" s="119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4"/>
    </row>
    <row r="435" ht="14.25" customHeight="1">
      <c r="F435" s="119"/>
      <c r="G435" s="119"/>
      <c r="H435" s="120"/>
      <c r="I435" s="119"/>
      <c r="J435" s="119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4"/>
    </row>
    <row r="436" ht="14.25" customHeight="1">
      <c r="F436" s="119"/>
      <c r="G436" s="119"/>
      <c r="H436" s="120"/>
      <c r="I436" s="119"/>
      <c r="J436" s="119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4"/>
    </row>
    <row r="437" ht="14.25" customHeight="1">
      <c r="F437" s="119"/>
      <c r="G437" s="119"/>
      <c r="H437" s="120"/>
      <c r="I437" s="119"/>
      <c r="J437" s="119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4"/>
    </row>
    <row r="438" ht="14.25" customHeight="1">
      <c r="F438" s="119"/>
      <c r="G438" s="119"/>
      <c r="H438" s="120"/>
      <c r="I438" s="119"/>
      <c r="J438" s="119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4"/>
    </row>
    <row r="439" ht="14.25" customHeight="1">
      <c r="F439" s="119"/>
      <c r="G439" s="119"/>
      <c r="H439" s="120"/>
      <c r="I439" s="119"/>
      <c r="J439" s="119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4"/>
    </row>
    <row r="440" ht="14.25" customHeight="1">
      <c r="F440" s="119"/>
      <c r="G440" s="119"/>
      <c r="H440" s="120"/>
      <c r="I440" s="119"/>
      <c r="J440" s="119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4"/>
    </row>
    <row r="441" ht="14.25" customHeight="1">
      <c r="F441" s="119"/>
      <c r="G441" s="119"/>
      <c r="H441" s="120"/>
      <c r="I441" s="119"/>
      <c r="J441" s="119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4"/>
    </row>
    <row r="442" ht="14.25" customHeight="1">
      <c r="F442" s="119"/>
      <c r="G442" s="119"/>
      <c r="H442" s="120"/>
      <c r="I442" s="119"/>
      <c r="J442" s="119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4"/>
    </row>
    <row r="443" ht="14.25" customHeight="1">
      <c r="F443" s="119"/>
      <c r="G443" s="119"/>
      <c r="H443" s="120"/>
      <c r="I443" s="119"/>
      <c r="J443" s="119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4"/>
    </row>
    <row r="444" ht="14.25" customHeight="1">
      <c r="F444" s="119"/>
      <c r="G444" s="119"/>
      <c r="H444" s="120"/>
      <c r="I444" s="119"/>
      <c r="J444" s="119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4"/>
    </row>
    <row r="445" ht="14.25" customHeight="1">
      <c r="F445" s="119"/>
      <c r="G445" s="119"/>
      <c r="H445" s="120"/>
      <c r="I445" s="119"/>
      <c r="J445" s="119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4"/>
    </row>
    <row r="446" ht="14.25" customHeight="1">
      <c r="F446" s="119"/>
      <c r="G446" s="119"/>
      <c r="H446" s="120"/>
      <c r="I446" s="119"/>
      <c r="J446" s="119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4"/>
    </row>
    <row r="447" ht="14.25" customHeight="1">
      <c r="F447" s="119"/>
      <c r="G447" s="119"/>
      <c r="H447" s="120"/>
      <c r="I447" s="119"/>
      <c r="J447" s="119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4"/>
    </row>
    <row r="448" ht="14.25" customHeight="1">
      <c r="F448" s="119"/>
      <c r="G448" s="119"/>
      <c r="H448" s="120"/>
      <c r="I448" s="119"/>
      <c r="J448" s="119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4"/>
    </row>
    <row r="449" ht="14.25" customHeight="1">
      <c r="F449" s="119"/>
      <c r="G449" s="119"/>
      <c r="H449" s="120"/>
      <c r="I449" s="119"/>
      <c r="J449" s="119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4"/>
    </row>
    <row r="450" ht="14.25" customHeight="1">
      <c r="F450" s="119"/>
      <c r="G450" s="119"/>
      <c r="H450" s="120"/>
      <c r="I450" s="119"/>
      <c r="J450" s="119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4"/>
    </row>
    <row r="451" ht="14.25" customHeight="1">
      <c r="F451" s="119"/>
      <c r="G451" s="119"/>
      <c r="H451" s="120"/>
      <c r="I451" s="119"/>
      <c r="J451" s="119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4"/>
    </row>
    <row r="452" ht="14.25" customHeight="1">
      <c r="F452" s="119"/>
      <c r="G452" s="119"/>
      <c r="H452" s="120"/>
      <c r="I452" s="119"/>
      <c r="J452" s="119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4"/>
    </row>
    <row r="453" ht="14.25" customHeight="1">
      <c r="F453" s="119"/>
      <c r="G453" s="119"/>
      <c r="H453" s="120"/>
      <c r="I453" s="119"/>
      <c r="J453" s="119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4"/>
    </row>
    <row r="454" ht="14.25" customHeight="1">
      <c r="F454" s="119"/>
      <c r="G454" s="119"/>
      <c r="H454" s="120"/>
      <c r="I454" s="119"/>
      <c r="J454" s="119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4"/>
    </row>
    <row r="455" ht="14.25" customHeight="1">
      <c r="F455" s="119"/>
      <c r="G455" s="119"/>
      <c r="H455" s="120"/>
      <c r="I455" s="119"/>
      <c r="J455" s="119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4"/>
    </row>
    <row r="456" ht="14.25" customHeight="1">
      <c r="F456" s="119"/>
      <c r="G456" s="119"/>
      <c r="H456" s="120"/>
      <c r="I456" s="119"/>
      <c r="J456" s="119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4"/>
    </row>
    <row r="457" ht="14.25" customHeight="1">
      <c r="F457" s="119"/>
      <c r="G457" s="119"/>
      <c r="H457" s="120"/>
      <c r="I457" s="119"/>
      <c r="J457" s="119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4"/>
    </row>
    <row r="458" ht="14.25" customHeight="1">
      <c r="F458" s="119"/>
      <c r="G458" s="119"/>
      <c r="H458" s="120"/>
      <c r="I458" s="119"/>
      <c r="J458" s="119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4"/>
    </row>
    <row r="459" ht="14.25" customHeight="1">
      <c r="F459" s="119"/>
      <c r="G459" s="119"/>
      <c r="H459" s="120"/>
      <c r="I459" s="119"/>
      <c r="J459" s="119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4"/>
    </row>
    <row r="460" ht="14.25" customHeight="1">
      <c r="F460" s="119"/>
      <c r="G460" s="119"/>
      <c r="H460" s="120"/>
      <c r="I460" s="119"/>
      <c r="J460" s="119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4"/>
    </row>
    <row r="461" ht="14.25" customHeight="1">
      <c r="F461" s="119"/>
      <c r="G461" s="119"/>
      <c r="H461" s="120"/>
      <c r="I461" s="119"/>
      <c r="J461" s="119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4"/>
    </row>
    <row r="462" ht="14.25" customHeight="1">
      <c r="F462" s="119"/>
      <c r="G462" s="119"/>
      <c r="H462" s="120"/>
      <c r="I462" s="119"/>
      <c r="J462" s="119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4"/>
    </row>
    <row r="463" ht="14.25" customHeight="1">
      <c r="F463" s="119"/>
      <c r="G463" s="119"/>
      <c r="H463" s="120"/>
      <c r="I463" s="119"/>
      <c r="J463" s="119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4"/>
    </row>
    <row r="464" ht="14.25" customHeight="1">
      <c r="F464" s="119"/>
      <c r="G464" s="119"/>
      <c r="H464" s="120"/>
      <c r="I464" s="119"/>
      <c r="J464" s="119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4"/>
    </row>
    <row r="465" ht="14.25" customHeight="1">
      <c r="F465" s="119"/>
      <c r="G465" s="119"/>
      <c r="H465" s="120"/>
      <c r="I465" s="119"/>
      <c r="J465" s="119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4"/>
    </row>
    <row r="466" ht="14.25" customHeight="1">
      <c r="F466" s="119"/>
      <c r="G466" s="119"/>
      <c r="H466" s="120"/>
      <c r="I466" s="119"/>
      <c r="J466" s="119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4"/>
    </row>
    <row r="467" ht="14.25" customHeight="1">
      <c r="F467" s="119"/>
      <c r="G467" s="119"/>
      <c r="H467" s="120"/>
      <c r="I467" s="119"/>
      <c r="J467" s="119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4"/>
    </row>
    <row r="468" ht="14.25" customHeight="1">
      <c r="F468" s="119"/>
      <c r="G468" s="119"/>
      <c r="H468" s="120"/>
      <c r="I468" s="119"/>
      <c r="J468" s="119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4"/>
    </row>
    <row r="469" ht="14.25" customHeight="1">
      <c r="F469" s="119"/>
      <c r="G469" s="119"/>
      <c r="H469" s="120"/>
      <c r="I469" s="119"/>
      <c r="J469" s="119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4"/>
    </row>
    <row r="470" ht="14.25" customHeight="1">
      <c r="F470" s="119"/>
      <c r="G470" s="119"/>
      <c r="H470" s="120"/>
      <c r="I470" s="119"/>
      <c r="J470" s="119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4"/>
    </row>
    <row r="471" ht="14.25" customHeight="1">
      <c r="F471" s="119"/>
      <c r="G471" s="119"/>
      <c r="H471" s="120"/>
      <c r="I471" s="119"/>
      <c r="J471" s="119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4"/>
    </row>
    <row r="472" ht="14.25" customHeight="1">
      <c r="F472" s="119"/>
      <c r="G472" s="119"/>
      <c r="H472" s="120"/>
      <c r="I472" s="119"/>
      <c r="J472" s="119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4"/>
    </row>
    <row r="473" ht="14.25" customHeight="1">
      <c r="F473" s="119"/>
      <c r="G473" s="119"/>
      <c r="H473" s="120"/>
      <c r="I473" s="119"/>
      <c r="J473" s="119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4"/>
    </row>
    <row r="474" ht="14.25" customHeight="1">
      <c r="F474" s="119"/>
      <c r="G474" s="119"/>
      <c r="H474" s="120"/>
      <c r="I474" s="119"/>
      <c r="J474" s="119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4"/>
    </row>
    <row r="475" ht="14.25" customHeight="1">
      <c r="F475" s="119"/>
      <c r="G475" s="119"/>
      <c r="H475" s="120"/>
      <c r="I475" s="119"/>
      <c r="J475" s="119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4"/>
    </row>
    <row r="476" ht="14.25" customHeight="1">
      <c r="F476" s="119"/>
      <c r="G476" s="119"/>
      <c r="H476" s="120"/>
      <c r="I476" s="119"/>
      <c r="J476" s="119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4"/>
    </row>
    <row r="477" ht="14.25" customHeight="1">
      <c r="F477" s="119"/>
      <c r="G477" s="119"/>
      <c r="H477" s="120"/>
      <c r="I477" s="119"/>
      <c r="J477" s="119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4"/>
    </row>
    <row r="478" ht="14.25" customHeight="1">
      <c r="F478" s="119"/>
      <c r="G478" s="119"/>
      <c r="H478" s="120"/>
      <c r="I478" s="119"/>
      <c r="J478" s="119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4"/>
    </row>
    <row r="479" ht="14.25" customHeight="1">
      <c r="F479" s="119"/>
      <c r="G479" s="119"/>
      <c r="H479" s="120"/>
      <c r="I479" s="119"/>
      <c r="J479" s="119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4"/>
    </row>
    <row r="480" ht="14.25" customHeight="1">
      <c r="F480" s="119"/>
      <c r="G480" s="119"/>
      <c r="H480" s="120"/>
      <c r="I480" s="119"/>
      <c r="J480" s="119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4"/>
    </row>
    <row r="481" ht="14.25" customHeight="1">
      <c r="F481" s="119"/>
      <c r="G481" s="119"/>
      <c r="H481" s="120"/>
      <c r="I481" s="119"/>
      <c r="J481" s="119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4"/>
    </row>
    <row r="482" ht="14.25" customHeight="1">
      <c r="F482" s="119"/>
      <c r="G482" s="119"/>
      <c r="H482" s="120"/>
      <c r="I482" s="119"/>
      <c r="J482" s="119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4"/>
    </row>
    <row r="483" ht="14.25" customHeight="1">
      <c r="F483" s="119"/>
      <c r="G483" s="119"/>
      <c r="H483" s="120"/>
      <c r="I483" s="119"/>
      <c r="J483" s="119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4"/>
    </row>
    <row r="484" ht="14.25" customHeight="1">
      <c r="F484" s="119"/>
      <c r="G484" s="119"/>
      <c r="H484" s="120"/>
      <c r="I484" s="119"/>
      <c r="J484" s="119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4"/>
    </row>
    <row r="485" ht="14.25" customHeight="1">
      <c r="F485" s="119"/>
      <c r="G485" s="119"/>
      <c r="H485" s="120"/>
      <c r="I485" s="119"/>
      <c r="J485" s="119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4"/>
    </row>
    <row r="486" ht="14.25" customHeight="1">
      <c r="F486" s="119"/>
      <c r="G486" s="119"/>
      <c r="H486" s="120"/>
      <c r="I486" s="119"/>
      <c r="J486" s="119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4"/>
    </row>
    <row r="487" ht="14.25" customHeight="1">
      <c r="F487" s="119"/>
      <c r="G487" s="119"/>
      <c r="H487" s="120"/>
      <c r="I487" s="119"/>
      <c r="J487" s="119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4"/>
    </row>
    <row r="488" ht="14.25" customHeight="1">
      <c r="F488" s="119"/>
      <c r="G488" s="119"/>
      <c r="H488" s="120"/>
      <c r="I488" s="119"/>
      <c r="J488" s="119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4"/>
    </row>
    <row r="489" ht="14.25" customHeight="1">
      <c r="F489" s="119"/>
      <c r="G489" s="119"/>
      <c r="H489" s="120"/>
      <c r="I489" s="119"/>
      <c r="J489" s="119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4"/>
    </row>
    <row r="490" ht="14.25" customHeight="1">
      <c r="F490" s="119"/>
      <c r="G490" s="119"/>
      <c r="H490" s="120"/>
      <c r="I490" s="119"/>
      <c r="J490" s="119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4"/>
    </row>
    <row r="491" ht="14.25" customHeight="1">
      <c r="F491" s="119"/>
      <c r="G491" s="119"/>
      <c r="H491" s="120"/>
      <c r="I491" s="119"/>
      <c r="J491" s="119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4"/>
    </row>
    <row r="492" ht="14.25" customHeight="1">
      <c r="F492" s="119"/>
      <c r="G492" s="119"/>
      <c r="H492" s="120"/>
      <c r="I492" s="119"/>
      <c r="J492" s="119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4"/>
    </row>
    <row r="493" ht="14.25" customHeight="1">
      <c r="F493" s="119"/>
      <c r="G493" s="119"/>
      <c r="H493" s="120"/>
      <c r="I493" s="119"/>
      <c r="J493" s="119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4"/>
    </row>
    <row r="494" ht="14.25" customHeight="1">
      <c r="F494" s="119"/>
      <c r="G494" s="119"/>
      <c r="H494" s="120"/>
      <c r="I494" s="119"/>
      <c r="J494" s="119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4"/>
    </row>
    <row r="495" ht="14.25" customHeight="1">
      <c r="F495" s="119"/>
      <c r="G495" s="119"/>
      <c r="H495" s="120"/>
      <c r="I495" s="119"/>
      <c r="J495" s="119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4"/>
    </row>
    <row r="496" ht="14.25" customHeight="1">
      <c r="F496" s="119"/>
      <c r="G496" s="119"/>
      <c r="H496" s="120"/>
      <c r="I496" s="119"/>
      <c r="J496" s="119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4"/>
    </row>
    <row r="497" ht="14.25" customHeight="1">
      <c r="F497" s="119"/>
      <c r="G497" s="119"/>
      <c r="H497" s="120"/>
      <c r="I497" s="119"/>
      <c r="J497" s="119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4"/>
    </row>
    <row r="498" ht="14.25" customHeight="1">
      <c r="F498" s="119"/>
      <c r="G498" s="119"/>
      <c r="H498" s="120"/>
      <c r="I498" s="119"/>
      <c r="J498" s="119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4"/>
    </row>
    <row r="499" ht="14.25" customHeight="1">
      <c r="F499" s="119"/>
      <c r="G499" s="119"/>
      <c r="H499" s="120"/>
      <c r="I499" s="119"/>
      <c r="J499" s="119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4"/>
    </row>
    <row r="500" ht="14.25" customHeight="1">
      <c r="F500" s="119"/>
      <c r="G500" s="119"/>
      <c r="H500" s="120"/>
      <c r="I500" s="119"/>
      <c r="J500" s="119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4"/>
    </row>
    <row r="501" ht="14.25" customHeight="1">
      <c r="F501" s="119"/>
      <c r="G501" s="119"/>
      <c r="H501" s="120"/>
      <c r="I501" s="119"/>
      <c r="J501" s="119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4"/>
    </row>
    <row r="502" ht="14.25" customHeight="1">
      <c r="F502" s="119"/>
      <c r="G502" s="119"/>
      <c r="H502" s="120"/>
      <c r="I502" s="119"/>
      <c r="J502" s="119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4"/>
    </row>
    <row r="503" ht="14.25" customHeight="1">
      <c r="F503" s="119"/>
      <c r="G503" s="119"/>
      <c r="H503" s="120"/>
      <c r="I503" s="119"/>
      <c r="J503" s="119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4"/>
    </row>
    <row r="504" ht="14.25" customHeight="1">
      <c r="F504" s="119"/>
      <c r="G504" s="119"/>
      <c r="H504" s="120"/>
      <c r="I504" s="119"/>
      <c r="J504" s="119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4"/>
    </row>
    <row r="505" ht="14.25" customHeight="1">
      <c r="F505" s="119"/>
      <c r="G505" s="119"/>
      <c r="H505" s="120"/>
      <c r="I505" s="119"/>
      <c r="J505" s="119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4"/>
    </row>
    <row r="506" ht="14.25" customHeight="1">
      <c r="F506" s="119"/>
      <c r="G506" s="119"/>
      <c r="H506" s="120"/>
      <c r="I506" s="119"/>
      <c r="J506" s="119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4"/>
    </row>
    <row r="507" ht="14.25" customHeight="1">
      <c r="F507" s="119"/>
      <c r="G507" s="119"/>
      <c r="H507" s="120"/>
      <c r="I507" s="119"/>
      <c r="J507" s="119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4"/>
    </row>
    <row r="508" ht="14.25" customHeight="1">
      <c r="F508" s="119"/>
      <c r="G508" s="119"/>
      <c r="H508" s="120"/>
      <c r="I508" s="119"/>
      <c r="J508" s="119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4"/>
    </row>
    <row r="509" ht="14.25" customHeight="1">
      <c r="F509" s="119"/>
      <c r="G509" s="119"/>
      <c r="H509" s="120"/>
      <c r="I509" s="119"/>
      <c r="J509" s="119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4"/>
    </row>
    <row r="510" ht="14.25" customHeight="1">
      <c r="F510" s="119"/>
      <c r="G510" s="119"/>
      <c r="H510" s="120"/>
      <c r="I510" s="119"/>
      <c r="J510" s="119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4"/>
    </row>
    <row r="511" ht="14.25" customHeight="1">
      <c r="F511" s="119"/>
      <c r="G511" s="119"/>
      <c r="H511" s="120"/>
      <c r="I511" s="119"/>
      <c r="J511" s="119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4"/>
    </row>
    <row r="512" ht="14.25" customHeight="1">
      <c r="F512" s="119"/>
      <c r="G512" s="119"/>
      <c r="H512" s="120"/>
      <c r="I512" s="119"/>
      <c r="J512" s="119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4"/>
    </row>
    <row r="513" ht="14.25" customHeight="1">
      <c r="F513" s="119"/>
      <c r="G513" s="119"/>
      <c r="H513" s="120"/>
      <c r="I513" s="119"/>
      <c r="J513" s="119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4"/>
    </row>
    <row r="514" ht="14.25" customHeight="1">
      <c r="F514" s="119"/>
      <c r="G514" s="119"/>
      <c r="H514" s="120"/>
      <c r="I514" s="119"/>
      <c r="J514" s="119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4"/>
    </row>
    <row r="515" ht="14.25" customHeight="1">
      <c r="F515" s="119"/>
      <c r="G515" s="119"/>
      <c r="H515" s="120"/>
      <c r="I515" s="119"/>
      <c r="J515" s="119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4"/>
    </row>
    <row r="516" ht="14.25" customHeight="1">
      <c r="F516" s="119"/>
      <c r="G516" s="119"/>
      <c r="H516" s="120"/>
      <c r="I516" s="119"/>
      <c r="J516" s="119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4"/>
    </row>
    <row r="517" ht="14.25" customHeight="1">
      <c r="F517" s="119"/>
      <c r="G517" s="119"/>
      <c r="H517" s="120"/>
      <c r="I517" s="119"/>
      <c r="J517" s="119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4"/>
    </row>
    <row r="518" ht="14.25" customHeight="1">
      <c r="F518" s="119"/>
      <c r="G518" s="119"/>
      <c r="H518" s="120"/>
      <c r="I518" s="119"/>
      <c r="J518" s="119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4"/>
    </row>
    <row r="519" ht="14.25" customHeight="1">
      <c r="F519" s="119"/>
      <c r="G519" s="119"/>
      <c r="H519" s="120"/>
      <c r="I519" s="119"/>
      <c r="J519" s="119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4"/>
    </row>
    <row r="520" ht="14.25" customHeight="1">
      <c r="F520" s="119"/>
      <c r="G520" s="119"/>
      <c r="H520" s="120"/>
      <c r="I520" s="119"/>
      <c r="J520" s="119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4"/>
    </row>
    <row r="521" ht="14.25" customHeight="1">
      <c r="F521" s="119"/>
      <c r="G521" s="119"/>
      <c r="H521" s="120"/>
      <c r="I521" s="119"/>
      <c r="J521" s="119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4"/>
    </row>
    <row r="522" ht="14.25" customHeight="1">
      <c r="F522" s="119"/>
      <c r="G522" s="119"/>
      <c r="H522" s="120"/>
      <c r="I522" s="119"/>
      <c r="J522" s="119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4"/>
    </row>
    <row r="523" ht="14.25" customHeight="1">
      <c r="F523" s="119"/>
      <c r="G523" s="119"/>
      <c r="H523" s="120"/>
      <c r="I523" s="119"/>
      <c r="J523" s="119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4"/>
    </row>
    <row r="524" ht="14.25" customHeight="1">
      <c r="F524" s="119"/>
      <c r="G524" s="119"/>
      <c r="H524" s="120"/>
      <c r="I524" s="119"/>
      <c r="J524" s="119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4"/>
    </row>
    <row r="525" ht="14.25" customHeight="1">
      <c r="F525" s="119"/>
      <c r="G525" s="119"/>
      <c r="H525" s="120"/>
      <c r="I525" s="119"/>
      <c r="J525" s="119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4"/>
    </row>
    <row r="526" ht="14.25" customHeight="1">
      <c r="F526" s="119"/>
      <c r="G526" s="119"/>
      <c r="H526" s="120"/>
      <c r="I526" s="119"/>
      <c r="J526" s="119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4"/>
    </row>
    <row r="527" ht="14.25" customHeight="1">
      <c r="F527" s="119"/>
      <c r="G527" s="119"/>
      <c r="H527" s="120"/>
      <c r="I527" s="119"/>
      <c r="J527" s="119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4"/>
    </row>
    <row r="528" ht="14.25" customHeight="1">
      <c r="F528" s="119"/>
      <c r="G528" s="119"/>
      <c r="H528" s="120"/>
      <c r="I528" s="119"/>
      <c r="J528" s="119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4"/>
    </row>
    <row r="529" ht="14.25" customHeight="1">
      <c r="F529" s="119"/>
      <c r="G529" s="119"/>
      <c r="H529" s="120"/>
      <c r="I529" s="119"/>
      <c r="J529" s="119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4"/>
    </row>
    <row r="530" ht="14.25" customHeight="1">
      <c r="F530" s="119"/>
      <c r="G530" s="119"/>
      <c r="H530" s="120"/>
      <c r="I530" s="119"/>
      <c r="J530" s="119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4"/>
    </row>
    <row r="531" ht="14.25" customHeight="1">
      <c r="F531" s="119"/>
      <c r="G531" s="119"/>
      <c r="H531" s="120"/>
      <c r="I531" s="119"/>
      <c r="J531" s="119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4"/>
    </row>
    <row r="532" ht="14.25" customHeight="1">
      <c r="F532" s="119"/>
      <c r="G532" s="119"/>
      <c r="H532" s="120"/>
      <c r="I532" s="119"/>
      <c r="J532" s="119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4"/>
    </row>
    <row r="533" ht="14.25" customHeight="1">
      <c r="F533" s="119"/>
      <c r="G533" s="119"/>
      <c r="H533" s="120"/>
      <c r="I533" s="119"/>
      <c r="J533" s="119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4"/>
    </row>
    <row r="534" ht="14.25" customHeight="1">
      <c r="F534" s="119"/>
      <c r="G534" s="119"/>
      <c r="H534" s="120"/>
      <c r="I534" s="119"/>
      <c r="J534" s="119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4"/>
    </row>
    <row r="535" ht="14.25" customHeight="1">
      <c r="F535" s="119"/>
      <c r="G535" s="119"/>
      <c r="H535" s="120"/>
      <c r="I535" s="119"/>
      <c r="J535" s="119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4"/>
    </row>
    <row r="536" ht="14.25" customHeight="1">
      <c r="F536" s="119"/>
      <c r="G536" s="119"/>
      <c r="H536" s="120"/>
      <c r="I536" s="119"/>
      <c r="J536" s="119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4"/>
    </row>
    <row r="537" ht="14.25" customHeight="1">
      <c r="F537" s="119"/>
      <c r="G537" s="119"/>
      <c r="H537" s="120"/>
      <c r="I537" s="119"/>
      <c r="J537" s="119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4"/>
    </row>
    <row r="538" ht="14.25" customHeight="1">
      <c r="F538" s="119"/>
      <c r="G538" s="119"/>
      <c r="H538" s="120"/>
      <c r="I538" s="119"/>
      <c r="J538" s="119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4"/>
    </row>
    <row r="539" ht="14.25" customHeight="1">
      <c r="F539" s="119"/>
      <c r="G539" s="119"/>
      <c r="H539" s="120"/>
      <c r="I539" s="119"/>
      <c r="J539" s="119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4"/>
    </row>
    <row r="540" ht="14.25" customHeight="1">
      <c r="F540" s="119"/>
      <c r="G540" s="119"/>
      <c r="H540" s="120"/>
      <c r="I540" s="119"/>
      <c r="J540" s="119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4"/>
    </row>
    <row r="541" ht="14.25" customHeight="1">
      <c r="F541" s="119"/>
      <c r="G541" s="119"/>
      <c r="H541" s="120"/>
      <c r="I541" s="119"/>
      <c r="J541" s="119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4"/>
    </row>
    <row r="542" ht="14.25" customHeight="1">
      <c r="F542" s="119"/>
      <c r="G542" s="119"/>
      <c r="H542" s="120"/>
      <c r="I542" s="119"/>
      <c r="J542" s="119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4"/>
    </row>
    <row r="543" ht="14.25" customHeight="1">
      <c r="F543" s="119"/>
      <c r="G543" s="119"/>
      <c r="H543" s="120"/>
      <c r="I543" s="119"/>
      <c r="J543" s="119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4"/>
    </row>
    <row r="544" ht="14.25" customHeight="1">
      <c r="F544" s="119"/>
      <c r="G544" s="119"/>
      <c r="H544" s="120"/>
      <c r="I544" s="119"/>
      <c r="J544" s="119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4"/>
    </row>
    <row r="545" ht="14.25" customHeight="1">
      <c r="F545" s="119"/>
      <c r="G545" s="119"/>
      <c r="H545" s="120"/>
      <c r="I545" s="119"/>
      <c r="J545" s="119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4"/>
    </row>
    <row r="546" ht="14.25" customHeight="1">
      <c r="F546" s="119"/>
      <c r="G546" s="119"/>
      <c r="H546" s="120"/>
      <c r="I546" s="119"/>
      <c r="J546" s="119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4"/>
    </row>
    <row r="547" ht="14.25" customHeight="1">
      <c r="F547" s="119"/>
      <c r="G547" s="119"/>
      <c r="H547" s="120"/>
      <c r="I547" s="119"/>
      <c r="J547" s="119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4"/>
    </row>
    <row r="548" ht="14.25" customHeight="1">
      <c r="F548" s="119"/>
      <c r="G548" s="119"/>
      <c r="H548" s="120"/>
      <c r="I548" s="119"/>
      <c r="J548" s="119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4"/>
    </row>
    <row r="549" ht="14.25" customHeight="1">
      <c r="F549" s="119"/>
      <c r="G549" s="119"/>
      <c r="H549" s="120"/>
      <c r="I549" s="119"/>
      <c r="J549" s="119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4"/>
    </row>
    <row r="550" ht="14.25" customHeight="1">
      <c r="F550" s="119"/>
      <c r="G550" s="119"/>
      <c r="H550" s="120"/>
      <c r="I550" s="119"/>
      <c r="J550" s="119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4"/>
    </row>
    <row r="551" ht="14.25" customHeight="1">
      <c r="F551" s="119"/>
      <c r="G551" s="119"/>
      <c r="H551" s="120"/>
      <c r="I551" s="119"/>
      <c r="J551" s="119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4"/>
    </row>
    <row r="552" ht="14.25" customHeight="1">
      <c r="F552" s="119"/>
      <c r="G552" s="119"/>
      <c r="H552" s="120"/>
      <c r="I552" s="119"/>
      <c r="J552" s="119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4"/>
    </row>
    <row r="553" ht="14.25" customHeight="1">
      <c r="F553" s="119"/>
      <c r="G553" s="119"/>
      <c r="H553" s="120"/>
      <c r="I553" s="119"/>
      <c r="J553" s="119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4"/>
    </row>
    <row r="554" ht="14.25" customHeight="1">
      <c r="F554" s="119"/>
      <c r="G554" s="119"/>
      <c r="H554" s="120"/>
      <c r="I554" s="119"/>
      <c r="J554" s="119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4"/>
    </row>
    <row r="555" ht="14.25" customHeight="1">
      <c r="F555" s="119"/>
      <c r="G555" s="119"/>
      <c r="H555" s="120"/>
      <c r="I555" s="119"/>
      <c r="J555" s="119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4"/>
    </row>
    <row r="556" ht="14.25" customHeight="1">
      <c r="F556" s="119"/>
      <c r="G556" s="119"/>
      <c r="H556" s="120"/>
      <c r="I556" s="119"/>
      <c r="J556" s="119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4"/>
    </row>
    <row r="557" ht="14.25" customHeight="1">
      <c r="F557" s="119"/>
      <c r="G557" s="119"/>
      <c r="H557" s="120"/>
      <c r="I557" s="119"/>
      <c r="J557" s="119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4"/>
    </row>
    <row r="558" ht="14.25" customHeight="1">
      <c r="F558" s="119"/>
      <c r="G558" s="119"/>
      <c r="H558" s="120"/>
      <c r="I558" s="119"/>
      <c r="J558" s="119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4"/>
    </row>
    <row r="559" ht="14.25" customHeight="1">
      <c r="F559" s="119"/>
      <c r="G559" s="119"/>
      <c r="H559" s="120"/>
      <c r="I559" s="119"/>
      <c r="J559" s="119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4"/>
    </row>
    <row r="560" ht="14.25" customHeight="1">
      <c r="F560" s="119"/>
      <c r="G560" s="119"/>
      <c r="H560" s="120"/>
      <c r="I560" s="119"/>
      <c r="J560" s="119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4"/>
    </row>
    <row r="561" ht="14.25" customHeight="1">
      <c r="F561" s="119"/>
      <c r="G561" s="119"/>
      <c r="H561" s="120"/>
      <c r="I561" s="119"/>
      <c r="J561" s="119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4"/>
    </row>
    <row r="562" ht="14.25" customHeight="1">
      <c r="F562" s="119"/>
      <c r="G562" s="119"/>
      <c r="H562" s="120"/>
      <c r="I562" s="119"/>
      <c r="J562" s="119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4"/>
    </row>
    <row r="563" ht="14.25" customHeight="1">
      <c r="F563" s="119"/>
      <c r="G563" s="119"/>
      <c r="H563" s="120"/>
      <c r="I563" s="119"/>
      <c r="J563" s="119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4"/>
    </row>
    <row r="564" ht="14.25" customHeight="1">
      <c r="F564" s="119"/>
      <c r="G564" s="119"/>
      <c r="H564" s="120"/>
      <c r="I564" s="119"/>
      <c r="J564" s="119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4"/>
    </row>
    <row r="565" ht="14.25" customHeight="1">
      <c r="F565" s="119"/>
      <c r="G565" s="119"/>
      <c r="H565" s="120"/>
      <c r="I565" s="119"/>
      <c r="J565" s="119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4"/>
    </row>
    <row r="566" ht="14.25" customHeight="1">
      <c r="F566" s="119"/>
      <c r="G566" s="119"/>
      <c r="H566" s="120"/>
      <c r="I566" s="119"/>
      <c r="J566" s="119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4"/>
    </row>
    <row r="567" ht="14.25" customHeight="1">
      <c r="F567" s="119"/>
      <c r="G567" s="119"/>
      <c r="H567" s="120"/>
      <c r="I567" s="119"/>
      <c r="J567" s="119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4"/>
    </row>
    <row r="568" ht="14.25" customHeight="1">
      <c r="F568" s="119"/>
      <c r="G568" s="119"/>
      <c r="H568" s="120"/>
      <c r="I568" s="119"/>
      <c r="J568" s="119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4"/>
    </row>
    <row r="569" ht="14.25" customHeight="1">
      <c r="F569" s="119"/>
      <c r="G569" s="119"/>
      <c r="H569" s="120"/>
      <c r="I569" s="119"/>
      <c r="J569" s="119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4"/>
    </row>
    <row r="570" ht="14.25" customHeight="1">
      <c r="F570" s="119"/>
      <c r="G570" s="119"/>
      <c r="H570" s="120"/>
      <c r="I570" s="119"/>
      <c r="J570" s="119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4"/>
    </row>
    <row r="571" ht="14.25" customHeight="1">
      <c r="F571" s="119"/>
      <c r="G571" s="119"/>
      <c r="H571" s="120"/>
      <c r="I571" s="119"/>
      <c r="J571" s="119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4"/>
    </row>
    <row r="572" ht="14.25" customHeight="1">
      <c r="F572" s="119"/>
      <c r="G572" s="119"/>
      <c r="H572" s="120"/>
      <c r="I572" s="119"/>
      <c r="J572" s="119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4"/>
    </row>
    <row r="573" ht="14.25" customHeight="1">
      <c r="F573" s="119"/>
      <c r="G573" s="119"/>
      <c r="H573" s="120"/>
      <c r="I573" s="119"/>
      <c r="J573" s="119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4"/>
    </row>
    <row r="574" ht="14.25" customHeight="1">
      <c r="F574" s="119"/>
      <c r="G574" s="119"/>
      <c r="H574" s="120"/>
      <c r="I574" s="119"/>
      <c r="J574" s="119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4"/>
    </row>
    <row r="575" ht="14.25" customHeight="1">
      <c r="F575" s="119"/>
      <c r="G575" s="119"/>
      <c r="H575" s="120"/>
      <c r="I575" s="119"/>
      <c r="J575" s="119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4"/>
    </row>
    <row r="576" ht="14.25" customHeight="1">
      <c r="F576" s="119"/>
      <c r="G576" s="119"/>
      <c r="H576" s="120"/>
      <c r="I576" s="119"/>
      <c r="J576" s="119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4"/>
    </row>
    <row r="577" ht="14.25" customHeight="1">
      <c r="F577" s="119"/>
      <c r="G577" s="119"/>
      <c r="H577" s="120"/>
      <c r="I577" s="119"/>
      <c r="J577" s="119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4"/>
    </row>
    <row r="578" ht="14.25" customHeight="1">
      <c r="F578" s="119"/>
      <c r="G578" s="119"/>
      <c r="H578" s="120"/>
      <c r="I578" s="119"/>
      <c r="J578" s="119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4"/>
    </row>
    <row r="579" ht="14.25" customHeight="1">
      <c r="F579" s="119"/>
      <c r="G579" s="119"/>
      <c r="H579" s="120"/>
      <c r="I579" s="119"/>
      <c r="J579" s="119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4"/>
    </row>
    <row r="580" ht="14.25" customHeight="1">
      <c r="F580" s="119"/>
      <c r="G580" s="119"/>
      <c r="H580" s="120"/>
      <c r="I580" s="119"/>
      <c r="J580" s="119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4"/>
    </row>
    <row r="581" ht="14.25" customHeight="1">
      <c r="F581" s="119"/>
      <c r="G581" s="119"/>
      <c r="H581" s="120"/>
      <c r="I581" s="119"/>
      <c r="J581" s="119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4"/>
    </row>
    <row r="582" ht="14.25" customHeight="1">
      <c r="F582" s="119"/>
      <c r="G582" s="119"/>
      <c r="H582" s="120"/>
      <c r="I582" s="119"/>
      <c r="J582" s="119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4"/>
    </row>
    <row r="583" ht="14.25" customHeight="1">
      <c r="F583" s="119"/>
      <c r="G583" s="119"/>
      <c r="H583" s="120"/>
      <c r="I583" s="119"/>
      <c r="J583" s="119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4"/>
    </row>
    <row r="584" ht="14.25" customHeight="1">
      <c r="F584" s="119"/>
      <c r="G584" s="119"/>
      <c r="H584" s="120"/>
      <c r="I584" s="119"/>
      <c r="J584" s="119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4"/>
    </row>
    <row r="585" ht="14.25" customHeight="1">
      <c r="F585" s="119"/>
      <c r="G585" s="119"/>
      <c r="H585" s="120"/>
      <c r="I585" s="119"/>
      <c r="J585" s="119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4"/>
    </row>
    <row r="586" ht="14.25" customHeight="1">
      <c r="F586" s="119"/>
      <c r="G586" s="119"/>
      <c r="H586" s="120"/>
      <c r="I586" s="119"/>
      <c r="J586" s="119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4"/>
    </row>
    <row r="587" ht="14.25" customHeight="1">
      <c r="F587" s="119"/>
      <c r="G587" s="119"/>
      <c r="H587" s="120"/>
      <c r="I587" s="119"/>
      <c r="J587" s="119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4"/>
    </row>
    <row r="588" ht="14.25" customHeight="1">
      <c r="F588" s="119"/>
      <c r="G588" s="119"/>
      <c r="H588" s="120"/>
      <c r="I588" s="119"/>
      <c r="J588" s="119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4"/>
    </row>
    <row r="589" ht="14.25" customHeight="1">
      <c r="F589" s="119"/>
      <c r="G589" s="119"/>
      <c r="H589" s="120"/>
      <c r="I589" s="119"/>
      <c r="J589" s="119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4"/>
    </row>
    <row r="590" ht="14.25" customHeight="1">
      <c r="F590" s="119"/>
      <c r="G590" s="119"/>
      <c r="H590" s="120"/>
      <c r="I590" s="119"/>
      <c r="J590" s="119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4"/>
    </row>
    <row r="591" ht="14.25" customHeight="1">
      <c r="F591" s="119"/>
      <c r="G591" s="119"/>
      <c r="H591" s="120"/>
      <c r="I591" s="119"/>
      <c r="J591" s="119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4"/>
    </row>
    <row r="592" ht="14.25" customHeight="1">
      <c r="F592" s="119"/>
      <c r="G592" s="119"/>
      <c r="H592" s="120"/>
      <c r="I592" s="119"/>
      <c r="J592" s="119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4"/>
    </row>
    <row r="593" ht="14.25" customHeight="1">
      <c r="F593" s="119"/>
      <c r="G593" s="119"/>
      <c r="H593" s="120"/>
      <c r="I593" s="119"/>
      <c r="J593" s="119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4"/>
    </row>
    <row r="594" ht="14.25" customHeight="1">
      <c r="F594" s="119"/>
      <c r="G594" s="119"/>
      <c r="H594" s="120"/>
      <c r="I594" s="119"/>
      <c r="J594" s="119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4"/>
    </row>
    <row r="595" ht="14.25" customHeight="1">
      <c r="F595" s="119"/>
      <c r="G595" s="119"/>
      <c r="H595" s="120"/>
      <c r="I595" s="119"/>
      <c r="J595" s="119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4"/>
    </row>
    <row r="596" ht="14.25" customHeight="1">
      <c r="F596" s="119"/>
      <c r="G596" s="119"/>
      <c r="H596" s="120"/>
      <c r="I596" s="119"/>
      <c r="J596" s="119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4"/>
    </row>
    <row r="597" ht="14.25" customHeight="1">
      <c r="F597" s="119"/>
      <c r="G597" s="119"/>
      <c r="H597" s="120"/>
      <c r="I597" s="119"/>
      <c r="J597" s="119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4"/>
    </row>
    <row r="598" ht="14.25" customHeight="1">
      <c r="F598" s="119"/>
      <c r="G598" s="119"/>
      <c r="H598" s="120"/>
      <c r="I598" s="119"/>
      <c r="J598" s="119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4"/>
    </row>
    <row r="599" ht="14.25" customHeight="1">
      <c r="F599" s="119"/>
      <c r="G599" s="119"/>
      <c r="H599" s="120"/>
      <c r="I599" s="119"/>
      <c r="J599" s="119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4"/>
    </row>
    <row r="600" ht="14.25" customHeight="1">
      <c r="F600" s="119"/>
      <c r="G600" s="119"/>
      <c r="H600" s="120"/>
      <c r="I600" s="119"/>
      <c r="J600" s="119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4"/>
    </row>
    <row r="601" ht="14.25" customHeight="1">
      <c r="F601" s="119"/>
      <c r="G601" s="119"/>
      <c r="H601" s="120"/>
      <c r="I601" s="119"/>
      <c r="J601" s="119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4"/>
    </row>
    <row r="602" ht="14.25" customHeight="1">
      <c r="F602" s="119"/>
      <c r="G602" s="119"/>
      <c r="H602" s="120"/>
      <c r="I602" s="119"/>
      <c r="J602" s="119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4"/>
    </row>
    <row r="603" ht="14.25" customHeight="1">
      <c r="F603" s="119"/>
      <c r="G603" s="119"/>
      <c r="H603" s="120"/>
      <c r="I603" s="119"/>
      <c r="J603" s="119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4"/>
    </row>
    <row r="604" ht="14.25" customHeight="1">
      <c r="F604" s="119"/>
      <c r="G604" s="119"/>
      <c r="H604" s="120"/>
      <c r="I604" s="119"/>
      <c r="J604" s="119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4"/>
    </row>
    <row r="605" ht="14.25" customHeight="1">
      <c r="F605" s="119"/>
      <c r="G605" s="119"/>
      <c r="H605" s="120"/>
      <c r="I605" s="119"/>
      <c r="J605" s="119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4"/>
    </row>
    <row r="606" ht="14.25" customHeight="1">
      <c r="F606" s="119"/>
      <c r="G606" s="119"/>
      <c r="H606" s="120"/>
      <c r="I606" s="119"/>
      <c r="J606" s="119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4"/>
    </row>
    <row r="607" ht="14.25" customHeight="1">
      <c r="F607" s="119"/>
      <c r="G607" s="119"/>
      <c r="H607" s="120"/>
      <c r="I607" s="119"/>
      <c r="J607" s="119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4"/>
    </row>
    <row r="608" ht="14.25" customHeight="1">
      <c r="F608" s="119"/>
      <c r="G608" s="119"/>
      <c r="H608" s="120"/>
      <c r="I608" s="119"/>
      <c r="J608" s="119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4"/>
    </row>
    <row r="609" ht="14.25" customHeight="1">
      <c r="F609" s="119"/>
      <c r="G609" s="119"/>
      <c r="H609" s="120"/>
      <c r="I609" s="119"/>
      <c r="J609" s="119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4"/>
    </row>
    <row r="610" ht="14.25" customHeight="1">
      <c r="F610" s="119"/>
      <c r="G610" s="119"/>
      <c r="H610" s="120"/>
      <c r="I610" s="119"/>
      <c r="J610" s="119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4"/>
    </row>
    <row r="611" ht="14.25" customHeight="1">
      <c r="F611" s="119"/>
      <c r="G611" s="119"/>
      <c r="H611" s="120"/>
      <c r="I611" s="119"/>
      <c r="J611" s="119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4"/>
    </row>
    <row r="612" ht="14.25" customHeight="1">
      <c r="F612" s="119"/>
      <c r="G612" s="119"/>
      <c r="H612" s="120"/>
      <c r="I612" s="119"/>
      <c r="J612" s="119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4"/>
    </row>
    <row r="613" ht="14.25" customHeight="1">
      <c r="F613" s="119"/>
      <c r="G613" s="119"/>
      <c r="H613" s="120"/>
      <c r="I613" s="119"/>
      <c r="J613" s="119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4"/>
    </row>
    <row r="614" ht="14.25" customHeight="1">
      <c r="F614" s="119"/>
      <c r="G614" s="119"/>
      <c r="H614" s="120"/>
      <c r="I614" s="119"/>
      <c r="J614" s="119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4"/>
    </row>
    <row r="615" ht="14.25" customHeight="1">
      <c r="F615" s="119"/>
      <c r="G615" s="119"/>
      <c r="H615" s="120"/>
      <c r="I615" s="119"/>
      <c r="J615" s="119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4"/>
    </row>
    <row r="616" ht="14.25" customHeight="1">
      <c r="F616" s="119"/>
      <c r="G616" s="119"/>
      <c r="H616" s="120"/>
      <c r="I616" s="119"/>
      <c r="J616" s="119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4"/>
    </row>
    <row r="617" ht="14.25" customHeight="1">
      <c r="F617" s="119"/>
      <c r="G617" s="119"/>
      <c r="H617" s="120"/>
      <c r="I617" s="119"/>
      <c r="J617" s="119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4"/>
    </row>
    <row r="618" ht="14.25" customHeight="1">
      <c r="F618" s="119"/>
      <c r="G618" s="119"/>
      <c r="H618" s="120"/>
      <c r="I618" s="119"/>
      <c r="J618" s="119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4"/>
    </row>
    <row r="619" ht="14.25" customHeight="1">
      <c r="F619" s="119"/>
      <c r="G619" s="119"/>
      <c r="H619" s="120"/>
      <c r="I619" s="119"/>
      <c r="J619" s="119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4"/>
    </row>
    <row r="620" ht="14.25" customHeight="1">
      <c r="F620" s="119"/>
      <c r="G620" s="119"/>
      <c r="H620" s="120"/>
      <c r="I620" s="119"/>
      <c r="J620" s="119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4"/>
    </row>
    <row r="621" ht="14.25" customHeight="1">
      <c r="F621" s="119"/>
      <c r="G621" s="119"/>
      <c r="H621" s="120"/>
      <c r="I621" s="119"/>
      <c r="J621" s="119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4"/>
    </row>
    <row r="622" ht="14.25" customHeight="1">
      <c r="F622" s="119"/>
      <c r="G622" s="119"/>
      <c r="H622" s="120"/>
      <c r="I622" s="119"/>
      <c r="J622" s="119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4"/>
    </row>
    <row r="623" ht="14.25" customHeight="1">
      <c r="F623" s="119"/>
      <c r="G623" s="119"/>
      <c r="H623" s="120"/>
      <c r="I623" s="119"/>
      <c r="J623" s="119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4"/>
    </row>
    <row r="624" ht="14.25" customHeight="1">
      <c r="F624" s="119"/>
      <c r="G624" s="119"/>
      <c r="H624" s="120"/>
      <c r="I624" s="119"/>
      <c r="J624" s="119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4"/>
    </row>
    <row r="625" ht="14.25" customHeight="1">
      <c r="F625" s="119"/>
      <c r="G625" s="119"/>
      <c r="H625" s="120"/>
      <c r="I625" s="119"/>
      <c r="J625" s="119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4"/>
    </row>
    <row r="626" ht="14.25" customHeight="1">
      <c r="F626" s="119"/>
      <c r="G626" s="119"/>
      <c r="H626" s="120"/>
      <c r="I626" s="119"/>
      <c r="J626" s="119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4"/>
    </row>
    <row r="627" ht="14.25" customHeight="1">
      <c r="F627" s="119"/>
      <c r="G627" s="119"/>
      <c r="H627" s="120"/>
      <c r="I627" s="119"/>
      <c r="J627" s="119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4"/>
    </row>
    <row r="628" ht="14.25" customHeight="1">
      <c r="F628" s="119"/>
      <c r="G628" s="119"/>
      <c r="H628" s="120"/>
      <c r="I628" s="119"/>
      <c r="J628" s="119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4"/>
    </row>
    <row r="629" ht="14.25" customHeight="1">
      <c r="F629" s="119"/>
      <c r="G629" s="119"/>
      <c r="H629" s="120"/>
      <c r="I629" s="119"/>
      <c r="J629" s="119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4"/>
    </row>
    <row r="630" ht="14.25" customHeight="1">
      <c r="F630" s="119"/>
      <c r="G630" s="119"/>
      <c r="H630" s="120"/>
      <c r="I630" s="119"/>
      <c r="J630" s="119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4"/>
    </row>
    <row r="631" ht="14.25" customHeight="1">
      <c r="F631" s="119"/>
      <c r="G631" s="119"/>
      <c r="H631" s="120"/>
      <c r="I631" s="119"/>
      <c r="J631" s="119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4"/>
    </row>
    <row r="632" ht="14.25" customHeight="1">
      <c r="F632" s="119"/>
      <c r="G632" s="119"/>
      <c r="H632" s="120"/>
      <c r="I632" s="119"/>
      <c r="J632" s="119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4"/>
    </row>
    <row r="633" ht="14.25" customHeight="1">
      <c r="F633" s="119"/>
      <c r="G633" s="119"/>
      <c r="H633" s="120"/>
      <c r="I633" s="119"/>
      <c r="J633" s="119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4"/>
    </row>
    <row r="634" ht="14.25" customHeight="1">
      <c r="F634" s="119"/>
      <c r="G634" s="119"/>
      <c r="H634" s="120"/>
      <c r="I634" s="119"/>
      <c r="J634" s="119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4"/>
    </row>
    <row r="635" ht="14.25" customHeight="1">
      <c r="F635" s="119"/>
      <c r="G635" s="119"/>
      <c r="H635" s="120"/>
      <c r="I635" s="119"/>
      <c r="J635" s="119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4"/>
    </row>
    <row r="636" ht="14.25" customHeight="1">
      <c r="F636" s="119"/>
      <c r="G636" s="119"/>
      <c r="H636" s="120"/>
      <c r="I636" s="119"/>
      <c r="J636" s="119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4"/>
    </row>
    <row r="637" ht="14.25" customHeight="1">
      <c r="F637" s="119"/>
      <c r="G637" s="119"/>
      <c r="H637" s="120"/>
      <c r="I637" s="119"/>
      <c r="J637" s="119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4"/>
    </row>
    <row r="638" ht="14.25" customHeight="1">
      <c r="F638" s="119"/>
      <c r="G638" s="119"/>
      <c r="H638" s="120"/>
      <c r="I638" s="119"/>
      <c r="J638" s="119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4"/>
    </row>
    <row r="639" ht="14.25" customHeight="1">
      <c r="F639" s="119"/>
      <c r="G639" s="119"/>
      <c r="H639" s="120"/>
      <c r="I639" s="119"/>
      <c r="J639" s="119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4"/>
    </row>
    <row r="640" ht="14.25" customHeight="1">
      <c r="F640" s="119"/>
      <c r="G640" s="119"/>
      <c r="H640" s="120"/>
      <c r="I640" s="119"/>
      <c r="J640" s="119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4"/>
    </row>
    <row r="641" ht="14.25" customHeight="1">
      <c r="F641" s="119"/>
      <c r="G641" s="119"/>
      <c r="H641" s="120"/>
      <c r="I641" s="119"/>
      <c r="J641" s="119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4"/>
    </row>
    <row r="642" ht="14.25" customHeight="1">
      <c r="F642" s="119"/>
      <c r="G642" s="119"/>
      <c r="H642" s="120"/>
      <c r="I642" s="119"/>
      <c r="J642" s="119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4"/>
    </row>
    <row r="643" ht="14.25" customHeight="1">
      <c r="F643" s="119"/>
      <c r="G643" s="119"/>
      <c r="H643" s="120"/>
      <c r="I643" s="119"/>
      <c r="J643" s="119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4"/>
    </row>
    <row r="644" ht="14.25" customHeight="1">
      <c r="F644" s="119"/>
      <c r="G644" s="119"/>
      <c r="H644" s="120"/>
      <c r="I644" s="119"/>
      <c r="J644" s="119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4"/>
    </row>
    <row r="645" ht="14.25" customHeight="1">
      <c r="F645" s="119"/>
      <c r="G645" s="119"/>
      <c r="H645" s="120"/>
      <c r="I645" s="119"/>
      <c r="J645" s="119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4"/>
    </row>
    <row r="646" ht="14.25" customHeight="1">
      <c r="F646" s="119"/>
      <c r="G646" s="119"/>
      <c r="H646" s="120"/>
      <c r="I646" s="119"/>
      <c r="J646" s="119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4"/>
    </row>
    <row r="647" ht="14.25" customHeight="1">
      <c r="F647" s="119"/>
      <c r="G647" s="119"/>
      <c r="H647" s="120"/>
      <c r="I647" s="119"/>
      <c r="J647" s="119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4"/>
    </row>
    <row r="648" ht="14.25" customHeight="1">
      <c r="F648" s="119"/>
      <c r="G648" s="119"/>
      <c r="H648" s="120"/>
      <c r="I648" s="119"/>
      <c r="J648" s="119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4"/>
    </row>
    <row r="649" ht="14.25" customHeight="1">
      <c r="F649" s="119"/>
      <c r="G649" s="119"/>
      <c r="H649" s="120"/>
      <c r="I649" s="119"/>
      <c r="J649" s="119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4"/>
    </row>
    <row r="650" ht="14.25" customHeight="1">
      <c r="F650" s="119"/>
      <c r="G650" s="119"/>
      <c r="H650" s="120"/>
      <c r="I650" s="119"/>
      <c r="J650" s="119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4"/>
    </row>
    <row r="651" ht="14.25" customHeight="1">
      <c r="F651" s="119"/>
      <c r="G651" s="119"/>
      <c r="H651" s="120"/>
      <c r="I651" s="119"/>
      <c r="J651" s="119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4"/>
    </row>
    <row r="652" ht="14.25" customHeight="1">
      <c r="F652" s="119"/>
      <c r="G652" s="119"/>
      <c r="H652" s="120"/>
      <c r="I652" s="119"/>
      <c r="J652" s="119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4"/>
    </row>
    <row r="653" ht="14.25" customHeight="1">
      <c r="F653" s="119"/>
      <c r="G653" s="119"/>
      <c r="H653" s="120"/>
      <c r="I653" s="119"/>
      <c r="J653" s="119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4"/>
    </row>
    <row r="654" ht="14.25" customHeight="1">
      <c r="F654" s="119"/>
      <c r="G654" s="119"/>
      <c r="H654" s="120"/>
      <c r="I654" s="119"/>
      <c r="J654" s="119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4"/>
    </row>
    <row r="655" ht="14.25" customHeight="1">
      <c r="F655" s="119"/>
      <c r="G655" s="119"/>
      <c r="H655" s="120"/>
      <c r="I655" s="119"/>
      <c r="J655" s="119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4"/>
    </row>
    <row r="656" ht="14.25" customHeight="1">
      <c r="F656" s="119"/>
      <c r="G656" s="119"/>
      <c r="H656" s="120"/>
      <c r="I656" s="119"/>
      <c r="J656" s="119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4"/>
    </row>
    <row r="657" ht="14.25" customHeight="1">
      <c r="F657" s="119"/>
      <c r="G657" s="119"/>
      <c r="H657" s="120"/>
      <c r="I657" s="119"/>
      <c r="J657" s="119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4"/>
    </row>
    <row r="658" ht="14.25" customHeight="1">
      <c r="F658" s="119"/>
      <c r="G658" s="119"/>
      <c r="H658" s="120"/>
      <c r="I658" s="119"/>
      <c r="J658" s="119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4"/>
    </row>
    <row r="659" ht="14.25" customHeight="1">
      <c r="F659" s="119"/>
      <c r="G659" s="119"/>
      <c r="H659" s="120"/>
      <c r="I659" s="119"/>
      <c r="J659" s="119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4"/>
    </row>
    <row r="660" ht="14.25" customHeight="1">
      <c r="F660" s="119"/>
      <c r="G660" s="119"/>
      <c r="H660" s="120"/>
      <c r="I660" s="119"/>
      <c r="J660" s="119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4"/>
    </row>
    <row r="661" ht="14.25" customHeight="1">
      <c r="F661" s="119"/>
      <c r="G661" s="119"/>
      <c r="H661" s="120"/>
      <c r="I661" s="119"/>
      <c r="J661" s="119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4"/>
    </row>
    <row r="662" ht="14.25" customHeight="1">
      <c r="F662" s="119"/>
      <c r="G662" s="119"/>
      <c r="H662" s="120"/>
      <c r="I662" s="119"/>
      <c r="J662" s="119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4"/>
    </row>
    <row r="663" ht="14.25" customHeight="1">
      <c r="F663" s="119"/>
      <c r="G663" s="119"/>
      <c r="H663" s="120"/>
      <c r="I663" s="119"/>
      <c r="J663" s="119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4"/>
    </row>
    <row r="664" ht="14.25" customHeight="1">
      <c r="F664" s="119"/>
      <c r="G664" s="119"/>
      <c r="H664" s="120"/>
      <c r="I664" s="119"/>
      <c r="J664" s="119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4"/>
    </row>
    <row r="665" ht="14.25" customHeight="1">
      <c r="F665" s="119"/>
      <c r="G665" s="119"/>
      <c r="H665" s="120"/>
      <c r="I665" s="119"/>
      <c r="J665" s="119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4"/>
    </row>
    <row r="666" ht="14.25" customHeight="1">
      <c r="F666" s="119"/>
      <c r="G666" s="119"/>
      <c r="H666" s="120"/>
      <c r="I666" s="119"/>
      <c r="J666" s="119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4"/>
    </row>
    <row r="667" ht="14.25" customHeight="1">
      <c r="F667" s="119"/>
      <c r="G667" s="119"/>
      <c r="H667" s="120"/>
      <c r="I667" s="119"/>
      <c r="J667" s="119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4"/>
    </row>
    <row r="668" ht="14.25" customHeight="1">
      <c r="F668" s="119"/>
      <c r="G668" s="119"/>
      <c r="H668" s="120"/>
      <c r="I668" s="119"/>
      <c r="J668" s="119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4"/>
    </row>
    <row r="669" ht="14.25" customHeight="1">
      <c r="F669" s="119"/>
      <c r="G669" s="119"/>
      <c r="H669" s="120"/>
      <c r="I669" s="119"/>
      <c r="J669" s="119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4"/>
    </row>
    <row r="670" ht="14.25" customHeight="1">
      <c r="F670" s="119"/>
      <c r="G670" s="119"/>
      <c r="H670" s="120"/>
      <c r="I670" s="119"/>
      <c r="J670" s="119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4"/>
    </row>
    <row r="671" ht="14.25" customHeight="1">
      <c r="F671" s="119"/>
      <c r="G671" s="119"/>
      <c r="H671" s="120"/>
      <c r="I671" s="119"/>
      <c r="J671" s="119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4"/>
    </row>
    <row r="672" ht="14.25" customHeight="1">
      <c r="F672" s="119"/>
      <c r="G672" s="119"/>
      <c r="H672" s="120"/>
      <c r="I672" s="119"/>
      <c r="J672" s="119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4"/>
    </row>
    <row r="673" ht="14.25" customHeight="1">
      <c r="F673" s="119"/>
      <c r="G673" s="119"/>
      <c r="H673" s="120"/>
      <c r="I673" s="119"/>
      <c r="J673" s="119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4"/>
    </row>
    <row r="674" ht="14.25" customHeight="1">
      <c r="F674" s="119"/>
      <c r="G674" s="119"/>
      <c r="H674" s="120"/>
      <c r="I674" s="119"/>
      <c r="J674" s="119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4"/>
    </row>
    <row r="675" ht="14.25" customHeight="1">
      <c r="F675" s="119"/>
      <c r="G675" s="119"/>
      <c r="H675" s="120"/>
      <c r="I675" s="119"/>
      <c r="J675" s="119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4"/>
    </row>
    <row r="676" ht="14.25" customHeight="1">
      <c r="F676" s="119"/>
      <c r="G676" s="119"/>
      <c r="H676" s="120"/>
      <c r="I676" s="119"/>
      <c r="J676" s="119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4"/>
    </row>
    <row r="677" ht="14.25" customHeight="1">
      <c r="F677" s="119"/>
      <c r="G677" s="119"/>
      <c r="H677" s="120"/>
      <c r="I677" s="119"/>
      <c r="J677" s="119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4"/>
    </row>
    <row r="678" ht="14.25" customHeight="1">
      <c r="F678" s="119"/>
      <c r="G678" s="119"/>
      <c r="H678" s="120"/>
      <c r="I678" s="119"/>
      <c r="J678" s="119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4"/>
    </row>
    <row r="679" ht="14.25" customHeight="1">
      <c r="F679" s="119"/>
      <c r="G679" s="119"/>
      <c r="H679" s="120"/>
      <c r="I679" s="119"/>
      <c r="J679" s="119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4"/>
    </row>
    <row r="680" ht="14.25" customHeight="1">
      <c r="F680" s="119"/>
      <c r="G680" s="119"/>
      <c r="H680" s="120"/>
      <c r="I680" s="119"/>
      <c r="J680" s="119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4"/>
    </row>
    <row r="681" ht="14.25" customHeight="1">
      <c r="F681" s="119"/>
      <c r="G681" s="119"/>
      <c r="H681" s="120"/>
      <c r="I681" s="119"/>
      <c r="J681" s="119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4"/>
    </row>
    <row r="682" ht="14.25" customHeight="1">
      <c r="F682" s="119"/>
      <c r="G682" s="119"/>
      <c r="H682" s="120"/>
      <c r="I682" s="119"/>
      <c r="J682" s="119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4"/>
    </row>
    <row r="683" ht="14.25" customHeight="1">
      <c r="F683" s="119"/>
      <c r="G683" s="119"/>
      <c r="H683" s="120"/>
      <c r="I683" s="119"/>
      <c r="J683" s="119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4"/>
    </row>
    <row r="684" ht="14.25" customHeight="1">
      <c r="F684" s="119"/>
      <c r="G684" s="119"/>
      <c r="H684" s="120"/>
      <c r="I684" s="119"/>
      <c r="J684" s="119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4"/>
    </row>
    <row r="685" ht="14.25" customHeight="1">
      <c r="F685" s="119"/>
      <c r="G685" s="119"/>
      <c r="H685" s="120"/>
      <c r="I685" s="119"/>
      <c r="J685" s="119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4"/>
    </row>
    <row r="686" ht="14.25" customHeight="1">
      <c r="F686" s="119"/>
      <c r="G686" s="119"/>
      <c r="H686" s="120"/>
      <c r="I686" s="119"/>
      <c r="J686" s="119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4"/>
    </row>
    <row r="687" ht="14.25" customHeight="1">
      <c r="F687" s="119"/>
      <c r="G687" s="119"/>
      <c r="H687" s="120"/>
      <c r="I687" s="119"/>
      <c r="J687" s="119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4"/>
    </row>
    <row r="688" ht="14.25" customHeight="1">
      <c r="F688" s="119"/>
      <c r="G688" s="119"/>
      <c r="H688" s="120"/>
      <c r="I688" s="119"/>
      <c r="J688" s="119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4"/>
    </row>
    <row r="689" ht="14.25" customHeight="1">
      <c r="F689" s="119"/>
      <c r="G689" s="119"/>
      <c r="H689" s="120"/>
      <c r="I689" s="119"/>
      <c r="J689" s="119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4"/>
    </row>
    <row r="690" ht="14.25" customHeight="1">
      <c r="F690" s="119"/>
      <c r="G690" s="119"/>
      <c r="H690" s="120"/>
      <c r="I690" s="119"/>
      <c r="J690" s="119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4"/>
    </row>
    <row r="691" ht="14.25" customHeight="1">
      <c r="F691" s="119"/>
      <c r="G691" s="119"/>
      <c r="H691" s="120"/>
      <c r="I691" s="119"/>
      <c r="J691" s="119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4"/>
    </row>
    <row r="692" ht="14.25" customHeight="1">
      <c r="F692" s="119"/>
      <c r="G692" s="119"/>
      <c r="H692" s="120"/>
      <c r="I692" s="119"/>
      <c r="J692" s="119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4"/>
    </row>
    <row r="693" ht="14.25" customHeight="1">
      <c r="F693" s="119"/>
      <c r="G693" s="119"/>
      <c r="H693" s="120"/>
      <c r="I693" s="119"/>
      <c r="J693" s="119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4"/>
    </row>
    <row r="694" ht="14.25" customHeight="1">
      <c r="F694" s="119"/>
      <c r="G694" s="119"/>
      <c r="H694" s="120"/>
      <c r="I694" s="119"/>
      <c r="J694" s="119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4"/>
    </row>
    <row r="695" ht="14.25" customHeight="1">
      <c r="F695" s="119"/>
      <c r="G695" s="119"/>
      <c r="H695" s="120"/>
      <c r="I695" s="119"/>
      <c r="J695" s="119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4"/>
    </row>
    <row r="696" ht="14.25" customHeight="1">
      <c r="F696" s="119"/>
      <c r="G696" s="119"/>
      <c r="H696" s="120"/>
      <c r="I696" s="119"/>
      <c r="J696" s="119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4"/>
    </row>
    <row r="697" ht="14.25" customHeight="1">
      <c r="F697" s="119"/>
      <c r="G697" s="119"/>
      <c r="H697" s="120"/>
      <c r="I697" s="119"/>
      <c r="J697" s="119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4"/>
    </row>
    <row r="698" ht="14.25" customHeight="1">
      <c r="F698" s="119"/>
      <c r="G698" s="119"/>
      <c r="H698" s="120"/>
      <c r="I698" s="119"/>
      <c r="J698" s="119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4"/>
    </row>
    <row r="699" ht="14.25" customHeight="1">
      <c r="F699" s="119"/>
      <c r="G699" s="119"/>
      <c r="H699" s="120"/>
      <c r="I699" s="119"/>
      <c r="J699" s="119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4"/>
    </row>
    <row r="700" ht="14.25" customHeight="1">
      <c r="F700" s="119"/>
      <c r="G700" s="119"/>
      <c r="H700" s="120"/>
      <c r="I700" s="119"/>
      <c r="J700" s="119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4"/>
    </row>
    <row r="701" ht="14.25" customHeight="1">
      <c r="F701" s="119"/>
      <c r="G701" s="119"/>
      <c r="H701" s="120"/>
      <c r="I701" s="119"/>
      <c r="J701" s="119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4"/>
    </row>
    <row r="702" ht="14.25" customHeight="1">
      <c r="F702" s="119"/>
      <c r="G702" s="119"/>
      <c r="H702" s="120"/>
      <c r="I702" s="119"/>
      <c r="J702" s="119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4"/>
    </row>
    <row r="703" ht="14.25" customHeight="1">
      <c r="F703" s="119"/>
      <c r="G703" s="119"/>
      <c r="H703" s="120"/>
      <c r="I703" s="119"/>
      <c r="J703" s="119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4"/>
    </row>
    <row r="704" ht="14.25" customHeight="1">
      <c r="F704" s="119"/>
      <c r="G704" s="119"/>
      <c r="H704" s="120"/>
      <c r="I704" s="119"/>
      <c r="J704" s="119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4"/>
    </row>
    <row r="705" ht="14.25" customHeight="1">
      <c r="F705" s="119"/>
      <c r="G705" s="119"/>
      <c r="H705" s="120"/>
      <c r="I705" s="119"/>
      <c r="J705" s="119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4"/>
    </row>
    <row r="706" ht="14.25" customHeight="1">
      <c r="F706" s="119"/>
      <c r="G706" s="119"/>
      <c r="H706" s="120"/>
      <c r="I706" s="119"/>
      <c r="J706" s="119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4"/>
    </row>
    <row r="707" ht="14.25" customHeight="1">
      <c r="F707" s="119"/>
      <c r="G707" s="119"/>
      <c r="H707" s="120"/>
      <c r="I707" s="119"/>
      <c r="J707" s="119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4"/>
    </row>
    <row r="708" ht="14.25" customHeight="1">
      <c r="F708" s="119"/>
      <c r="G708" s="119"/>
      <c r="H708" s="120"/>
      <c r="I708" s="119"/>
      <c r="J708" s="119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4"/>
    </row>
    <row r="709" ht="14.25" customHeight="1">
      <c r="F709" s="119"/>
      <c r="G709" s="119"/>
      <c r="H709" s="120"/>
      <c r="I709" s="119"/>
      <c r="J709" s="119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4"/>
    </row>
    <row r="710" ht="14.25" customHeight="1">
      <c r="F710" s="119"/>
      <c r="G710" s="119"/>
      <c r="H710" s="120"/>
      <c r="I710" s="119"/>
      <c r="J710" s="119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4"/>
    </row>
    <row r="711" ht="14.25" customHeight="1">
      <c r="F711" s="119"/>
      <c r="G711" s="119"/>
      <c r="H711" s="120"/>
      <c r="I711" s="119"/>
      <c r="J711" s="119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4"/>
    </row>
    <row r="712" ht="14.25" customHeight="1">
      <c r="F712" s="119"/>
      <c r="G712" s="119"/>
      <c r="H712" s="120"/>
      <c r="I712" s="119"/>
      <c r="J712" s="119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4"/>
    </row>
    <row r="713" ht="14.25" customHeight="1">
      <c r="F713" s="119"/>
      <c r="G713" s="119"/>
      <c r="H713" s="120"/>
      <c r="I713" s="119"/>
      <c r="J713" s="119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4"/>
    </row>
    <row r="714" ht="14.25" customHeight="1">
      <c r="F714" s="119"/>
      <c r="G714" s="119"/>
      <c r="H714" s="120"/>
      <c r="I714" s="119"/>
      <c r="J714" s="119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4"/>
    </row>
    <row r="715" ht="14.25" customHeight="1">
      <c r="F715" s="119"/>
      <c r="G715" s="119"/>
      <c r="H715" s="120"/>
      <c r="I715" s="119"/>
      <c r="J715" s="119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4"/>
    </row>
    <row r="716" ht="14.25" customHeight="1">
      <c r="F716" s="119"/>
      <c r="G716" s="119"/>
      <c r="H716" s="120"/>
      <c r="I716" s="119"/>
      <c r="J716" s="119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4"/>
    </row>
    <row r="717" ht="14.25" customHeight="1">
      <c r="F717" s="119"/>
      <c r="G717" s="119"/>
      <c r="H717" s="120"/>
      <c r="I717" s="119"/>
      <c r="J717" s="119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4"/>
    </row>
    <row r="718" ht="14.25" customHeight="1">
      <c r="F718" s="119"/>
      <c r="G718" s="119"/>
      <c r="H718" s="120"/>
      <c r="I718" s="119"/>
      <c r="J718" s="119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4"/>
    </row>
    <row r="719" ht="14.25" customHeight="1">
      <c r="F719" s="119"/>
      <c r="G719" s="119"/>
      <c r="H719" s="120"/>
      <c r="I719" s="119"/>
      <c r="J719" s="119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4"/>
    </row>
    <row r="720" ht="14.25" customHeight="1">
      <c r="F720" s="119"/>
      <c r="G720" s="119"/>
      <c r="H720" s="120"/>
      <c r="I720" s="119"/>
      <c r="J720" s="119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4"/>
    </row>
    <row r="721" ht="14.25" customHeight="1">
      <c r="F721" s="119"/>
      <c r="G721" s="119"/>
      <c r="H721" s="120"/>
      <c r="I721" s="119"/>
      <c r="J721" s="119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4"/>
    </row>
    <row r="722" ht="14.25" customHeight="1">
      <c r="F722" s="119"/>
      <c r="G722" s="119"/>
      <c r="H722" s="120"/>
      <c r="I722" s="119"/>
      <c r="J722" s="119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4"/>
    </row>
    <row r="723" ht="14.25" customHeight="1">
      <c r="F723" s="119"/>
      <c r="G723" s="119"/>
      <c r="H723" s="120"/>
      <c r="I723" s="119"/>
      <c r="J723" s="119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4"/>
    </row>
    <row r="724" ht="14.25" customHeight="1">
      <c r="F724" s="119"/>
      <c r="G724" s="119"/>
      <c r="H724" s="120"/>
      <c r="I724" s="119"/>
      <c r="J724" s="119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4"/>
    </row>
    <row r="725" ht="14.25" customHeight="1">
      <c r="F725" s="119"/>
      <c r="G725" s="119"/>
      <c r="H725" s="120"/>
      <c r="I725" s="119"/>
      <c r="J725" s="119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4"/>
    </row>
    <row r="726" ht="14.25" customHeight="1">
      <c r="F726" s="119"/>
      <c r="G726" s="119"/>
      <c r="H726" s="120"/>
      <c r="I726" s="119"/>
      <c r="J726" s="119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4"/>
    </row>
    <row r="727" ht="14.25" customHeight="1">
      <c r="F727" s="119"/>
      <c r="G727" s="119"/>
      <c r="H727" s="120"/>
      <c r="I727" s="119"/>
      <c r="J727" s="119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4"/>
    </row>
    <row r="728" ht="14.25" customHeight="1">
      <c r="F728" s="119"/>
      <c r="G728" s="119"/>
      <c r="H728" s="120"/>
      <c r="I728" s="119"/>
      <c r="J728" s="119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4"/>
    </row>
    <row r="729" ht="14.25" customHeight="1">
      <c r="F729" s="119"/>
      <c r="G729" s="119"/>
      <c r="H729" s="120"/>
      <c r="I729" s="119"/>
      <c r="J729" s="119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4"/>
    </row>
    <row r="730" ht="14.25" customHeight="1">
      <c r="F730" s="119"/>
      <c r="G730" s="119"/>
      <c r="H730" s="120"/>
      <c r="I730" s="119"/>
      <c r="J730" s="119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4"/>
    </row>
    <row r="731" ht="14.25" customHeight="1">
      <c r="F731" s="119"/>
      <c r="G731" s="119"/>
      <c r="H731" s="120"/>
      <c r="I731" s="119"/>
      <c r="J731" s="119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4"/>
    </row>
    <row r="732" ht="14.25" customHeight="1">
      <c r="F732" s="119"/>
      <c r="G732" s="119"/>
      <c r="H732" s="120"/>
      <c r="I732" s="119"/>
      <c r="J732" s="119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4"/>
    </row>
    <row r="733" ht="14.25" customHeight="1">
      <c r="F733" s="119"/>
      <c r="G733" s="119"/>
      <c r="H733" s="120"/>
      <c r="I733" s="119"/>
      <c r="J733" s="119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4"/>
    </row>
    <row r="734" ht="14.25" customHeight="1">
      <c r="F734" s="119"/>
      <c r="G734" s="119"/>
      <c r="H734" s="120"/>
      <c r="I734" s="119"/>
      <c r="J734" s="119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4"/>
    </row>
    <row r="735" ht="14.25" customHeight="1">
      <c r="F735" s="119"/>
      <c r="G735" s="119"/>
      <c r="H735" s="120"/>
      <c r="I735" s="119"/>
      <c r="J735" s="119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4"/>
    </row>
    <row r="736" ht="14.25" customHeight="1">
      <c r="F736" s="119"/>
      <c r="G736" s="119"/>
      <c r="H736" s="120"/>
      <c r="I736" s="119"/>
      <c r="J736" s="119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4"/>
    </row>
    <row r="737" ht="14.25" customHeight="1">
      <c r="F737" s="119"/>
      <c r="G737" s="119"/>
      <c r="H737" s="120"/>
      <c r="I737" s="119"/>
      <c r="J737" s="119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4"/>
    </row>
    <row r="738" ht="14.25" customHeight="1">
      <c r="F738" s="119"/>
      <c r="G738" s="119"/>
      <c r="H738" s="120"/>
      <c r="I738" s="119"/>
      <c r="J738" s="119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4"/>
    </row>
    <row r="739" ht="14.25" customHeight="1">
      <c r="F739" s="119"/>
      <c r="G739" s="119"/>
      <c r="H739" s="120"/>
      <c r="I739" s="119"/>
      <c r="J739" s="119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4"/>
    </row>
    <row r="740" ht="14.25" customHeight="1">
      <c r="F740" s="119"/>
      <c r="G740" s="119"/>
      <c r="H740" s="120"/>
      <c r="I740" s="119"/>
      <c r="J740" s="119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4"/>
    </row>
    <row r="741" ht="14.25" customHeight="1">
      <c r="F741" s="119"/>
      <c r="G741" s="119"/>
      <c r="H741" s="120"/>
      <c r="I741" s="119"/>
      <c r="J741" s="119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4"/>
    </row>
    <row r="742" ht="14.25" customHeight="1">
      <c r="F742" s="119"/>
      <c r="G742" s="119"/>
      <c r="H742" s="120"/>
      <c r="I742" s="119"/>
      <c r="J742" s="119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4"/>
    </row>
    <row r="743" ht="14.25" customHeight="1">
      <c r="F743" s="119"/>
      <c r="G743" s="119"/>
      <c r="H743" s="120"/>
      <c r="I743" s="119"/>
      <c r="J743" s="119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4"/>
    </row>
    <row r="744" ht="14.25" customHeight="1">
      <c r="F744" s="119"/>
      <c r="G744" s="119"/>
      <c r="H744" s="120"/>
      <c r="I744" s="119"/>
      <c r="J744" s="119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4"/>
    </row>
    <row r="745" ht="14.25" customHeight="1">
      <c r="F745" s="119"/>
      <c r="G745" s="119"/>
      <c r="H745" s="120"/>
      <c r="I745" s="119"/>
      <c r="J745" s="119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4"/>
    </row>
    <row r="746" ht="14.25" customHeight="1">
      <c r="F746" s="119"/>
      <c r="G746" s="119"/>
      <c r="H746" s="120"/>
      <c r="I746" s="119"/>
      <c r="J746" s="119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4"/>
    </row>
    <row r="747" ht="14.25" customHeight="1">
      <c r="F747" s="119"/>
      <c r="G747" s="119"/>
      <c r="H747" s="120"/>
      <c r="I747" s="119"/>
      <c r="J747" s="119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4"/>
    </row>
    <row r="748" ht="14.25" customHeight="1">
      <c r="F748" s="119"/>
      <c r="G748" s="119"/>
      <c r="H748" s="120"/>
      <c r="I748" s="119"/>
      <c r="J748" s="119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4"/>
    </row>
    <row r="749" ht="14.25" customHeight="1">
      <c r="F749" s="119"/>
      <c r="G749" s="119"/>
      <c r="H749" s="120"/>
      <c r="I749" s="119"/>
      <c r="J749" s="119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4"/>
    </row>
    <row r="750" ht="14.25" customHeight="1">
      <c r="F750" s="119"/>
      <c r="G750" s="119"/>
      <c r="H750" s="120"/>
      <c r="I750" s="119"/>
      <c r="J750" s="119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4"/>
    </row>
    <row r="751" ht="14.25" customHeight="1">
      <c r="F751" s="119"/>
      <c r="G751" s="119"/>
      <c r="H751" s="120"/>
      <c r="I751" s="119"/>
      <c r="J751" s="119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4"/>
    </row>
    <row r="752" ht="14.25" customHeight="1">
      <c r="F752" s="119"/>
      <c r="G752" s="119"/>
      <c r="H752" s="120"/>
      <c r="I752" s="119"/>
      <c r="J752" s="119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4"/>
    </row>
    <row r="753" ht="14.25" customHeight="1">
      <c r="F753" s="119"/>
      <c r="G753" s="119"/>
      <c r="H753" s="120"/>
      <c r="I753" s="119"/>
      <c r="J753" s="119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4"/>
    </row>
    <row r="754" ht="14.25" customHeight="1">
      <c r="F754" s="119"/>
      <c r="G754" s="119"/>
      <c r="H754" s="120"/>
      <c r="I754" s="119"/>
      <c r="J754" s="119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4"/>
    </row>
    <row r="755" ht="14.25" customHeight="1">
      <c r="F755" s="119"/>
      <c r="G755" s="119"/>
      <c r="H755" s="120"/>
      <c r="I755" s="119"/>
      <c r="J755" s="119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4"/>
    </row>
    <row r="756" ht="14.25" customHeight="1">
      <c r="F756" s="119"/>
      <c r="G756" s="119"/>
      <c r="H756" s="120"/>
      <c r="I756" s="119"/>
      <c r="J756" s="119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4"/>
    </row>
    <row r="757" ht="14.25" customHeight="1">
      <c r="F757" s="119"/>
      <c r="G757" s="119"/>
      <c r="H757" s="120"/>
      <c r="I757" s="119"/>
      <c r="J757" s="119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4"/>
    </row>
    <row r="758" ht="14.25" customHeight="1">
      <c r="F758" s="119"/>
      <c r="G758" s="119"/>
      <c r="H758" s="120"/>
      <c r="I758" s="119"/>
      <c r="J758" s="119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4"/>
    </row>
    <row r="759" ht="14.25" customHeight="1">
      <c r="F759" s="119"/>
      <c r="G759" s="119"/>
      <c r="H759" s="120"/>
      <c r="I759" s="119"/>
      <c r="J759" s="119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4"/>
    </row>
    <row r="760" ht="14.25" customHeight="1">
      <c r="F760" s="119"/>
      <c r="G760" s="119"/>
      <c r="H760" s="120"/>
      <c r="I760" s="119"/>
      <c r="J760" s="119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4"/>
    </row>
    <row r="761" ht="14.25" customHeight="1">
      <c r="F761" s="119"/>
      <c r="G761" s="119"/>
      <c r="H761" s="120"/>
      <c r="I761" s="119"/>
      <c r="J761" s="119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4"/>
    </row>
    <row r="762" ht="14.25" customHeight="1">
      <c r="F762" s="119"/>
      <c r="G762" s="119"/>
      <c r="H762" s="120"/>
      <c r="I762" s="119"/>
      <c r="J762" s="119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4"/>
    </row>
    <row r="763" ht="14.25" customHeight="1">
      <c r="F763" s="119"/>
      <c r="G763" s="119"/>
      <c r="H763" s="120"/>
      <c r="I763" s="119"/>
      <c r="J763" s="119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4"/>
    </row>
    <row r="764" ht="14.25" customHeight="1">
      <c r="F764" s="119"/>
      <c r="G764" s="119"/>
      <c r="H764" s="120"/>
      <c r="I764" s="119"/>
      <c r="J764" s="119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4"/>
    </row>
    <row r="765" ht="14.25" customHeight="1">
      <c r="F765" s="119"/>
      <c r="G765" s="119"/>
      <c r="H765" s="120"/>
      <c r="I765" s="119"/>
      <c r="J765" s="119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4"/>
    </row>
    <row r="766" ht="14.25" customHeight="1">
      <c r="F766" s="119"/>
      <c r="G766" s="119"/>
      <c r="H766" s="120"/>
      <c r="I766" s="119"/>
      <c r="J766" s="119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4"/>
    </row>
    <row r="767" ht="14.25" customHeight="1">
      <c r="F767" s="119"/>
      <c r="G767" s="119"/>
      <c r="H767" s="120"/>
      <c r="I767" s="119"/>
      <c r="J767" s="119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4"/>
    </row>
    <row r="768" ht="14.25" customHeight="1">
      <c r="F768" s="119"/>
      <c r="G768" s="119"/>
      <c r="H768" s="120"/>
      <c r="I768" s="119"/>
      <c r="J768" s="119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4"/>
    </row>
    <row r="769" ht="14.25" customHeight="1">
      <c r="F769" s="119"/>
      <c r="G769" s="119"/>
      <c r="H769" s="120"/>
      <c r="I769" s="119"/>
      <c r="J769" s="119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4"/>
    </row>
    <row r="770" ht="14.25" customHeight="1">
      <c r="F770" s="119"/>
      <c r="G770" s="119"/>
      <c r="H770" s="120"/>
      <c r="I770" s="119"/>
      <c r="J770" s="119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4"/>
    </row>
    <row r="771" ht="14.25" customHeight="1">
      <c r="F771" s="119"/>
      <c r="G771" s="119"/>
      <c r="H771" s="120"/>
      <c r="I771" s="119"/>
      <c r="J771" s="119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4"/>
    </row>
    <row r="772" ht="14.25" customHeight="1">
      <c r="F772" s="119"/>
      <c r="G772" s="119"/>
      <c r="H772" s="120"/>
      <c r="I772" s="119"/>
      <c r="J772" s="119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4"/>
    </row>
    <row r="773" ht="14.25" customHeight="1">
      <c r="F773" s="119"/>
      <c r="G773" s="119"/>
      <c r="H773" s="120"/>
      <c r="I773" s="119"/>
      <c r="J773" s="119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4"/>
    </row>
    <row r="774" ht="14.25" customHeight="1">
      <c r="F774" s="119"/>
      <c r="G774" s="119"/>
      <c r="H774" s="120"/>
      <c r="I774" s="119"/>
      <c r="J774" s="119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4"/>
    </row>
    <row r="775" ht="14.25" customHeight="1">
      <c r="F775" s="119"/>
      <c r="G775" s="119"/>
      <c r="H775" s="120"/>
      <c r="I775" s="119"/>
      <c r="J775" s="119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4"/>
    </row>
    <row r="776" ht="14.25" customHeight="1">
      <c r="F776" s="119"/>
      <c r="G776" s="119"/>
      <c r="H776" s="120"/>
      <c r="I776" s="119"/>
      <c r="J776" s="119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4"/>
    </row>
    <row r="777" ht="14.25" customHeight="1">
      <c r="F777" s="119"/>
      <c r="G777" s="119"/>
      <c r="H777" s="120"/>
      <c r="I777" s="119"/>
      <c r="J777" s="119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4"/>
    </row>
    <row r="778" ht="14.25" customHeight="1">
      <c r="F778" s="119"/>
      <c r="G778" s="119"/>
      <c r="H778" s="120"/>
      <c r="I778" s="119"/>
      <c r="J778" s="119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4"/>
    </row>
    <row r="779" ht="14.25" customHeight="1">
      <c r="F779" s="119"/>
      <c r="G779" s="119"/>
      <c r="H779" s="120"/>
      <c r="I779" s="119"/>
      <c r="J779" s="119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4"/>
    </row>
    <row r="780" ht="14.25" customHeight="1">
      <c r="F780" s="119"/>
      <c r="G780" s="119"/>
      <c r="H780" s="120"/>
      <c r="I780" s="119"/>
      <c r="J780" s="119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4"/>
    </row>
    <row r="781" ht="14.25" customHeight="1">
      <c r="F781" s="119"/>
      <c r="G781" s="119"/>
      <c r="H781" s="120"/>
      <c r="I781" s="119"/>
      <c r="J781" s="119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4"/>
    </row>
    <row r="782" ht="14.25" customHeight="1">
      <c r="F782" s="119"/>
      <c r="G782" s="119"/>
      <c r="H782" s="120"/>
      <c r="I782" s="119"/>
      <c r="J782" s="119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4"/>
    </row>
    <row r="783" ht="14.25" customHeight="1">
      <c r="F783" s="119"/>
      <c r="G783" s="119"/>
      <c r="H783" s="120"/>
      <c r="I783" s="119"/>
      <c r="J783" s="119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4"/>
    </row>
    <row r="784" ht="14.25" customHeight="1">
      <c r="F784" s="119"/>
      <c r="G784" s="119"/>
      <c r="H784" s="120"/>
      <c r="I784" s="119"/>
      <c r="J784" s="119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4"/>
    </row>
    <row r="785" ht="14.25" customHeight="1">
      <c r="F785" s="119"/>
      <c r="G785" s="119"/>
      <c r="H785" s="120"/>
      <c r="I785" s="119"/>
      <c r="J785" s="119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4"/>
    </row>
    <row r="786" ht="14.25" customHeight="1">
      <c r="F786" s="119"/>
      <c r="G786" s="119"/>
      <c r="H786" s="120"/>
      <c r="I786" s="119"/>
      <c r="J786" s="119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4"/>
    </row>
    <row r="787" ht="14.25" customHeight="1">
      <c r="F787" s="119"/>
      <c r="G787" s="119"/>
      <c r="H787" s="120"/>
      <c r="I787" s="119"/>
      <c r="J787" s="119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4"/>
    </row>
    <row r="788" ht="14.25" customHeight="1">
      <c r="F788" s="119"/>
      <c r="G788" s="119"/>
      <c r="H788" s="120"/>
      <c r="I788" s="119"/>
      <c r="J788" s="119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4"/>
    </row>
    <row r="789" ht="14.25" customHeight="1">
      <c r="F789" s="119"/>
      <c r="G789" s="119"/>
      <c r="H789" s="120"/>
      <c r="I789" s="119"/>
      <c r="J789" s="119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4"/>
    </row>
    <row r="790" ht="14.25" customHeight="1">
      <c r="F790" s="119"/>
      <c r="G790" s="119"/>
      <c r="H790" s="120"/>
      <c r="I790" s="119"/>
      <c r="J790" s="119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4"/>
    </row>
    <row r="791" ht="14.25" customHeight="1">
      <c r="F791" s="119"/>
      <c r="G791" s="119"/>
      <c r="H791" s="120"/>
      <c r="I791" s="119"/>
      <c r="J791" s="119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4"/>
    </row>
    <row r="792" ht="14.25" customHeight="1">
      <c r="F792" s="119"/>
      <c r="G792" s="119"/>
      <c r="H792" s="120"/>
      <c r="I792" s="119"/>
      <c r="J792" s="119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4"/>
    </row>
    <row r="793" ht="14.25" customHeight="1">
      <c r="F793" s="119"/>
      <c r="G793" s="119"/>
      <c r="H793" s="120"/>
      <c r="I793" s="119"/>
      <c r="J793" s="119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4"/>
    </row>
    <row r="794" ht="14.25" customHeight="1">
      <c r="F794" s="119"/>
      <c r="G794" s="119"/>
      <c r="H794" s="120"/>
      <c r="I794" s="119"/>
      <c r="J794" s="119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4"/>
    </row>
    <row r="795" ht="14.25" customHeight="1">
      <c r="F795" s="119"/>
      <c r="G795" s="119"/>
      <c r="H795" s="120"/>
      <c r="I795" s="119"/>
      <c r="J795" s="119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4"/>
    </row>
    <row r="796" ht="14.25" customHeight="1">
      <c r="F796" s="119"/>
      <c r="G796" s="119"/>
      <c r="H796" s="120"/>
      <c r="I796" s="119"/>
      <c r="J796" s="119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4"/>
    </row>
    <row r="797" ht="14.25" customHeight="1">
      <c r="F797" s="119"/>
      <c r="G797" s="119"/>
      <c r="H797" s="120"/>
      <c r="I797" s="119"/>
      <c r="J797" s="119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4"/>
    </row>
    <row r="798" ht="14.25" customHeight="1">
      <c r="F798" s="119"/>
      <c r="G798" s="119"/>
      <c r="H798" s="120"/>
      <c r="I798" s="119"/>
      <c r="J798" s="119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4"/>
    </row>
    <row r="799" ht="14.25" customHeight="1">
      <c r="F799" s="119"/>
      <c r="G799" s="119"/>
      <c r="H799" s="120"/>
      <c r="I799" s="119"/>
      <c r="J799" s="119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4"/>
    </row>
    <row r="800" ht="14.25" customHeight="1">
      <c r="F800" s="119"/>
      <c r="G800" s="119"/>
      <c r="H800" s="120"/>
      <c r="I800" s="119"/>
      <c r="J800" s="119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4"/>
    </row>
    <row r="801" ht="14.25" customHeight="1">
      <c r="F801" s="119"/>
      <c r="G801" s="119"/>
      <c r="H801" s="120"/>
      <c r="I801" s="119"/>
      <c r="J801" s="119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4"/>
    </row>
    <row r="802" ht="14.25" customHeight="1">
      <c r="F802" s="119"/>
      <c r="G802" s="119"/>
      <c r="H802" s="120"/>
      <c r="I802" s="119"/>
      <c r="J802" s="119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4"/>
    </row>
    <row r="803" ht="14.25" customHeight="1">
      <c r="F803" s="119"/>
      <c r="G803" s="119"/>
      <c r="H803" s="120"/>
      <c r="I803" s="119"/>
      <c r="J803" s="119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4"/>
    </row>
    <row r="804" ht="14.25" customHeight="1">
      <c r="F804" s="119"/>
      <c r="G804" s="119"/>
      <c r="H804" s="120"/>
      <c r="I804" s="119"/>
      <c r="J804" s="119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4"/>
    </row>
    <row r="805" ht="14.25" customHeight="1">
      <c r="F805" s="119"/>
      <c r="G805" s="119"/>
      <c r="H805" s="120"/>
      <c r="I805" s="119"/>
      <c r="J805" s="119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4"/>
    </row>
    <row r="806" ht="14.25" customHeight="1">
      <c r="F806" s="119"/>
      <c r="G806" s="119"/>
      <c r="H806" s="120"/>
      <c r="I806" s="119"/>
      <c r="J806" s="119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4"/>
    </row>
    <row r="807" ht="14.25" customHeight="1">
      <c r="F807" s="119"/>
      <c r="G807" s="119"/>
      <c r="H807" s="120"/>
      <c r="I807" s="119"/>
      <c r="J807" s="119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4"/>
    </row>
    <row r="808" ht="14.25" customHeight="1">
      <c r="F808" s="119"/>
      <c r="G808" s="119"/>
      <c r="H808" s="120"/>
      <c r="I808" s="119"/>
      <c r="J808" s="119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4"/>
    </row>
    <row r="809" ht="14.25" customHeight="1">
      <c r="F809" s="119"/>
      <c r="G809" s="119"/>
      <c r="H809" s="120"/>
      <c r="I809" s="119"/>
      <c r="J809" s="119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4"/>
    </row>
    <row r="810" ht="14.25" customHeight="1">
      <c r="F810" s="119"/>
      <c r="G810" s="119"/>
      <c r="H810" s="120"/>
      <c r="I810" s="119"/>
      <c r="J810" s="119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4"/>
    </row>
    <row r="811" ht="14.25" customHeight="1">
      <c r="F811" s="119"/>
      <c r="G811" s="119"/>
      <c r="H811" s="120"/>
      <c r="I811" s="119"/>
      <c r="J811" s="119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4"/>
    </row>
    <row r="812" ht="14.25" customHeight="1">
      <c r="F812" s="119"/>
      <c r="G812" s="119"/>
      <c r="H812" s="120"/>
      <c r="I812" s="119"/>
      <c r="J812" s="119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4"/>
    </row>
    <row r="813" ht="14.25" customHeight="1">
      <c r="F813" s="119"/>
      <c r="G813" s="119"/>
      <c r="H813" s="120"/>
      <c r="I813" s="119"/>
      <c r="J813" s="119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4"/>
    </row>
    <row r="814" ht="14.25" customHeight="1">
      <c r="F814" s="119"/>
      <c r="G814" s="119"/>
      <c r="H814" s="120"/>
      <c r="I814" s="119"/>
      <c r="J814" s="119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4"/>
    </row>
    <row r="815" ht="14.25" customHeight="1">
      <c r="F815" s="119"/>
      <c r="G815" s="119"/>
      <c r="H815" s="120"/>
      <c r="I815" s="119"/>
      <c r="J815" s="119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4"/>
    </row>
    <row r="816" ht="14.25" customHeight="1">
      <c r="F816" s="119"/>
      <c r="G816" s="119"/>
      <c r="H816" s="120"/>
      <c r="I816" s="119"/>
      <c r="J816" s="119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4"/>
    </row>
    <row r="817" ht="14.25" customHeight="1">
      <c r="F817" s="119"/>
      <c r="G817" s="119"/>
      <c r="H817" s="120"/>
      <c r="I817" s="119"/>
      <c r="J817" s="119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4"/>
    </row>
    <row r="818" ht="14.25" customHeight="1">
      <c r="F818" s="119"/>
      <c r="G818" s="119"/>
      <c r="H818" s="120"/>
      <c r="I818" s="119"/>
      <c r="J818" s="119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4"/>
    </row>
    <row r="819" ht="14.25" customHeight="1">
      <c r="F819" s="119"/>
      <c r="G819" s="119"/>
      <c r="H819" s="120"/>
      <c r="I819" s="119"/>
      <c r="J819" s="119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4"/>
    </row>
    <row r="820" ht="14.25" customHeight="1">
      <c r="F820" s="119"/>
      <c r="G820" s="119"/>
      <c r="H820" s="120"/>
      <c r="I820" s="119"/>
      <c r="J820" s="119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4"/>
    </row>
    <row r="821" ht="14.25" customHeight="1">
      <c r="F821" s="119"/>
      <c r="G821" s="119"/>
      <c r="H821" s="120"/>
      <c r="I821" s="119"/>
      <c r="J821" s="119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4"/>
    </row>
    <row r="822" ht="14.25" customHeight="1">
      <c r="F822" s="119"/>
      <c r="G822" s="119"/>
      <c r="H822" s="120"/>
      <c r="I822" s="119"/>
      <c r="J822" s="119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4"/>
    </row>
    <row r="823" ht="14.25" customHeight="1">
      <c r="F823" s="119"/>
      <c r="G823" s="119"/>
      <c r="H823" s="120"/>
      <c r="I823" s="119"/>
      <c r="J823" s="119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4"/>
    </row>
    <row r="824" ht="14.25" customHeight="1">
      <c r="F824" s="119"/>
      <c r="G824" s="119"/>
      <c r="H824" s="120"/>
      <c r="I824" s="119"/>
      <c r="J824" s="119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4"/>
    </row>
    <row r="825" ht="14.25" customHeight="1">
      <c r="F825" s="119"/>
      <c r="G825" s="119"/>
      <c r="H825" s="120"/>
      <c r="I825" s="119"/>
      <c r="J825" s="119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4"/>
    </row>
    <row r="826" ht="14.25" customHeight="1">
      <c r="F826" s="119"/>
      <c r="G826" s="119"/>
      <c r="H826" s="120"/>
      <c r="I826" s="119"/>
      <c r="J826" s="119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4"/>
    </row>
    <row r="827" ht="14.25" customHeight="1">
      <c r="F827" s="119"/>
      <c r="G827" s="119"/>
      <c r="H827" s="120"/>
      <c r="I827" s="119"/>
      <c r="J827" s="119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4"/>
    </row>
    <row r="828" ht="14.25" customHeight="1">
      <c r="F828" s="119"/>
      <c r="G828" s="119"/>
      <c r="H828" s="120"/>
      <c r="I828" s="119"/>
      <c r="J828" s="119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4"/>
    </row>
    <row r="829" ht="14.25" customHeight="1">
      <c r="F829" s="119"/>
      <c r="G829" s="119"/>
      <c r="H829" s="120"/>
      <c r="I829" s="119"/>
      <c r="J829" s="119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4"/>
    </row>
    <row r="830" ht="14.25" customHeight="1">
      <c r="F830" s="119"/>
      <c r="G830" s="119"/>
      <c r="H830" s="120"/>
      <c r="I830" s="119"/>
      <c r="J830" s="119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4"/>
    </row>
    <row r="831" ht="14.25" customHeight="1">
      <c r="F831" s="119"/>
      <c r="G831" s="119"/>
      <c r="H831" s="120"/>
      <c r="I831" s="119"/>
      <c r="J831" s="119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4"/>
    </row>
    <row r="832" ht="14.25" customHeight="1">
      <c r="F832" s="119"/>
      <c r="G832" s="119"/>
      <c r="H832" s="120"/>
      <c r="I832" s="119"/>
      <c r="J832" s="119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4"/>
    </row>
    <row r="833" ht="14.25" customHeight="1">
      <c r="F833" s="119"/>
      <c r="G833" s="119"/>
      <c r="H833" s="120"/>
      <c r="I833" s="119"/>
      <c r="J833" s="119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4"/>
    </row>
    <row r="834" ht="14.25" customHeight="1">
      <c r="F834" s="119"/>
      <c r="G834" s="119"/>
      <c r="H834" s="120"/>
      <c r="I834" s="119"/>
      <c r="J834" s="119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4"/>
    </row>
    <row r="835" ht="14.25" customHeight="1">
      <c r="F835" s="119"/>
      <c r="G835" s="119"/>
      <c r="H835" s="120"/>
      <c r="I835" s="119"/>
      <c r="J835" s="119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4"/>
    </row>
    <row r="836" ht="14.25" customHeight="1">
      <c r="F836" s="119"/>
      <c r="G836" s="119"/>
      <c r="H836" s="120"/>
      <c r="I836" s="119"/>
      <c r="J836" s="119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4"/>
    </row>
    <row r="837" ht="14.25" customHeight="1">
      <c r="F837" s="119"/>
      <c r="G837" s="119"/>
      <c r="H837" s="120"/>
      <c r="I837" s="119"/>
      <c r="J837" s="119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4"/>
    </row>
    <row r="838" ht="14.25" customHeight="1">
      <c r="F838" s="119"/>
      <c r="G838" s="119"/>
      <c r="H838" s="120"/>
      <c r="I838" s="119"/>
      <c r="J838" s="119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4"/>
    </row>
    <row r="839" ht="14.25" customHeight="1">
      <c r="F839" s="119"/>
      <c r="G839" s="119"/>
      <c r="H839" s="120"/>
      <c r="I839" s="119"/>
      <c r="J839" s="119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4"/>
    </row>
    <row r="840" ht="14.25" customHeight="1">
      <c r="F840" s="119"/>
      <c r="G840" s="119"/>
      <c r="H840" s="120"/>
      <c r="I840" s="119"/>
      <c r="J840" s="119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4"/>
    </row>
    <row r="841" ht="14.25" customHeight="1">
      <c r="F841" s="119"/>
      <c r="G841" s="119"/>
      <c r="H841" s="120"/>
      <c r="I841" s="119"/>
      <c r="J841" s="119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4"/>
    </row>
    <row r="842" ht="14.25" customHeight="1">
      <c r="F842" s="119"/>
      <c r="G842" s="119"/>
      <c r="H842" s="120"/>
      <c r="I842" s="119"/>
      <c r="J842" s="119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4"/>
    </row>
    <row r="843" ht="14.25" customHeight="1">
      <c r="F843" s="119"/>
      <c r="G843" s="119"/>
      <c r="H843" s="120"/>
      <c r="I843" s="119"/>
      <c r="J843" s="119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4"/>
    </row>
    <row r="844" ht="14.25" customHeight="1">
      <c r="F844" s="119"/>
      <c r="G844" s="119"/>
      <c r="H844" s="120"/>
      <c r="I844" s="119"/>
      <c r="J844" s="119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4"/>
    </row>
    <row r="845" ht="14.25" customHeight="1">
      <c r="F845" s="119"/>
      <c r="G845" s="119"/>
      <c r="H845" s="120"/>
      <c r="I845" s="119"/>
      <c r="J845" s="119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4"/>
    </row>
    <row r="846" ht="14.25" customHeight="1">
      <c r="F846" s="119"/>
      <c r="G846" s="119"/>
      <c r="H846" s="120"/>
      <c r="I846" s="119"/>
      <c r="J846" s="119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4"/>
    </row>
    <row r="847" ht="14.25" customHeight="1">
      <c r="F847" s="119"/>
      <c r="G847" s="119"/>
      <c r="H847" s="120"/>
      <c r="I847" s="119"/>
      <c r="J847" s="119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4"/>
    </row>
    <row r="848" ht="14.25" customHeight="1">
      <c r="F848" s="119"/>
      <c r="G848" s="119"/>
      <c r="H848" s="120"/>
      <c r="I848" s="119"/>
      <c r="J848" s="119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4"/>
    </row>
    <row r="849" ht="14.25" customHeight="1">
      <c r="F849" s="119"/>
      <c r="G849" s="119"/>
      <c r="H849" s="120"/>
      <c r="I849" s="119"/>
      <c r="J849" s="119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4"/>
    </row>
    <row r="850" ht="14.25" customHeight="1">
      <c r="F850" s="119"/>
      <c r="G850" s="119"/>
      <c r="H850" s="120"/>
      <c r="I850" s="119"/>
      <c r="J850" s="119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4"/>
    </row>
    <row r="851" ht="14.25" customHeight="1">
      <c r="F851" s="119"/>
      <c r="G851" s="119"/>
      <c r="H851" s="120"/>
      <c r="I851" s="119"/>
      <c r="J851" s="119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4"/>
    </row>
    <row r="852" ht="14.25" customHeight="1">
      <c r="F852" s="119"/>
      <c r="G852" s="119"/>
      <c r="H852" s="120"/>
      <c r="I852" s="119"/>
      <c r="J852" s="119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4"/>
    </row>
    <row r="853" ht="14.25" customHeight="1">
      <c r="F853" s="119"/>
      <c r="G853" s="119"/>
      <c r="H853" s="120"/>
      <c r="I853" s="119"/>
      <c r="J853" s="119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4"/>
    </row>
    <row r="854" ht="14.25" customHeight="1">
      <c r="F854" s="119"/>
      <c r="G854" s="119"/>
      <c r="H854" s="120"/>
      <c r="I854" s="119"/>
      <c r="J854" s="119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4"/>
    </row>
    <row r="855" ht="14.25" customHeight="1">
      <c r="F855" s="119"/>
      <c r="G855" s="119"/>
      <c r="H855" s="120"/>
      <c r="I855" s="119"/>
      <c r="J855" s="119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4"/>
    </row>
    <row r="856" ht="14.25" customHeight="1">
      <c r="F856" s="119"/>
      <c r="G856" s="119"/>
      <c r="H856" s="120"/>
      <c r="I856" s="119"/>
      <c r="J856" s="119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4"/>
    </row>
    <row r="857" ht="14.25" customHeight="1">
      <c r="F857" s="119"/>
      <c r="G857" s="119"/>
      <c r="H857" s="120"/>
      <c r="I857" s="119"/>
      <c r="J857" s="119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4"/>
    </row>
    <row r="858" ht="14.25" customHeight="1">
      <c r="F858" s="119"/>
      <c r="G858" s="119"/>
      <c r="H858" s="120"/>
      <c r="I858" s="119"/>
      <c r="J858" s="119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4"/>
    </row>
    <row r="859" ht="14.25" customHeight="1">
      <c r="F859" s="119"/>
      <c r="G859" s="119"/>
      <c r="H859" s="120"/>
      <c r="I859" s="119"/>
      <c r="J859" s="119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4"/>
    </row>
    <row r="860" ht="14.25" customHeight="1">
      <c r="F860" s="119"/>
      <c r="G860" s="119"/>
      <c r="H860" s="120"/>
      <c r="I860" s="119"/>
      <c r="J860" s="119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4"/>
    </row>
    <row r="861" ht="14.25" customHeight="1">
      <c r="F861" s="119"/>
      <c r="G861" s="119"/>
      <c r="H861" s="120"/>
      <c r="I861" s="119"/>
      <c r="J861" s="119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4"/>
    </row>
    <row r="862" ht="14.25" customHeight="1">
      <c r="F862" s="119"/>
      <c r="G862" s="119"/>
      <c r="H862" s="120"/>
      <c r="I862" s="119"/>
      <c r="J862" s="119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4"/>
    </row>
    <row r="863" ht="14.25" customHeight="1">
      <c r="F863" s="119"/>
      <c r="G863" s="119"/>
      <c r="H863" s="120"/>
      <c r="I863" s="119"/>
      <c r="J863" s="119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4"/>
    </row>
    <row r="864" ht="14.25" customHeight="1">
      <c r="F864" s="119"/>
      <c r="G864" s="119"/>
      <c r="H864" s="120"/>
      <c r="I864" s="119"/>
      <c r="J864" s="119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4"/>
    </row>
    <row r="865" ht="14.25" customHeight="1">
      <c r="F865" s="119"/>
      <c r="G865" s="119"/>
      <c r="H865" s="120"/>
      <c r="I865" s="119"/>
      <c r="J865" s="119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4"/>
    </row>
    <row r="866" ht="14.25" customHeight="1">
      <c r="F866" s="119"/>
      <c r="G866" s="119"/>
      <c r="H866" s="120"/>
      <c r="I866" s="119"/>
      <c r="J866" s="119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4"/>
    </row>
    <row r="867" ht="14.25" customHeight="1">
      <c r="F867" s="119"/>
      <c r="G867" s="119"/>
      <c r="H867" s="120"/>
      <c r="I867" s="119"/>
      <c r="J867" s="119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4"/>
    </row>
    <row r="868" ht="14.25" customHeight="1">
      <c r="F868" s="119"/>
      <c r="G868" s="119"/>
      <c r="H868" s="120"/>
      <c r="I868" s="119"/>
      <c r="J868" s="119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4"/>
    </row>
    <row r="869" ht="14.25" customHeight="1">
      <c r="F869" s="119"/>
      <c r="G869" s="119"/>
      <c r="H869" s="120"/>
      <c r="I869" s="119"/>
      <c r="J869" s="119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4"/>
    </row>
    <row r="870" ht="14.25" customHeight="1">
      <c r="F870" s="119"/>
      <c r="G870" s="119"/>
      <c r="H870" s="120"/>
      <c r="I870" s="119"/>
      <c r="J870" s="119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4"/>
    </row>
    <row r="871" ht="14.25" customHeight="1">
      <c r="F871" s="119"/>
      <c r="G871" s="119"/>
      <c r="H871" s="120"/>
      <c r="I871" s="119"/>
      <c r="J871" s="119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4"/>
    </row>
    <row r="872" ht="14.25" customHeight="1">
      <c r="F872" s="119"/>
      <c r="G872" s="119"/>
      <c r="H872" s="120"/>
      <c r="I872" s="119"/>
      <c r="J872" s="119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4"/>
    </row>
    <row r="873" ht="14.25" customHeight="1">
      <c r="F873" s="119"/>
      <c r="G873" s="119"/>
      <c r="H873" s="120"/>
      <c r="I873" s="119"/>
      <c r="J873" s="119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4"/>
    </row>
    <row r="874" ht="14.25" customHeight="1">
      <c r="F874" s="119"/>
      <c r="G874" s="119"/>
      <c r="H874" s="120"/>
      <c r="I874" s="119"/>
      <c r="J874" s="119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4"/>
    </row>
    <row r="875" ht="14.25" customHeight="1">
      <c r="F875" s="119"/>
      <c r="G875" s="119"/>
      <c r="H875" s="120"/>
      <c r="I875" s="119"/>
      <c r="J875" s="119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4"/>
    </row>
    <row r="876" ht="14.25" customHeight="1">
      <c r="F876" s="119"/>
      <c r="G876" s="119"/>
      <c r="H876" s="120"/>
      <c r="I876" s="119"/>
      <c r="J876" s="119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4"/>
    </row>
    <row r="877" ht="14.25" customHeight="1">
      <c r="F877" s="119"/>
      <c r="G877" s="119"/>
      <c r="H877" s="120"/>
      <c r="I877" s="119"/>
      <c r="J877" s="119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4"/>
    </row>
    <row r="878" ht="14.25" customHeight="1">
      <c r="F878" s="119"/>
      <c r="G878" s="119"/>
      <c r="H878" s="120"/>
      <c r="I878" s="119"/>
      <c r="J878" s="119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4"/>
    </row>
    <row r="879" ht="14.25" customHeight="1">
      <c r="F879" s="119"/>
      <c r="G879" s="119"/>
      <c r="H879" s="120"/>
      <c r="I879" s="119"/>
      <c r="J879" s="119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4"/>
    </row>
    <row r="880" ht="14.25" customHeight="1">
      <c r="F880" s="119"/>
      <c r="G880" s="119"/>
      <c r="H880" s="120"/>
      <c r="I880" s="119"/>
      <c r="J880" s="119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4"/>
    </row>
    <row r="881" ht="14.25" customHeight="1">
      <c r="F881" s="119"/>
      <c r="G881" s="119"/>
      <c r="H881" s="120"/>
      <c r="I881" s="119"/>
      <c r="J881" s="119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4"/>
    </row>
    <row r="882" ht="14.25" customHeight="1">
      <c r="F882" s="119"/>
      <c r="G882" s="119"/>
      <c r="H882" s="120"/>
      <c r="I882" s="119"/>
      <c r="J882" s="119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4"/>
    </row>
    <row r="883" ht="14.25" customHeight="1">
      <c r="F883" s="119"/>
      <c r="G883" s="119"/>
      <c r="H883" s="120"/>
      <c r="I883" s="119"/>
      <c r="J883" s="119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4"/>
    </row>
    <row r="884" ht="14.25" customHeight="1">
      <c r="F884" s="119"/>
      <c r="G884" s="119"/>
      <c r="H884" s="120"/>
      <c r="I884" s="119"/>
      <c r="J884" s="119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4"/>
    </row>
    <row r="885" ht="14.25" customHeight="1">
      <c r="F885" s="119"/>
      <c r="G885" s="119"/>
      <c r="H885" s="120"/>
      <c r="I885" s="119"/>
      <c r="J885" s="119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4"/>
    </row>
    <row r="886" ht="14.25" customHeight="1">
      <c r="F886" s="119"/>
      <c r="G886" s="119"/>
      <c r="H886" s="120"/>
      <c r="I886" s="119"/>
      <c r="J886" s="119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4"/>
    </row>
    <row r="887" ht="14.25" customHeight="1">
      <c r="F887" s="119"/>
      <c r="G887" s="119"/>
      <c r="H887" s="120"/>
      <c r="I887" s="119"/>
      <c r="J887" s="119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4"/>
    </row>
    <row r="888" ht="14.25" customHeight="1">
      <c r="F888" s="119"/>
      <c r="G888" s="119"/>
      <c r="H888" s="120"/>
      <c r="I888" s="119"/>
      <c r="J888" s="119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4"/>
    </row>
    <row r="889" ht="14.25" customHeight="1">
      <c r="F889" s="119"/>
      <c r="G889" s="119"/>
      <c r="H889" s="120"/>
      <c r="I889" s="119"/>
      <c r="J889" s="119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4"/>
    </row>
    <row r="890" ht="14.25" customHeight="1">
      <c r="F890" s="119"/>
      <c r="G890" s="119"/>
      <c r="H890" s="120"/>
      <c r="I890" s="119"/>
      <c r="J890" s="119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4"/>
    </row>
    <row r="891" ht="14.25" customHeight="1">
      <c r="F891" s="119"/>
      <c r="G891" s="119"/>
      <c r="H891" s="120"/>
      <c r="I891" s="119"/>
      <c r="J891" s="119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4"/>
    </row>
    <row r="892" ht="14.25" customHeight="1">
      <c r="F892" s="119"/>
      <c r="G892" s="119"/>
      <c r="H892" s="120"/>
      <c r="I892" s="119"/>
      <c r="J892" s="119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4"/>
    </row>
    <row r="893" ht="14.25" customHeight="1">
      <c r="F893" s="119"/>
      <c r="G893" s="119"/>
      <c r="H893" s="120"/>
      <c r="I893" s="119"/>
      <c r="J893" s="119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4"/>
    </row>
    <row r="894" ht="14.25" customHeight="1">
      <c r="F894" s="119"/>
      <c r="G894" s="119"/>
      <c r="H894" s="120"/>
      <c r="I894" s="119"/>
      <c r="J894" s="119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4"/>
    </row>
    <row r="895" ht="14.25" customHeight="1">
      <c r="F895" s="119"/>
      <c r="G895" s="119"/>
      <c r="H895" s="120"/>
      <c r="I895" s="119"/>
      <c r="J895" s="119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4"/>
    </row>
    <row r="896" ht="14.25" customHeight="1">
      <c r="F896" s="119"/>
      <c r="G896" s="119"/>
      <c r="H896" s="120"/>
      <c r="I896" s="119"/>
      <c r="J896" s="119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4"/>
    </row>
    <row r="897" ht="14.25" customHeight="1">
      <c r="F897" s="119"/>
      <c r="G897" s="119"/>
      <c r="H897" s="120"/>
      <c r="I897" s="119"/>
      <c r="J897" s="119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4"/>
    </row>
    <row r="898" ht="14.25" customHeight="1">
      <c r="F898" s="119"/>
      <c r="G898" s="119"/>
      <c r="H898" s="120"/>
      <c r="I898" s="119"/>
      <c r="J898" s="119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4"/>
    </row>
    <row r="899" ht="14.25" customHeight="1">
      <c r="F899" s="119"/>
      <c r="G899" s="119"/>
      <c r="H899" s="120"/>
      <c r="I899" s="119"/>
      <c r="J899" s="119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4"/>
    </row>
    <row r="900" ht="14.25" customHeight="1">
      <c r="F900" s="119"/>
      <c r="G900" s="119"/>
      <c r="H900" s="120"/>
      <c r="I900" s="119"/>
      <c r="J900" s="119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4"/>
    </row>
    <row r="901" ht="14.25" customHeight="1">
      <c r="F901" s="119"/>
      <c r="G901" s="119"/>
      <c r="H901" s="120"/>
      <c r="I901" s="119"/>
      <c r="J901" s="119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4"/>
    </row>
    <row r="902" ht="14.25" customHeight="1">
      <c r="F902" s="119"/>
      <c r="G902" s="119"/>
      <c r="H902" s="120"/>
      <c r="I902" s="119"/>
      <c r="J902" s="119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4"/>
    </row>
    <row r="903" ht="14.25" customHeight="1">
      <c r="F903" s="119"/>
      <c r="G903" s="119"/>
      <c r="H903" s="120"/>
      <c r="I903" s="119"/>
      <c r="J903" s="119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4"/>
    </row>
    <row r="904" ht="14.25" customHeight="1">
      <c r="F904" s="119"/>
      <c r="G904" s="119"/>
      <c r="H904" s="120"/>
      <c r="I904" s="119"/>
      <c r="J904" s="119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4"/>
    </row>
    <row r="905" ht="14.25" customHeight="1">
      <c r="F905" s="119"/>
      <c r="G905" s="119"/>
      <c r="H905" s="120"/>
      <c r="I905" s="119"/>
      <c r="J905" s="119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4"/>
    </row>
    <row r="906" ht="14.25" customHeight="1">
      <c r="F906" s="119"/>
      <c r="G906" s="119"/>
      <c r="H906" s="120"/>
      <c r="I906" s="119"/>
      <c r="J906" s="119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4"/>
    </row>
    <row r="907" ht="14.25" customHeight="1">
      <c r="F907" s="119"/>
      <c r="G907" s="119"/>
      <c r="H907" s="120"/>
      <c r="I907" s="119"/>
      <c r="J907" s="119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4"/>
    </row>
    <row r="908" ht="14.25" customHeight="1">
      <c r="F908" s="119"/>
      <c r="G908" s="119"/>
      <c r="H908" s="120"/>
      <c r="I908" s="119"/>
      <c r="J908" s="119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4"/>
    </row>
    <row r="909" ht="14.25" customHeight="1">
      <c r="F909" s="119"/>
      <c r="G909" s="119"/>
      <c r="H909" s="120"/>
      <c r="I909" s="119"/>
      <c r="J909" s="119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4"/>
    </row>
    <row r="910" ht="14.25" customHeight="1">
      <c r="F910" s="119"/>
      <c r="G910" s="119"/>
      <c r="H910" s="120"/>
      <c r="I910" s="119"/>
      <c r="J910" s="119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4"/>
    </row>
    <row r="911" ht="14.25" customHeight="1">
      <c r="F911" s="119"/>
      <c r="G911" s="119"/>
      <c r="H911" s="120"/>
      <c r="I911" s="119"/>
      <c r="J911" s="119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4"/>
    </row>
    <row r="912" ht="14.25" customHeight="1">
      <c r="F912" s="119"/>
      <c r="G912" s="119"/>
      <c r="H912" s="120"/>
      <c r="I912" s="119"/>
      <c r="J912" s="119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4"/>
    </row>
    <row r="913" ht="14.25" customHeight="1">
      <c r="F913" s="119"/>
      <c r="G913" s="119"/>
      <c r="H913" s="120"/>
      <c r="I913" s="119"/>
      <c r="J913" s="119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4"/>
    </row>
    <row r="914" ht="14.25" customHeight="1">
      <c r="F914" s="119"/>
      <c r="G914" s="119"/>
      <c r="H914" s="120"/>
      <c r="I914" s="119"/>
      <c r="J914" s="119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4"/>
    </row>
    <row r="915" ht="14.25" customHeight="1">
      <c r="F915" s="119"/>
      <c r="G915" s="119"/>
      <c r="H915" s="120"/>
      <c r="I915" s="119"/>
      <c r="J915" s="119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4"/>
    </row>
    <row r="916" ht="14.25" customHeight="1">
      <c r="F916" s="119"/>
      <c r="G916" s="119"/>
      <c r="H916" s="120"/>
      <c r="I916" s="119"/>
      <c r="J916" s="119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4"/>
    </row>
    <row r="917" ht="14.25" customHeight="1">
      <c r="F917" s="119"/>
      <c r="G917" s="119"/>
      <c r="H917" s="120"/>
      <c r="I917" s="119"/>
      <c r="J917" s="119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4"/>
    </row>
    <row r="918" ht="14.25" customHeight="1">
      <c r="F918" s="119"/>
      <c r="G918" s="119"/>
      <c r="H918" s="120"/>
      <c r="I918" s="119"/>
      <c r="J918" s="119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4"/>
    </row>
    <row r="919" ht="14.25" customHeight="1">
      <c r="F919" s="119"/>
      <c r="G919" s="119"/>
      <c r="H919" s="120"/>
      <c r="I919" s="119"/>
      <c r="J919" s="119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4"/>
    </row>
    <row r="920" ht="14.25" customHeight="1">
      <c r="F920" s="119"/>
      <c r="G920" s="119"/>
      <c r="H920" s="120"/>
      <c r="I920" s="119"/>
      <c r="J920" s="119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4"/>
    </row>
    <row r="921" ht="14.25" customHeight="1">
      <c r="F921" s="119"/>
      <c r="G921" s="119"/>
      <c r="H921" s="120"/>
      <c r="I921" s="119"/>
      <c r="J921" s="119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4"/>
    </row>
    <row r="922" ht="14.25" customHeight="1">
      <c r="F922" s="119"/>
      <c r="G922" s="119"/>
      <c r="H922" s="120"/>
      <c r="I922" s="119"/>
      <c r="J922" s="119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4"/>
    </row>
    <row r="923" ht="14.25" customHeight="1">
      <c r="F923" s="119"/>
      <c r="G923" s="119"/>
      <c r="H923" s="120"/>
      <c r="I923" s="119"/>
      <c r="J923" s="119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4"/>
    </row>
    <row r="924" ht="14.25" customHeight="1">
      <c r="F924" s="119"/>
      <c r="G924" s="119"/>
      <c r="H924" s="120"/>
      <c r="I924" s="119"/>
      <c r="J924" s="119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4"/>
    </row>
    <row r="925" ht="14.25" customHeight="1">
      <c r="F925" s="119"/>
      <c r="G925" s="119"/>
      <c r="H925" s="120"/>
      <c r="I925" s="119"/>
      <c r="J925" s="119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4"/>
    </row>
    <row r="926" ht="14.25" customHeight="1">
      <c r="F926" s="119"/>
      <c r="G926" s="119"/>
      <c r="H926" s="120"/>
      <c r="I926" s="119"/>
      <c r="J926" s="119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4"/>
    </row>
    <row r="927" ht="14.25" customHeight="1">
      <c r="F927" s="119"/>
      <c r="G927" s="119"/>
      <c r="H927" s="120"/>
      <c r="I927" s="119"/>
      <c r="J927" s="119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4"/>
    </row>
    <row r="928" ht="14.25" customHeight="1">
      <c r="F928" s="119"/>
      <c r="G928" s="119"/>
      <c r="H928" s="120"/>
      <c r="I928" s="119"/>
      <c r="J928" s="119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4"/>
    </row>
    <row r="929" ht="14.25" customHeight="1">
      <c r="F929" s="119"/>
      <c r="G929" s="119"/>
      <c r="H929" s="120"/>
      <c r="I929" s="119"/>
      <c r="J929" s="119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4"/>
    </row>
    <row r="930" ht="14.25" customHeight="1">
      <c r="F930" s="119"/>
      <c r="G930" s="119"/>
      <c r="H930" s="120"/>
      <c r="I930" s="119"/>
      <c r="J930" s="119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4"/>
    </row>
    <row r="931" ht="14.25" customHeight="1">
      <c r="F931" s="119"/>
      <c r="G931" s="119"/>
      <c r="H931" s="120"/>
      <c r="I931" s="119"/>
      <c r="J931" s="119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4"/>
    </row>
    <row r="932" ht="14.25" customHeight="1">
      <c r="F932" s="119"/>
      <c r="G932" s="119"/>
      <c r="H932" s="120"/>
      <c r="I932" s="119"/>
      <c r="J932" s="119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4"/>
    </row>
    <row r="933" ht="14.25" customHeight="1">
      <c r="F933" s="119"/>
      <c r="G933" s="119"/>
      <c r="H933" s="120"/>
      <c r="I933" s="119"/>
      <c r="J933" s="119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4"/>
    </row>
    <row r="934" ht="14.25" customHeight="1">
      <c r="F934" s="119"/>
      <c r="G934" s="119"/>
      <c r="H934" s="120"/>
      <c r="I934" s="119"/>
      <c r="J934" s="119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4"/>
    </row>
    <row r="935" ht="14.25" customHeight="1">
      <c r="F935" s="119"/>
      <c r="G935" s="119"/>
      <c r="H935" s="120"/>
      <c r="I935" s="119"/>
      <c r="J935" s="119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4"/>
    </row>
    <row r="936" ht="14.25" customHeight="1">
      <c r="F936" s="119"/>
      <c r="G936" s="119"/>
      <c r="H936" s="120"/>
      <c r="I936" s="119"/>
      <c r="J936" s="119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4"/>
    </row>
    <row r="937" ht="14.25" customHeight="1">
      <c r="F937" s="119"/>
      <c r="G937" s="119"/>
      <c r="H937" s="120"/>
      <c r="I937" s="119"/>
      <c r="J937" s="119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4"/>
    </row>
    <row r="938" ht="14.25" customHeight="1">
      <c r="F938" s="119"/>
      <c r="G938" s="119"/>
      <c r="H938" s="120"/>
      <c r="I938" s="119"/>
      <c r="J938" s="119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4"/>
    </row>
    <row r="939" ht="14.25" customHeight="1">
      <c r="F939" s="119"/>
      <c r="G939" s="119"/>
      <c r="H939" s="120"/>
      <c r="I939" s="119"/>
      <c r="J939" s="119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4"/>
    </row>
    <row r="940" ht="14.25" customHeight="1">
      <c r="F940" s="119"/>
      <c r="G940" s="119"/>
      <c r="H940" s="120"/>
      <c r="I940" s="119"/>
      <c r="J940" s="119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4"/>
    </row>
    <row r="941" ht="14.25" customHeight="1">
      <c r="F941" s="119"/>
      <c r="G941" s="119"/>
      <c r="H941" s="120"/>
      <c r="I941" s="119"/>
      <c r="J941" s="119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4"/>
    </row>
    <row r="942" ht="14.25" customHeight="1">
      <c r="F942" s="119"/>
      <c r="G942" s="119"/>
      <c r="H942" s="120"/>
      <c r="I942" s="119"/>
      <c r="J942" s="119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4"/>
    </row>
    <row r="943" ht="14.25" customHeight="1">
      <c r="F943" s="119"/>
      <c r="G943" s="119"/>
      <c r="H943" s="120"/>
      <c r="I943" s="119"/>
      <c r="J943" s="119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4"/>
    </row>
    <row r="944" ht="14.25" customHeight="1">
      <c r="F944" s="119"/>
      <c r="G944" s="119"/>
      <c r="H944" s="120"/>
      <c r="I944" s="119"/>
      <c r="J944" s="119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4"/>
    </row>
    <row r="945" ht="14.25" customHeight="1">
      <c r="F945" s="119"/>
      <c r="G945" s="119"/>
      <c r="H945" s="120"/>
      <c r="I945" s="119"/>
      <c r="J945" s="119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4"/>
    </row>
    <row r="946" ht="14.25" customHeight="1">
      <c r="F946" s="119"/>
      <c r="G946" s="119"/>
      <c r="H946" s="120"/>
      <c r="I946" s="119"/>
      <c r="J946" s="119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4"/>
    </row>
    <row r="947" ht="14.25" customHeight="1">
      <c r="F947" s="119"/>
      <c r="G947" s="119"/>
      <c r="H947" s="120"/>
      <c r="I947" s="119"/>
      <c r="J947" s="119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4"/>
    </row>
    <row r="948" ht="14.25" customHeight="1">
      <c r="F948" s="119"/>
      <c r="G948" s="119"/>
      <c r="H948" s="120"/>
      <c r="I948" s="119"/>
      <c r="J948" s="119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4"/>
    </row>
    <row r="949" ht="14.25" customHeight="1">
      <c r="F949" s="119"/>
      <c r="G949" s="119"/>
      <c r="H949" s="120"/>
      <c r="I949" s="119"/>
      <c r="J949" s="119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4"/>
    </row>
    <row r="950" ht="14.25" customHeight="1">
      <c r="F950" s="119"/>
      <c r="G950" s="119"/>
      <c r="H950" s="120"/>
      <c r="I950" s="119"/>
      <c r="J950" s="119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4"/>
    </row>
    <row r="951" ht="14.25" customHeight="1">
      <c r="F951" s="119"/>
      <c r="G951" s="119"/>
      <c r="H951" s="120"/>
      <c r="I951" s="119"/>
      <c r="J951" s="119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4"/>
    </row>
    <row r="952" ht="14.25" customHeight="1">
      <c r="F952" s="119"/>
      <c r="G952" s="119"/>
      <c r="H952" s="120"/>
      <c r="I952" s="119"/>
      <c r="J952" s="119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4"/>
    </row>
    <row r="953" ht="14.25" customHeight="1">
      <c r="F953" s="119"/>
      <c r="G953" s="119"/>
      <c r="H953" s="120"/>
      <c r="I953" s="119"/>
      <c r="J953" s="119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4"/>
    </row>
    <row r="954" ht="14.25" customHeight="1">
      <c r="F954" s="119"/>
      <c r="G954" s="119"/>
      <c r="H954" s="120"/>
      <c r="I954" s="119"/>
      <c r="J954" s="119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4"/>
    </row>
    <row r="955" ht="14.25" customHeight="1">
      <c r="F955" s="119"/>
      <c r="G955" s="119"/>
      <c r="H955" s="120"/>
      <c r="I955" s="119"/>
      <c r="J955" s="119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4"/>
    </row>
    <row r="956" ht="14.25" customHeight="1">
      <c r="F956" s="119"/>
      <c r="G956" s="119"/>
      <c r="H956" s="120"/>
      <c r="I956" s="119"/>
      <c r="J956" s="119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4"/>
    </row>
    <row r="957" ht="14.25" customHeight="1">
      <c r="F957" s="119"/>
      <c r="G957" s="119"/>
      <c r="H957" s="120"/>
      <c r="I957" s="119"/>
      <c r="J957" s="119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4"/>
    </row>
    <row r="958" ht="14.25" customHeight="1">
      <c r="F958" s="119"/>
      <c r="G958" s="119"/>
      <c r="H958" s="120"/>
      <c r="I958" s="119"/>
      <c r="J958" s="119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4"/>
    </row>
    <row r="959" ht="14.25" customHeight="1">
      <c r="F959" s="119"/>
      <c r="G959" s="119"/>
      <c r="H959" s="120"/>
      <c r="I959" s="119"/>
      <c r="J959" s="119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4"/>
    </row>
    <row r="960" ht="14.25" customHeight="1">
      <c r="F960" s="119"/>
      <c r="G960" s="119"/>
      <c r="H960" s="120"/>
      <c r="I960" s="119"/>
      <c r="J960" s="119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4"/>
    </row>
    <row r="961" ht="14.25" customHeight="1">
      <c r="F961" s="119"/>
      <c r="G961" s="119"/>
      <c r="H961" s="120"/>
      <c r="I961" s="119"/>
      <c r="J961" s="119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4"/>
    </row>
    <row r="962" ht="14.25" customHeight="1">
      <c r="F962" s="119"/>
      <c r="G962" s="119"/>
      <c r="H962" s="120"/>
      <c r="I962" s="119"/>
      <c r="J962" s="119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4"/>
    </row>
    <row r="963" ht="14.25" customHeight="1">
      <c r="F963" s="119"/>
      <c r="G963" s="119"/>
      <c r="H963" s="120"/>
      <c r="I963" s="119"/>
      <c r="J963" s="119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4"/>
    </row>
    <row r="964" ht="14.25" customHeight="1">
      <c r="F964" s="119"/>
      <c r="G964" s="119"/>
      <c r="H964" s="120"/>
      <c r="I964" s="119"/>
      <c r="J964" s="119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4"/>
    </row>
    <row r="965" ht="14.25" customHeight="1">
      <c r="F965" s="119"/>
      <c r="G965" s="119"/>
      <c r="H965" s="120"/>
      <c r="I965" s="119"/>
      <c r="J965" s="119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4"/>
    </row>
    <row r="966" ht="14.25" customHeight="1">
      <c r="F966" s="119"/>
      <c r="G966" s="119"/>
      <c r="H966" s="120"/>
      <c r="I966" s="119"/>
      <c r="J966" s="119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4"/>
    </row>
    <row r="967" ht="14.25" customHeight="1">
      <c r="F967" s="119"/>
      <c r="G967" s="119"/>
      <c r="H967" s="120"/>
      <c r="I967" s="119"/>
      <c r="J967" s="119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4"/>
    </row>
    <row r="968" ht="14.25" customHeight="1">
      <c r="F968" s="119"/>
      <c r="G968" s="119"/>
      <c r="H968" s="120"/>
      <c r="I968" s="119"/>
      <c r="J968" s="119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4"/>
    </row>
    <row r="969" ht="14.25" customHeight="1">
      <c r="F969" s="119"/>
      <c r="G969" s="119"/>
      <c r="H969" s="120"/>
      <c r="I969" s="119"/>
      <c r="J969" s="119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4"/>
    </row>
    <row r="970" ht="14.25" customHeight="1">
      <c r="F970" s="119"/>
      <c r="G970" s="119"/>
      <c r="H970" s="120"/>
      <c r="I970" s="119"/>
      <c r="J970" s="119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4"/>
    </row>
    <row r="971" ht="14.25" customHeight="1">
      <c r="F971" s="119"/>
      <c r="G971" s="119"/>
      <c r="H971" s="120"/>
      <c r="I971" s="119"/>
      <c r="J971" s="119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4"/>
    </row>
    <row r="972" ht="14.25" customHeight="1">
      <c r="F972" s="119"/>
      <c r="G972" s="119"/>
      <c r="H972" s="120"/>
      <c r="I972" s="119"/>
      <c r="J972" s="119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4"/>
    </row>
    <row r="973" ht="14.25" customHeight="1">
      <c r="F973" s="119"/>
      <c r="G973" s="119"/>
      <c r="H973" s="120"/>
      <c r="I973" s="119"/>
      <c r="J973" s="119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4"/>
    </row>
    <row r="974" ht="14.25" customHeight="1">
      <c r="F974" s="119"/>
      <c r="G974" s="119"/>
      <c r="H974" s="120"/>
      <c r="I974" s="119"/>
      <c r="J974" s="119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4"/>
    </row>
    <row r="975" ht="14.25" customHeight="1">
      <c r="F975" s="119"/>
      <c r="G975" s="119"/>
      <c r="H975" s="120"/>
      <c r="I975" s="119"/>
      <c r="J975" s="119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4"/>
    </row>
    <row r="976" ht="14.25" customHeight="1">
      <c r="F976" s="119"/>
      <c r="G976" s="119"/>
      <c r="H976" s="120"/>
      <c r="I976" s="119"/>
      <c r="J976" s="119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4"/>
    </row>
    <row r="977" ht="14.25" customHeight="1">
      <c r="F977" s="119"/>
      <c r="G977" s="119"/>
      <c r="H977" s="120"/>
      <c r="I977" s="119"/>
      <c r="J977" s="119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4"/>
    </row>
    <row r="978" ht="14.25" customHeight="1">
      <c r="F978" s="119"/>
      <c r="G978" s="119"/>
      <c r="H978" s="120"/>
      <c r="I978" s="119"/>
      <c r="J978" s="119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4"/>
    </row>
    <row r="979" ht="14.25" customHeight="1">
      <c r="F979" s="119"/>
      <c r="G979" s="119"/>
      <c r="H979" s="120"/>
      <c r="I979" s="119"/>
      <c r="J979" s="119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4"/>
    </row>
    <row r="980" ht="14.25" customHeight="1">
      <c r="F980" s="119"/>
      <c r="G980" s="119"/>
      <c r="H980" s="120"/>
      <c r="I980" s="119"/>
      <c r="J980" s="119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4"/>
    </row>
    <row r="981" ht="14.25" customHeight="1">
      <c r="F981" s="119"/>
      <c r="G981" s="119"/>
      <c r="H981" s="120"/>
      <c r="I981" s="119"/>
      <c r="J981" s="119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4"/>
    </row>
    <row r="982" ht="14.25" customHeight="1">
      <c r="F982" s="119"/>
      <c r="G982" s="119"/>
      <c r="H982" s="120"/>
      <c r="I982" s="119"/>
      <c r="J982" s="119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4"/>
    </row>
    <row r="983" ht="14.25" customHeight="1">
      <c r="F983" s="119"/>
      <c r="G983" s="119"/>
      <c r="H983" s="120"/>
      <c r="I983" s="119"/>
      <c r="J983" s="119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4"/>
    </row>
    <row r="984" ht="14.25" customHeight="1">
      <c r="F984" s="119"/>
      <c r="G984" s="119"/>
      <c r="H984" s="120"/>
      <c r="I984" s="119"/>
      <c r="J984" s="119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4"/>
    </row>
    <row r="985" ht="14.25" customHeight="1">
      <c r="F985" s="119"/>
      <c r="G985" s="119"/>
      <c r="H985" s="120"/>
      <c r="I985" s="119"/>
      <c r="J985" s="119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4"/>
    </row>
    <row r="986" ht="14.25" customHeight="1">
      <c r="F986" s="119"/>
      <c r="G986" s="119"/>
      <c r="H986" s="120"/>
      <c r="I986" s="119"/>
      <c r="J986" s="119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4"/>
    </row>
    <row r="987" ht="14.25" customHeight="1">
      <c r="F987" s="119"/>
      <c r="G987" s="119"/>
      <c r="H987" s="120"/>
      <c r="I987" s="119"/>
      <c r="J987" s="119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4"/>
    </row>
    <row r="988" ht="14.25" customHeight="1">
      <c r="F988" s="119"/>
      <c r="G988" s="119"/>
      <c r="H988" s="120"/>
      <c r="I988" s="119"/>
      <c r="J988" s="119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4"/>
    </row>
    <row r="989" ht="14.25" customHeight="1">
      <c r="F989" s="119"/>
      <c r="G989" s="119"/>
      <c r="H989" s="120"/>
      <c r="I989" s="119"/>
      <c r="J989" s="119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4"/>
    </row>
    <row r="990" ht="14.25" customHeight="1">
      <c r="F990" s="119"/>
      <c r="G990" s="119"/>
      <c r="H990" s="120"/>
      <c r="I990" s="119"/>
      <c r="J990" s="119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4"/>
    </row>
    <row r="991" ht="14.25" customHeight="1">
      <c r="F991" s="119"/>
      <c r="G991" s="119"/>
      <c r="H991" s="120"/>
      <c r="I991" s="119"/>
      <c r="J991" s="119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4"/>
    </row>
    <row r="992" ht="14.25" customHeight="1">
      <c r="F992" s="119"/>
      <c r="G992" s="119"/>
      <c r="H992" s="120"/>
      <c r="I992" s="119"/>
      <c r="J992" s="119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4"/>
    </row>
    <row r="993" ht="14.25" customHeight="1">
      <c r="F993" s="119"/>
      <c r="G993" s="119"/>
      <c r="H993" s="120"/>
      <c r="I993" s="119"/>
      <c r="J993" s="119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4"/>
    </row>
    <row r="994" ht="14.25" customHeight="1">
      <c r="F994" s="119"/>
      <c r="G994" s="119"/>
      <c r="H994" s="120"/>
      <c r="I994" s="119"/>
      <c r="J994" s="119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4"/>
    </row>
    <row r="995" ht="14.25" customHeight="1">
      <c r="F995" s="119"/>
      <c r="G995" s="119"/>
      <c r="H995" s="120"/>
      <c r="I995" s="119"/>
      <c r="J995" s="119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4"/>
    </row>
    <row r="996" ht="14.25" customHeight="1">
      <c r="F996" s="119"/>
      <c r="G996" s="119"/>
      <c r="H996" s="120"/>
      <c r="I996" s="119"/>
      <c r="J996" s="119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4"/>
    </row>
    <row r="997" ht="14.25" customHeight="1">
      <c r="F997" s="119"/>
      <c r="G997" s="119"/>
      <c r="H997" s="120"/>
      <c r="I997" s="119"/>
      <c r="J997" s="119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4"/>
    </row>
    <row r="998" ht="14.25" customHeight="1">
      <c r="F998" s="119"/>
      <c r="G998" s="119"/>
      <c r="H998" s="120"/>
      <c r="I998" s="119"/>
      <c r="J998" s="119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4"/>
    </row>
    <row r="999" ht="14.25" customHeight="1">
      <c r="F999" s="119"/>
      <c r="G999" s="119"/>
      <c r="H999" s="120"/>
      <c r="I999" s="119"/>
      <c r="J999" s="119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4"/>
    </row>
    <row r="1000" ht="14.25" customHeight="1">
      <c r="F1000" s="119"/>
      <c r="G1000" s="119"/>
      <c r="H1000" s="120"/>
      <c r="I1000" s="119"/>
      <c r="J1000" s="119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4"/>
    </row>
  </sheetData>
  <autoFilter ref="$A$9:$AH$56"/>
  <mergeCells count="46">
    <mergeCell ref="AD9:AD10"/>
    <mergeCell ref="AE9:AE10"/>
    <mergeCell ref="A2:AE2"/>
    <mergeCell ref="A3:AE3"/>
    <mergeCell ref="A4:AD4"/>
    <mergeCell ref="A5:AE5"/>
    <mergeCell ref="A6:AE6"/>
    <mergeCell ref="A8:AE8"/>
    <mergeCell ref="A9: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64:L64"/>
    <mergeCell ref="A66:I66"/>
    <mergeCell ref="J9:J10"/>
    <mergeCell ref="K9:K10"/>
    <mergeCell ref="A60:L60"/>
    <mergeCell ref="A61:L61"/>
    <mergeCell ref="A62:L62"/>
    <mergeCell ref="A63:L63"/>
    <mergeCell ref="A65:AE65"/>
    <mergeCell ref="B9:B10"/>
    <mergeCell ref="C9:C10"/>
    <mergeCell ref="D9:D10"/>
    <mergeCell ref="E9:E10"/>
    <mergeCell ref="F9:F10"/>
    <mergeCell ref="G9:G10"/>
    <mergeCell ref="H9:H10"/>
    <mergeCell ref="I9:I10"/>
    <mergeCell ref="L9:L10"/>
    <mergeCell ref="M9:M10"/>
    <mergeCell ref="N9:N10"/>
    <mergeCell ref="O9:O10"/>
    <mergeCell ref="AD66:AE66"/>
    <mergeCell ref="A67:AE6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71"/>
    <col customWidth="1" min="3" max="3" width="11.43"/>
    <col customWidth="1" hidden="1" min="4" max="4" width="14.71"/>
    <col customWidth="1" min="5" max="5" width="17.29"/>
    <col customWidth="1" min="6" max="6" width="12.86"/>
    <col customWidth="1" min="7" max="7" width="11.14"/>
    <col customWidth="1" min="8" max="8" width="31.29"/>
    <col customWidth="1" min="9" max="9" width="9.71"/>
    <col customWidth="1" min="10" max="10" width="14.43"/>
    <col customWidth="1" min="11" max="11" width="14.29"/>
    <col customWidth="1" min="12" max="12" width="7.29"/>
    <col customWidth="1" min="13" max="13" width="12.43"/>
    <col customWidth="1" min="14" max="17" width="11.14"/>
    <col customWidth="1" min="18" max="18" width="16.71"/>
    <col customWidth="1" min="19" max="19" width="15.86"/>
    <col customWidth="1" min="20" max="20" width="9.71"/>
    <col customWidth="1" min="21" max="21" width="8.71"/>
    <col customWidth="1" min="22" max="22" width="20.0"/>
    <col customWidth="1" min="23" max="23" width="22.86"/>
    <col customWidth="1" min="24" max="26" width="8.71"/>
  </cols>
  <sheetData>
    <row r="1" ht="14.25" customHeight="1"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4"/>
    </row>
    <row r="2" ht="14.25" customHeight="1">
      <c r="A2" s="5" t="s">
        <v>173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ht="17.2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ht="14.25" customHeight="1">
      <c r="A6" s="11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ht="14.25" customHeight="1">
      <c r="A7" s="11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ht="14.25" customHeight="1">
      <c r="A8" s="11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ht="14.25" customHeight="1">
      <c r="A9" s="11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ht="14.25" customHeight="1">
      <c r="A10" s="11"/>
      <c r="B10" s="12"/>
      <c r="C10" s="12"/>
      <c r="D10" s="12"/>
      <c r="E10" s="12"/>
      <c r="F10" s="12"/>
      <c r="G10" s="12"/>
      <c r="H10" s="12"/>
      <c r="I10" s="13"/>
      <c r="J10" s="13"/>
      <c r="K10" s="13"/>
      <c r="L10" s="15"/>
      <c r="M10" s="15"/>
      <c r="N10" s="15"/>
      <c r="O10" s="15"/>
      <c r="P10" s="15"/>
      <c r="Q10" s="15"/>
      <c r="R10" s="15"/>
      <c r="S10" s="15"/>
      <c r="T10" s="16"/>
    </row>
    <row r="11" ht="18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</row>
    <row r="12" ht="29.25" customHeight="1">
      <c r="A12" s="20" t="s">
        <v>12</v>
      </c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  <c r="G12" s="21" t="s">
        <v>18</v>
      </c>
      <c r="H12" s="21" t="s">
        <v>19</v>
      </c>
      <c r="I12" s="22" t="s">
        <v>20</v>
      </c>
      <c r="J12" s="22" t="s">
        <v>21</v>
      </c>
      <c r="K12" s="22" t="s">
        <v>22</v>
      </c>
      <c r="L12" s="23" t="s">
        <v>24</v>
      </c>
      <c r="M12" s="23" t="s">
        <v>25</v>
      </c>
      <c r="N12" s="23" t="s">
        <v>26</v>
      </c>
      <c r="O12" s="23" t="s">
        <v>28</v>
      </c>
      <c r="P12" s="25" t="s">
        <v>29</v>
      </c>
      <c r="Q12" s="26"/>
      <c r="R12" s="23" t="s">
        <v>32</v>
      </c>
      <c r="S12" s="23" t="s">
        <v>33</v>
      </c>
      <c r="T12" s="27" t="s">
        <v>34</v>
      </c>
    </row>
    <row r="13" ht="27.0" customHeight="1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 t="s">
        <v>35</v>
      </c>
      <c r="R13" s="30"/>
      <c r="S13" s="30"/>
      <c r="T13" s="33"/>
    </row>
    <row r="14" ht="14.25" customHeight="1">
      <c r="A14" s="42">
        <v>1.0</v>
      </c>
      <c r="B14" s="44">
        <v>46053.0</v>
      </c>
      <c r="C14" s="44">
        <v>46054.0</v>
      </c>
      <c r="D14" s="37"/>
      <c r="E14" s="37" t="s">
        <v>49</v>
      </c>
      <c r="F14" s="123" t="s">
        <v>183</v>
      </c>
      <c r="G14" s="42" t="s">
        <v>184</v>
      </c>
      <c r="H14" s="37" t="s">
        <v>44</v>
      </c>
      <c r="I14" s="48"/>
      <c r="J14" s="43"/>
      <c r="K14" s="43">
        <v>7300000.0</v>
      </c>
      <c r="L14" s="46"/>
      <c r="M14" s="47"/>
      <c r="N14" s="46"/>
      <c r="O14" s="47"/>
      <c r="P14" s="47"/>
      <c r="Q14" s="47"/>
      <c r="R14" s="47"/>
      <c r="S14" s="47">
        <f t="shared" ref="S14:S17" si="1">K14</f>
        <v>7300000</v>
      </c>
      <c r="T14" s="52"/>
      <c r="U14" s="53"/>
      <c r="V14" s="54"/>
      <c r="W14" s="54"/>
      <c r="X14" s="53"/>
      <c r="Y14" s="53"/>
      <c r="Z14" s="53"/>
    </row>
    <row r="15" ht="14.25" customHeight="1">
      <c r="A15" s="42">
        <f>A14+1</f>
        <v>2</v>
      </c>
      <c r="B15" s="44">
        <v>46053.0</v>
      </c>
      <c r="C15" s="44">
        <v>46053.0</v>
      </c>
      <c r="D15" s="37"/>
      <c r="E15" s="37" t="s">
        <v>113</v>
      </c>
      <c r="F15" s="123" t="s">
        <v>190</v>
      </c>
      <c r="G15" s="42" t="s">
        <v>184</v>
      </c>
      <c r="H15" s="37" t="s">
        <v>44</v>
      </c>
      <c r="I15" s="48"/>
      <c r="J15" s="43"/>
      <c r="K15" s="43">
        <v>7300000.0</v>
      </c>
      <c r="L15" s="57"/>
      <c r="M15" s="47"/>
      <c r="N15" s="57"/>
      <c r="O15" s="47"/>
      <c r="P15" s="47"/>
      <c r="Q15" s="47"/>
      <c r="R15" s="47"/>
      <c r="S15" s="47">
        <f t="shared" si="1"/>
        <v>7300000</v>
      </c>
      <c r="T15" s="52"/>
      <c r="U15" s="53"/>
      <c r="V15" s="54"/>
      <c r="W15" s="54"/>
      <c r="X15" s="53"/>
      <c r="Y15" s="53"/>
      <c r="Z15" s="53"/>
    </row>
    <row r="16" ht="15.75" customHeight="1">
      <c r="A16" s="42">
        <v>3.0</v>
      </c>
      <c r="B16" s="44">
        <v>46053.0</v>
      </c>
      <c r="C16" s="44">
        <v>46054.0</v>
      </c>
      <c r="D16" s="37"/>
      <c r="E16" s="37" t="s">
        <v>49</v>
      </c>
      <c r="F16" s="123" t="s">
        <v>193</v>
      </c>
      <c r="G16" s="42" t="s">
        <v>184</v>
      </c>
      <c r="H16" s="37" t="s">
        <v>44</v>
      </c>
      <c r="I16" s="48"/>
      <c r="J16" s="43"/>
      <c r="K16" s="43">
        <v>7300000.0</v>
      </c>
      <c r="L16" s="57"/>
      <c r="M16" s="47"/>
      <c r="N16" s="57"/>
      <c r="O16" s="47"/>
      <c r="P16" s="47"/>
      <c r="Q16" s="47"/>
      <c r="R16" s="47"/>
      <c r="S16" s="47">
        <f t="shared" si="1"/>
        <v>7300000</v>
      </c>
      <c r="T16" s="52"/>
      <c r="U16" s="53"/>
      <c r="V16" s="53"/>
      <c r="W16" s="53"/>
      <c r="X16" s="53"/>
      <c r="Y16" s="53"/>
      <c r="Z16" s="53"/>
    </row>
    <row r="17" ht="14.25" customHeight="1">
      <c r="A17" s="42">
        <f>A16+1</f>
        <v>4</v>
      </c>
      <c r="B17" s="44">
        <v>46053.0</v>
      </c>
      <c r="C17" s="44">
        <v>46053.0</v>
      </c>
      <c r="D17" s="37"/>
      <c r="E17" s="37" t="s">
        <v>113</v>
      </c>
      <c r="F17" s="123" t="s">
        <v>195</v>
      </c>
      <c r="G17" s="42" t="s">
        <v>184</v>
      </c>
      <c r="H17" s="37" t="s">
        <v>44</v>
      </c>
      <c r="I17" s="48"/>
      <c r="J17" s="43"/>
      <c r="K17" s="43">
        <v>7300000.0</v>
      </c>
      <c r="L17" s="57"/>
      <c r="M17" s="47"/>
      <c r="N17" s="57"/>
      <c r="O17" s="47"/>
      <c r="P17" s="47"/>
      <c r="Q17" s="47"/>
      <c r="R17" s="47"/>
      <c r="S17" s="47">
        <f t="shared" si="1"/>
        <v>7300000</v>
      </c>
      <c r="T17" s="52"/>
      <c r="U17" s="53"/>
      <c r="V17" s="53"/>
      <c r="W17" s="53"/>
      <c r="X17" s="53"/>
      <c r="Y17" s="53"/>
      <c r="Z17" s="53"/>
    </row>
    <row r="18" ht="17.25" customHeight="1">
      <c r="A18" s="42">
        <v>5.0</v>
      </c>
      <c r="B18" s="44">
        <v>46054.0</v>
      </c>
      <c r="C18" s="44">
        <v>46057.0</v>
      </c>
      <c r="D18" s="37"/>
      <c r="E18" s="37" t="s">
        <v>49</v>
      </c>
      <c r="F18" s="123" t="s">
        <v>196</v>
      </c>
      <c r="G18" s="42" t="s">
        <v>184</v>
      </c>
      <c r="H18" s="37" t="s">
        <v>44</v>
      </c>
      <c r="I18" s="48"/>
      <c r="J18" s="43"/>
      <c r="K18" s="43">
        <v>7300000.0</v>
      </c>
      <c r="L18" s="57">
        <v>1.0</v>
      </c>
      <c r="M18" s="47">
        <v>1000000.0</v>
      </c>
      <c r="N18" s="57">
        <v>1.0</v>
      </c>
      <c r="O18" s="47">
        <v>500000.0</v>
      </c>
      <c r="P18" s="47"/>
      <c r="Q18" s="47"/>
      <c r="R18" s="47"/>
      <c r="S18" s="47">
        <f t="shared" ref="S18:S20" si="2">K18+M18+O18</f>
        <v>8800000</v>
      </c>
      <c r="T18" s="52"/>
      <c r="U18" s="53"/>
      <c r="V18" s="53"/>
      <c r="W18" s="53"/>
      <c r="X18" s="53"/>
      <c r="Y18" s="53"/>
      <c r="Z18" s="53"/>
    </row>
    <row r="19" ht="14.25" customHeight="1">
      <c r="A19" s="42">
        <v>6.0</v>
      </c>
      <c r="B19" s="44">
        <v>46054.0</v>
      </c>
      <c r="C19" s="44">
        <v>46056.0</v>
      </c>
      <c r="D19" s="37"/>
      <c r="E19" s="37" t="s">
        <v>113</v>
      </c>
      <c r="F19" s="123" t="s">
        <v>198</v>
      </c>
      <c r="G19" s="42" t="s">
        <v>184</v>
      </c>
      <c r="H19" s="37" t="s">
        <v>44</v>
      </c>
      <c r="I19" s="48"/>
      <c r="J19" s="43"/>
      <c r="K19" s="43">
        <v>7300000.0</v>
      </c>
      <c r="L19" s="57">
        <v>1.0</v>
      </c>
      <c r="M19" s="47">
        <v>1000000.0</v>
      </c>
      <c r="N19" s="57">
        <v>1.0</v>
      </c>
      <c r="O19" s="47">
        <v>500000.0</v>
      </c>
      <c r="P19" s="47"/>
      <c r="Q19" s="47"/>
      <c r="R19" s="47"/>
      <c r="S19" s="47">
        <f t="shared" si="2"/>
        <v>8800000</v>
      </c>
      <c r="T19" s="52"/>
      <c r="U19" s="53"/>
      <c r="V19" s="53"/>
      <c r="W19" s="53"/>
      <c r="X19" s="53"/>
      <c r="Y19" s="53"/>
      <c r="Z19" s="53"/>
    </row>
    <row r="20" ht="14.25" customHeight="1">
      <c r="A20" s="42">
        <f>A19+1</f>
        <v>7</v>
      </c>
      <c r="B20" s="44">
        <v>46054.0</v>
      </c>
      <c r="C20" s="44">
        <v>46055.0</v>
      </c>
      <c r="D20" s="37"/>
      <c r="E20" s="37" t="s">
        <v>52</v>
      </c>
      <c r="F20" s="125" t="s">
        <v>199</v>
      </c>
      <c r="G20" s="42" t="s">
        <v>184</v>
      </c>
      <c r="H20" s="37" t="s">
        <v>44</v>
      </c>
      <c r="I20" s="48"/>
      <c r="J20" s="43"/>
      <c r="K20" s="43">
        <v>7300000.0</v>
      </c>
      <c r="L20" s="57">
        <v>1.0</v>
      </c>
      <c r="M20" s="47">
        <v>1000000.0</v>
      </c>
      <c r="N20" s="57">
        <v>1.0</v>
      </c>
      <c r="O20" s="47">
        <v>500000.0</v>
      </c>
      <c r="P20" s="47"/>
      <c r="Q20" s="47"/>
      <c r="R20" s="47"/>
      <c r="S20" s="47">
        <f t="shared" si="2"/>
        <v>8800000</v>
      </c>
      <c r="T20" s="52"/>
      <c r="U20" s="53"/>
      <c r="V20" s="53"/>
      <c r="W20" s="53"/>
      <c r="X20" s="53"/>
      <c r="Y20" s="53"/>
      <c r="Z20" s="53"/>
    </row>
    <row r="21" ht="14.25" customHeight="1">
      <c r="A21" s="42">
        <v>8.0</v>
      </c>
      <c r="B21" s="44">
        <v>46054.0</v>
      </c>
      <c r="C21" s="44">
        <v>46055.0</v>
      </c>
      <c r="D21" s="37"/>
      <c r="E21" s="37" t="s">
        <v>52</v>
      </c>
      <c r="F21" s="68" t="s">
        <v>201</v>
      </c>
      <c r="G21" s="42" t="s">
        <v>184</v>
      </c>
      <c r="H21" s="37" t="s">
        <v>56</v>
      </c>
      <c r="I21" s="48"/>
      <c r="J21" s="43"/>
      <c r="K21" s="43">
        <v>6300000.0</v>
      </c>
      <c r="L21" s="57"/>
      <c r="M21" s="47"/>
      <c r="N21" s="57"/>
      <c r="O21" s="47"/>
      <c r="P21" s="47"/>
      <c r="Q21" s="47"/>
      <c r="R21" s="47"/>
      <c r="S21" s="47">
        <f t="shared" ref="S21:S26" si="3">K21</f>
        <v>6300000</v>
      </c>
      <c r="T21" s="52"/>
      <c r="U21" s="53"/>
      <c r="V21" s="53"/>
      <c r="W21" s="53"/>
      <c r="X21" s="53"/>
      <c r="Y21" s="53"/>
      <c r="Z21" s="53"/>
    </row>
    <row r="22" ht="14.25" customHeight="1">
      <c r="A22" s="126">
        <f>A21+1</f>
        <v>9</v>
      </c>
      <c r="B22" s="127">
        <v>46054.0</v>
      </c>
      <c r="C22" s="127">
        <v>46055.0</v>
      </c>
      <c r="D22" s="128"/>
      <c r="E22" s="128" t="s">
        <v>49</v>
      </c>
      <c r="F22" s="129" t="s">
        <v>204</v>
      </c>
      <c r="G22" s="42" t="s">
        <v>184</v>
      </c>
      <c r="H22" s="128" t="s">
        <v>56</v>
      </c>
      <c r="I22" s="130"/>
      <c r="J22" s="75"/>
      <c r="K22" s="75">
        <v>6300000.0</v>
      </c>
      <c r="L22" s="57"/>
      <c r="M22" s="47"/>
      <c r="N22" s="57"/>
      <c r="O22" s="47"/>
      <c r="P22" s="47"/>
      <c r="Q22" s="47"/>
      <c r="R22" s="47"/>
      <c r="S22" s="47">
        <f t="shared" si="3"/>
        <v>6300000</v>
      </c>
      <c r="T22" s="52"/>
      <c r="U22" s="53"/>
      <c r="V22" s="53"/>
      <c r="W22" s="53"/>
      <c r="X22" s="53"/>
      <c r="Y22" s="53"/>
      <c r="Z22" s="53"/>
    </row>
    <row r="23" ht="14.25" customHeight="1">
      <c r="A23" s="131">
        <v>10.0</v>
      </c>
      <c r="B23" s="44">
        <v>46056.0</v>
      </c>
      <c r="C23" s="44">
        <v>46057.0</v>
      </c>
      <c r="D23" s="132"/>
      <c r="E23" s="37" t="s">
        <v>52</v>
      </c>
      <c r="F23" s="133" t="s">
        <v>201</v>
      </c>
      <c r="G23" s="42" t="s">
        <v>184</v>
      </c>
      <c r="H23" s="37" t="s">
        <v>44</v>
      </c>
      <c r="I23" s="132"/>
      <c r="J23" s="132"/>
      <c r="K23" s="43">
        <v>7300000.0</v>
      </c>
      <c r="L23" s="57"/>
      <c r="M23" s="47"/>
      <c r="N23" s="57"/>
      <c r="O23" s="47"/>
      <c r="P23" s="47"/>
      <c r="Q23" s="47"/>
      <c r="R23" s="47"/>
      <c r="S23" s="47">
        <f t="shared" si="3"/>
        <v>7300000</v>
      </c>
      <c r="T23" s="52"/>
      <c r="U23" s="53"/>
      <c r="V23" s="53"/>
      <c r="W23" s="53"/>
      <c r="X23" s="53"/>
      <c r="Y23" s="53"/>
      <c r="Z23" s="53"/>
    </row>
    <row r="24" ht="14.25" customHeight="1">
      <c r="A24" s="131">
        <v>11.0</v>
      </c>
      <c r="B24" s="44">
        <v>46056.0</v>
      </c>
      <c r="C24" s="44">
        <v>46056.0</v>
      </c>
      <c r="D24" s="37"/>
      <c r="E24" s="128" t="s">
        <v>49</v>
      </c>
      <c r="F24" s="133" t="s">
        <v>207</v>
      </c>
      <c r="G24" s="42" t="s">
        <v>184</v>
      </c>
      <c r="H24" s="37" t="s">
        <v>44</v>
      </c>
      <c r="I24" s="48"/>
      <c r="J24" s="75"/>
      <c r="K24" s="43">
        <v>7300000.0</v>
      </c>
      <c r="L24" s="57"/>
      <c r="M24" s="47"/>
      <c r="N24" s="57"/>
      <c r="O24" s="47"/>
      <c r="P24" s="47"/>
      <c r="Q24" s="47"/>
      <c r="R24" s="47"/>
      <c r="S24" s="47">
        <f t="shared" si="3"/>
        <v>7300000</v>
      </c>
      <c r="T24" s="52"/>
      <c r="U24" s="53"/>
      <c r="V24" s="53"/>
      <c r="W24" s="53"/>
      <c r="X24" s="53"/>
      <c r="Y24" s="53"/>
      <c r="Z24" s="53"/>
    </row>
    <row r="25" ht="14.25" customHeight="1">
      <c r="A25" s="135">
        <v>12.0</v>
      </c>
      <c r="B25" s="44">
        <v>46059.0</v>
      </c>
      <c r="C25" s="44">
        <v>46060.0</v>
      </c>
      <c r="D25" s="47"/>
      <c r="E25" s="136" t="s">
        <v>113</v>
      </c>
      <c r="F25" s="136" t="s">
        <v>212</v>
      </c>
      <c r="G25" s="42" t="s">
        <v>184</v>
      </c>
      <c r="H25" s="37" t="s">
        <v>44</v>
      </c>
      <c r="I25" s="137"/>
      <c r="J25" s="132"/>
      <c r="K25" s="43">
        <v>7300000.0</v>
      </c>
      <c r="L25" s="132"/>
      <c r="M25" s="132"/>
      <c r="N25" s="132"/>
      <c r="O25" s="132"/>
      <c r="P25" s="132"/>
      <c r="Q25" s="132"/>
      <c r="R25" s="132"/>
      <c r="S25" s="138">
        <f t="shared" si="3"/>
        <v>7300000</v>
      </c>
      <c r="T25" s="132"/>
      <c r="U25" s="53"/>
      <c r="V25" s="53"/>
      <c r="W25" s="53"/>
      <c r="X25" s="53"/>
      <c r="Y25" s="53"/>
      <c r="Z25" s="53"/>
    </row>
    <row r="26" ht="14.25" customHeight="1">
      <c r="A26" s="139">
        <v>13.0</v>
      </c>
      <c r="B26" s="44">
        <v>46063.0</v>
      </c>
      <c r="C26" s="44">
        <v>46063.0</v>
      </c>
      <c r="D26" s="140"/>
      <c r="E26" s="133" t="s">
        <v>52</v>
      </c>
      <c r="F26" s="133" t="s">
        <v>214</v>
      </c>
      <c r="G26" s="42" t="s">
        <v>184</v>
      </c>
      <c r="H26" s="37" t="s">
        <v>44</v>
      </c>
      <c r="I26" s="140"/>
      <c r="J26" s="141"/>
      <c r="K26" s="43">
        <v>7300000.0</v>
      </c>
      <c r="L26" s="57"/>
      <c r="M26" s="47"/>
      <c r="N26" s="57"/>
      <c r="O26" s="47"/>
      <c r="P26" s="47"/>
      <c r="Q26" s="47"/>
      <c r="R26" s="47"/>
      <c r="S26" s="47">
        <f t="shared" si="3"/>
        <v>7300000</v>
      </c>
      <c r="T26" s="52"/>
      <c r="U26" s="143"/>
      <c r="V26" s="143"/>
      <c r="W26" s="143"/>
      <c r="X26" s="143"/>
      <c r="Y26" s="143"/>
      <c r="Z26" s="143"/>
    </row>
    <row r="27" ht="14.25" customHeight="1">
      <c r="A27" s="42"/>
      <c r="B27" s="44"/>
      <c r="C27" s="44"/>
      <c r="D27" s="37"/>
      <c r="E27" s="37"/>
      <c r="F27" s="133"/>
      <c r="G27" s="42"/>
      <c r="H27" s="37"/>
      <c r="I27" s="48"/>
      <c r="J27" s="43"/>
      <c r="K27" s="43"/>
      <c r="L27" s="57"/>
      <c r="M27" s="47"/>
      <c r="N27" s="57"/>
      <c r="O27" s="47"/>
      <c r="P27" s="47"/>
      <c r="Q27" s="47"/>
      <c r="R27" s="47"/>
      <c r="S27" s="47"/>
      <c r="T27" s="52"/>
      <c r="U27" s="53"/>
      <c r="V27" s="53"/>
      <c r="W27" s="53"/>
      <c r="X27" s="53"/>
      <c r="Y27" s="53"/>
      <c r="Z27" s="53"/>
    </row>
    <row r="28" ht="14.25" customHeight="1">
      <c r="A28" s="42"/>
      <c r="B28" s="44"/>
      <c r="C28" s="44"/>
      <c r="D28" s="37"/>
      <c r="E28" s="37"/>
      <c r="F28" s="133"/>
      <c r="G28" s="42"/>
      <c r="H28" s="37"/>
      <c r="I28" s="48"/>
      <c r="J28" s="43"/>
      <c r="K28" s="43"/>
      <c r="L28" s="57"/>
      <c r="M28" s="47"/>
      <c r="N28" s="57"/>
      <c r="O28" s="47"/>
      <c r="P28" s="47"/>
      <c r="Q28" s="47"/>
      <c r="R28" s="47"/>
      <c r="S28" s="47"/>
      <c r="T28" s="52"/>
      <c r="U28" s="53"/>
      <c r="V28" s="53"/>
      <c r="W28" s="53"/>
      <c r="X28" s="53"/>
      <c r="Y28" s="53"/>
      <c r="Z28" s="53"/>
    </row>
    <row r="29" ht="14.25" customHeight="1">
      <c r="A29" s="53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57"/>
      <c r="M29" s="47"/>
      <c r="N29" s="57"/>
      <c r="O29" s="47"/>
      <c r="P29" s="47"/>
      <c r="Q29" s="47"/>
      <c r="R29" s="47"/>
      <c r="S29" s="47"/>
      <c r="T29" s="52"/>
      <c r="U29" s="53"/>
      <c r="V29" s="53"/>
      <c r="W29" s="53"/>
      <c r="X29" s="53"/>
      <c r="Y29" s="53"/>
      <c r="Z29" s="53"/>
    </row>
    <row r="30" ht="14.25" customHeight="1">
      <c r="A30" s="79" t="s">
        <v>73</v>
      </c>
      <c r="B30" s="80"/>
      <c r="C30" s="80"/>
      <c r="D30" s="80"/>
      <c r="E30" s="80"/>
      <c r="F30" s="80"/>
      <c r="G30" s="80"/>
      <c r="H30" s="81"/>
      <c r="I30" s="77">
        <f t="shared" ref="I30:K30" si="4">SUM(I14:I21)</f>
        <v>0</v>
      </c>
      <c r="J30" s="77">
        <f t="shared" si="4"/>
        <v>0</v>
      </c>
      <c r="K30" s="77">
        <f t="shared" si="4"/>
        <v>57400000</v>
      </c>
      <c r="L30" s="77">
        <f t="shared" ref="L30:O30" si="5">SUM(L14:L29)</f>
        <v>3</v>
      </c>
      <c r="M30" s="77">
        <f t="shared" si="5"/>
        <v>3000000</v>
      </c>
      <c r="N30" s="77">
        <f t="shared" si="5"/>
        <v>3</v>
      </c>
      <c r="O30" s="77">
        <f t="shared" si="5"/>
        <v>1500000</v>
      </c>
      <c r="P30" s="77"/>
      <c r="Q30" s="77"/>
      <c r="R30" s="77">
        <f t="shared" ref="R30:S30" si="6">SUM(R14:R29)</f>
        <v>0</v>
      </c>
      <c r="S30" s="77">
        <f t="shared" si="6"/>
        <v>97400000</v>
      </c>
      <c r="T30" s="78"/>
    </row>
    <row r="31" ht="17.25" customHeight="1">
      <c r="A31" s="79" t="s">
        <v>76</v>
      </c>
      <c r="B31" s="80"/>
      <c r="C31" s="80"/>
      <c r="D31" s="80"/>
      <c r="E31" s="80"/>
      <c r="F31" s="80"/>
      <c r="G31" s="80"/>
      <c r="H31" s="81"/>
      <c r="I31" s="83"/>
      <c r="J31" s="83"/>
      <c r="K31" s="85">
        <f>K30</f>
        <v>57400000</v>
      </c>
      <c r="L31" s="85"/>
      <c r="M31" s="85"/>
      <c r="N31" s="85"/>
      <c r="O31" s="85"/>
      <c r="P31" s="85"/>
      <c r="Q31" s="85"/>
      <c r="R31" s="85">
        <f t="shared" ref="R31:S31" si="7">SUM(R14:R29)</f>
        <v>0</v>
      </c>
      <c r="S31" s="85">
        <f t="shared" si="7"/>
        <v>97400000</v>
      </c>
      <c r="T31" s="87"/>
    </row>
    <row r="32" ht="17.25" customHeight="1">
      <c r="A32" s="79" t="s">
        <v>83</v>
      </c>
      <c r="B32" s="80"/>
      <c r="C32" s="80"/>
      <c r="D32" s="80"/>
      <c r="E32" s="80"/>
      <c r="F32" s="80"/>
      <c r="G32" s="80"/>
      <c r="H32" s="88"/>
      <c r="I32" s="89"/>
      <c r="J32" s="89"/>
      <c r="K32" s="90"/>
      <c r="L32" s="85"/>
      <c r="M32" s="85"/>
      <c r="N32" s="85"/>
      <c r="O32" s="85"/>
      <c r="P32" s="85"/>
      <c r="Q32" s="85"/>
      <c r="R32" s="85"/>
      <c r="S32" s="91">
        <f>S31-R31</f>
        <v>97400000</v>
      </c>
      <c r="T32" s="87"/>
    </row>
    <row r="33" ht="17.25" customHeight="1">
      <c r="A33" s="79" t="s">
        <v>86</v>
      </c>
      <c r="B33" s="80"/>
      <c r="C33" s="80"/>
      <c r="D33" s="80"/>
      <c r="E33" s="80"/>
      <c r="F33" s="80"/>
      <c r="G33" s="80"/>
      <c r="H33" s="81"/>
      <c r="I33" s="83"/>
      <c r="J33" s="83"/>
      <c r="K33" s="85">
        <f>K31*8%</f>
        <v>4592000</v>
      </c>
      <c r="L33" s="85"/>
      <c r="M33" s="85"/>
      <c r="N33" s="85"/>
      <c r="O33" s="85"/>
      <c r="P33" s="85"/>
      <c r="Q33" s="85"/>
      <c r="R33" s="85"/>
      <c r="S33" s="85">
        <f>S31*0.08</f>
        <v>7792000</v>
      </c>
      <c r="T33" s="87"/>
    </row>
    <row r="34" ht="17.25" customHeight="1">
      <c r="A34" s="79" t="s">
        <v>88</v>
      </c>
      <c r="B34" s="80"/>
      <c r="C34" s="80"/>
      <c r="D34" s="80"/>
      <c r="E34" s="80"/>
      <c r="F34" s="80"/>
      <c r="G34" s="80"/>
      <c r="H34" s="81"/>
      <c r="I34" s="83"/>
      <c r="J34" s="83"/>
      <c r="K34" s="85">
        <f>K31+K33</f>
        <v>61992000</v>
      </c>
      <c r="L34" s="85"/>
      <c r="M34" s="85"/>
      <c r="N34" s="85"/>
      <c r="O34" s="85"/>
      <c r="P34" s="85"/>
      <c r="Q34" s="85"/>
      <c r="R34" s="85"/>
      <c r="S34" s="85">
        <f>S31+S33</f>
        <v>105192000</v>
      </c>
      <c r="T34" s="87"/>
    </row>
    <row r="35" ht="14.25" customHeight="1">
      <c r="A35" s="93" t="s">
        <v>89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5"/>
    </row>
    <row r="36" ht="37.5" customHeight="1">
      <c r="A36" s="96"/>
      <c r="B36" s="97"/>
      <c r="C36" s="97"/>
      <c r="D36" s="97"/>
      <c r="E36" s="97"/>
      <c r="F36" s="98"/>
      <c r="G36" s="99"/>
      <c r="H36" s="99"/>
      <c r="I36" s="100"/>
      <c r="J36" s="100"/>
      <c r="K36" s="100"/>
      <c r="L36" s="101"/>
      <c r="M36" s="101"/>
      <c r="N36" s="101"/>
      <c r="O36" s="101"/>
      <c r="P36" s="101"/>
      <c r="Q36" s="101"/>
      <c r="R36" s="101"/>
      <c r="S36" s="102"/>
      <c r="T36" s="98"/>
    </row>
    <row r="37" ht="19.5" customHeight="1">
      <c r="A37" s="103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9"/>
    </row>
    <row r="38" ht="14.25" customHeight="1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</row>
    <row r="39" ht="14.25" customHeight="1"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4"/>
    </row>
    <row r="40" ht="14.25" customHeight="1"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4"/>
    </row>
    <row r="41" ht="14.25" customHeight="1"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4"/>
    </row>
    <row r="42" ht="14.25" customHeight="1"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4"/>
    </row>
    <row r="43" ht="14.25" customHeight="1"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4"/>
    </row>
    <row r="44" ht="14.25" customHeight="1"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4"/>
    </row>
    <row r="45" ht="14.25" customHeight="1"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4"/>
    </row>
    <row r="46" ht="14.25" customHeight="1"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4"/>
    </row>
    <row r="47" ht="14.25" customHeight="1"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4"/>
    </row>
    <row r="48" ht="14.25" customHeight="1"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4"/>
    </row>
    <row r="49" ht="14.25" customHeight="1"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4"/>
    </row>
    <row r="50" ht="14.25" customHeight="1">
      <c r="I50" s="2"/>
      <c r="J50" s="2"/>
      <c r="K50" s="2"/>
      <c r="L50" s="3"/>
      <c r="M50" s="3"/>
      <c r="N50" s="3"/>
      <c r="O50" s="3"/>
      <c r="P50" s="3"/>
      <c r="Q50" s="3"/>
      <c r="R50" s="3"/>
      <c r="S50" s="3"/>
      <c r="T50" s="4"/>
    </row>
    <row r="51" ht="14.25" customHeight="1"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4"/>
    </row>
    <row r="52" ht="14.25" customHeight="1"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4"/>
    </row>
    <row r="53" ht="14.25" customHeight="1"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4"/>
    </row>
    <row r="54" ht="14.25" customHeight="1"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4"/>
    </row>
    <row r="55" ht="14.25" customHeight="1"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4"/>
    </row>
    <row r="56" ht="14.25" customHeight="1"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4"/>
    </row>
    <row r="57" ht="14.25" customHeight="1"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4"/>
    </row>
    <row r="58" ht="14.25" customHeight="1"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4"/>
    </row>
    <row r="59" ht="14.25" customHeight="1"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4"/>
    </row>
    <row r="60" ht="14.25" customHeight="1"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4"/>
    </row>
    <row r="61" ht="14.25" customHeight="1"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4"/>
    </row>
    <row r="62" ht="14.25" customHeight="1"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4"/>
    </row>
    <row r="63" ht="14.25" customHeight="1"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4"/>
    </row>
    <row r="64" ht="14.25" customHeight="1"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4"/>
    </row>
    <row r="65" ht="14.25" customHeight="1"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4"/>
    </row>
    <row r="66" ht="14.25" customHeight="1"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4"/>
    </row>
    <row r="67" ht="14.25" customHeight="1"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4"/>
    </row>
    <row r="68" ht="14.25" customHeight="1"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4"/>
    </row>
    <row r="69" ht="14.25" customHeight="1"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4"/>
    </row>
    <row r="70" ht="14.25" customHeight="1"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4"/>
    </row>
    <row r="71" ht="14.25" customHeight="1"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4"/>
    </row>
    <row r="72" ht="14.25" customHeight="1"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4"/>
    </row>
    <row r="73" ht="14.25" customHeight="1"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4"/>
    </row>
    <row r="74" ht="14.25" customHeight="1"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4"/>
    </row>
    <row r="75" ht="14.25" customHeight="1"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4"/>
    </row>
    <row r="76" ht="14.25" customHeight="1"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4"/>
    </row>
    <row r="77" ht="14.25" customHeight="1"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4"/>
    </row>
    <row r="78" ht="14.25" customHeight="1"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4"/>
    </row>
    <row r="79" ht="14.25" customHeight="1"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4"/>
    </row>
    <row r="80" ht="14.25" customHeight="1"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4"/>
    </row>
    <row r="81" ht="14.25" customHeight="1"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4"/>
    </row>
    <row r="82" ht="14.25" customHeight="1"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4"/>
    </row>
    <row r="83" ht="14.25" customHeight="1"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4"/>
    </row>
    <row r="84" ht="14.25" customHeight="1"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4"/>
    </row>
    <row r="85" ht="14.25" customHeight="1"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4"/>
    </row>
    <row r="86" ht="14.25" customHeight="1"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4"/>
    </row>
    <row r="87" ht="14.25" customHeight="1"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4"/>
    </row>
    <row r="88" ht="14.25" customHeight="1"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4"/>
    </row>
    <row r="89" ht="14.25" customHeight="1"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4"/>
    </row>
    <row r="90" ht="14.25" customHeight="1"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4"/>
    </row>
    <row r="91" ht="14.25" customHeight="1"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4"/>
    </row>
    <row r="92" ht="14.25" customHeight="1"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4"/>
    </row>
    <row r="93" ht="14.25" customHeight="1"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4"/>
    </row>
    <row r="94" ht="14.25" customHeight="1"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4"/>
    </row>
    <row r="95" ht="14.25" customHeight="1"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4"/>
    </row>
    <row r="96" ht="14.25" customHeight="1"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4"/>
    </row>
    <row r="97" ht="14.25" customHeight="1"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4"/>
    </row>
    <row r="98" ht="14.25" customHeight="1"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4"/>
    </row>
    <row r="99" ht="14.25" customHeight="1"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4"/>
    </row>
    <row r="100" ht="14.25" customHeight="1"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4"/>
    </row>
    <row r="101" ht="14.25" customHeight="1"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4"/>
    </row>
    <row r="102" ht="14.25" customHeight="1"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4"/>
    </row>
    <row r="103" ht="14.25" customHeight="1"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4"/>
    </row>
    <row r="104" ht="14.25" customHeight="1"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4"/>
    </row>
    <row r="105" ht="14.25" customHeight="1"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4"/>
    </row>
    <row r="106" ht="14.25" customHeight="1"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4"/>
    </row>
    <row r="107" ht="14.25" customHeight="1"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4"/>
    </row>
    <row r="108" ht="14.25" customHeight="1"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4"/>
    </row>
    <row r="109" ht="14.25" customHeight="1"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4"/>
    </row>
    <row r="110" ht="14.25" customHeight="1"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4"/>
    </row>
    <row r="111" ht="14.25" customHeight="1"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4"/>
    </row>
    <row r="112" ht="14.25" customHeight="1"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4"/>
    </row>
    <row r="113" ht="14.25" customHeight="1"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4"/>
    </row>
    <row r="114" ht="14.25" customHeight="1"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4"/>
    </row>
    <row r="115" ht="14.25" customHeight="1"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4"/>
    </row>
    <row r="116" ht="14.25" customHeight="1"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4"/>
    </row>
    <row r="117" ht="14.25" customHeight="1"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4"/>
    </row>
    <row r="118" ht="14.25" customHeight="1"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4"/>
    </row>
    <row r="119" ht="14.25" customHeight="1"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4"/>
    </row>
    <row r="120" ht="14.25" customHeight="1"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4"/>
    </row>
    <row r="121" ht="14.25" customHeight="1"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4"/>
    </row>
    <row r="122" ht="14.25" customHeight="1"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4"/>
    </row>
    <row r="123" ht="14.25" customHeight="1"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4"/>
    </row>
    <row r="124" ht="14.25" customHeight="1"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4"/>
    </row>
    <row r="125" ht="14.25" customHeight="1"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4"/>
    </row>
    <row r="126" ht="14.25" customHeight="1"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4"/>
    </row>
    <row r="127" ht="14.25" customHeight="1"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4"/>
    </row>
    <row r="128" ht="14.25" customHeight="1"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4"/>
    </row>
    <row r="129" ht="14.25" customHeight="1"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4"/>
    </row>
    <row r="130" ht="14.25" customHeight="1"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4"/>
    </row>
    <row r="131" ht="14.25" customHeight="1"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4"/>
    </row>
    <row r="132" ht="14.25" customHeight="1"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4"/>
    </row>
    <row r="133" ht="14.25" customHeight="1"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4"/>
    </row>
    <row r="134" ht="14.25" customHeight="1"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4"/>
    </row>
    <row r="135" ht="14.25" customHeight="1"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4"/>
    </row>
    <row r="136" ht="14.25" customHeight="1"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4"/>
    </row>
    <row r="137" ht="14.25" customHeight="1"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4"/>
    </row>
    <row r="138" ht="14.25" customHeight="1"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4"/>
    </row>
    <row r="139" ht="14.25" customHeight="1"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4"/>
    </row>
    <row r="140" ht="14.25" customHeight="1"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4"/>
    </row>
    <row r="141" ht="14.25" customHeight="1"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4"/>
    </row>
    <row r="142" ht="14.25" customHeight="1"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4"/>
    </row>
    <row r="143" ht="14.25" customHeight="1"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4"/>
    </row>
    <row r="144" ht="14.25" customHeight="1"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4"/>
    </row>
    <row r="145" ht="14.25" customHeight="1"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4"/>
    </row>
    <row r="146" ht="14.25" customHeight="1"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4"/>
    </row>
    <row r="147" ht="14.25" customHeight="1"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4"/>
    </row>
    <row r="148" ht="14.25" customHeight="1"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4"/>
    </row>
    <row r="149" ht="14.25" customHeight="1"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4"/>
    </row>
    <row r="150" ht="14.25" customHeight="1"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4"/>
    </row>
    <row r="151" ht="14.25" customHeight="1"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4"/>
    </row>
    <row r="152" ht="14.25" customHeight="1"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4"/>
    </row>
    <row r="153" ht="14.25" customHeight="1"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4"/>
    </row>
    <row r="154" ht="14.25" customHeight="1"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4"/>
    </row>
    <row r="155" ht="14.25" customHeight="1"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4"/>
    </row>
    <row r="156" ht="14.25" customHeight="1"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4"/>
    </row>
    <row r="157" ht="14.25" customHeight="1"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4"/>
    </row>
    <row r="158" ht="14.25" customHeight="1"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4"/>
    </row>
    <row r="159" ht="14.25" customHeight="1"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4"/>
    </row>
    <row r="160" ht="14.25" customHeight="1"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4"/>
    </row>
    <row r="161" ht="14.25" customHeight="1"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4"/>
    </row>
    <row r="162" ht="14.25" customHeight="1"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4"/>
    </row>
    <row r="163" ht="14.25" customHeight="1"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4"/>
    </row>
    <row r="164" ht="14.25" customHeight="1"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4"/>
    </row>
    <row r="165" ht="14.25" customHeight="1"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4"/>
    </row>
    <row r="166" ht="14.25" customHeight="1"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4"/>
    </row>
    <row r="167" ht="14.25" customHeight="1"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4"/>
    </row>
    <row r="168" ht="14.25" customHeight="1"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4"/>
    </row>
    <row r="169" ht="14.25" customHeight="1"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4"/>
    </row>
    <row r="170" ht="14.25" customHeight="1"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4"/>
    </row>
    <row r="171" ht="14.25" customHeight="1"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4"/>
    </row>
    <row r="172" ht="14.25" customHeight="1"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4"/>
    </row>
    <row r="173" ht="14.25" customHeight="1"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4"/>
    </row>
    <row r="174" ht="14.25" customHeight="1"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4"/>
    </row>
    <row r="175" ht="14.25" customHeight="1"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4"/>
    </row>
    <row r="176" ht="14.25" customHeight="1"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4"/>
    </row>
    <row r="177" ht="14.25" customHeight="1"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4"/>
    </row>
    <row r="178" ht="14.25" customHeight="1"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4"/>
    </row>
    <row r="179" ht="14.25" customHeight="1"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4"/>
    </row>
    <row r="180" ht="14.25" customHeight="1"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4"/>
    </row>
    <row r="181" ht="14.25" customHeight="1"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4"/>
    </row>
    <row r="182" ht="14.25" customHeight="1"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4"/>
    </row>
    <row r="183" ht="14.25" customHeight="1"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4"/>
    </row>
    <row r="184" ht="14.25" customHeight="1"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4"/>
    </row>
    <row r="185" ht="14.25" customHeight="1"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4"/>
    </row>
    <row r="186" ht="14.25" customHeight="1"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4"/>
    </row>
    <row r="187" ht="14.25" customHeight="1"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4"/>
    </row>
    <row r="188" ht="14.25" customHeight="1"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4"/>
    </row>
    <row r="189" ht="14.25" customHeight="1"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4"/>
    </row>
    <row r="190" ht="14.25" customHeight="1"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4"/>
    </row>
    <row r="191" ht="14.25" customHeight="1"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4"/>
    </row>
    <row r="192" ht="14.25" customHeight="1"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4"/>
    </row>
    <row r="193" ht="14.25" customHeight="1"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4"/>
    </row>
    <row r="194" ht="14.25" customHeight="1"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4"/>
    </row>
    <row r="195" ht="14.25" customHeight="1"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4"/>
    </row>
    <row r="196" ht="14.25" customHeight="1"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4"/>
    </row>
    <row r="197" ht="14.25" customHeight="1"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4"/>
    </row>
    <row r="198" ht="14.25" customHeight="1"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4"/>
    </row>
    <row r="199" ht="14.25" customHeight="1"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4"/>
    </row>
    <row r="200" ht="14.25" customHeight="1"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4"/>
    </row>
    <row r="201" ht="14.25" customHeight="1"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4"/>
    </row>
    <row r="202" ht="14.25" customHeight="1"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4"/>
    </row>
    <row r="203" ht="14.25" customHeight="1"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4"/>
    </row>
    <row r="204" ht="14.25" customHeight="1"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4"/>
    </row>
    <row r="205" ht="14.25" customHeight="1"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4"/>
    </row>
    <row r="206" ht="14.25" customHeight="1"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4"/>
    </row>
    <row r="207" ht="14.25" customHeight="1"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4"/>
    </row>
    <row r="208" ht="14.25" customHeight="1"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4"/>
    </row>
    <row r="209" ht="14.25" customHeight="1"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4"/>
    </row>
    <row r="210" ht="14.25" customHeight="1"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4"/>
    </row>
    <row r="211" ht="14.25" customHeight="1"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4"/>
    </row>
    <row r="212" ht="14.25" customHeight="1"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4"/>
    </row>
    <row r="213" ht="14.25" customHeight="1"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4"/>
    </row>
    <row r="214" ht="14.25" customHeight="1"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4"/>
    </row>
    <row r="215" ht="14.25" customHeight="1"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4"/>
    </row>
    <row r="216" ht="14.25" customHeight="1"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4"/>
    </row>
    <row r="217" ht="14.25" customHeight="1"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4"/>
    </row>
    <row r="218" ht="14.25" customHeight="1"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4"/>
    </row>
    <row r="219" ht="14.25" customHeight="1"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4"/>
    </row>
    <row r="220" ht="14.25" customHeight="1"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4"/>
    </row>
    <row r="221" ht="14.25" customHeight="1"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4"/>
    </row>
    <row r="222" ht="14.25" customHeight="1"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4"/>
    </row>
    <row r="223" ht="14.25" customHeight="1"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4"/>
    </row>
    <row r="224" ht="14.25" customHeight="1"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4"/>
    </row>
    <row r="225" ht="14.25" customHeight="1"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4"/>
    </row>
    <row r="226" ht="14.25" customHeight="1"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4"/>
    </row>
    <row r="227" ht="14.25" customHeight="1"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4"/>
    </row>
    <row r="228" ht="14.25" customHeight="1"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4"/>
    </row>
    <row r="229" ht="14.25" customHeight="1"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4"/>
    </row>
    <row r="230" ht="14.25" customHeight="1"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4"/>
    </row>
    <row r="231" ht="14.25" customHeight="1"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4"/>
    </row>
    <row r="232" ht="14.25" customHeight="1"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4"/>
    </row>
    <row r="233" ht="14.25" customHeight="1"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4"/>
    </row>
    <row r="234" ht="14.25" customHeight="1"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4"/>
    </row>
    <row r="235" ht="14.25" customHeight="1"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4"/>
    </row>
    <row r="236" ht="14.25" customHeight="1"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4"/>
    </row>
    <row r="237" ht="14.25" customHeight="1"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4"/>
    </row>
    <row r="238" ht="14.25" customHeight="1"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4"/>
    </row>
    <row r="239" ht="14.25" customHeight="1"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4"/>
    </row>
    <row r="240" ht="14.25" customHeight="1"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4"/>
    </row>
    <row r="241" ht="14.25" customHeight="1"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4"/>
    </row>
    <row r="242" ht="14.25" customHeight="1"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4"/>
    </row>
    <row r="243" ht="14.25" customHeight="1"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4"/>
    </row>
    <row r="244" ht="14.25" customHeight="1"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4"/>
    </row>
    <row r="245" ht="14.25" customHeight="1"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4"/>
    </row>
    <row r="246" ht="14.25" customHeight="1"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4"/>
    </row>
    <row r="247" ht="14.25" customHeight="1"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4"/>
    </row>
    <row r="248" ht="14.25" customHeight="1"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4"/>
    </row>
    <row r="249" ht="14.25" customHeight="1"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4"/>
    </row>
    <row r="250" ht="14.25" customHeight="1"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4"/>
    </row>
    <row r="251" ht="14.25" customHeight="1"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4"/>
    </row>
    <row r="252" ht="14.25" customHeight="1"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4"/>
    </row>
    <row r="253" ht="14.25" customHeight="1"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4"/>
    </row>
    <row r="254" ht="14.25" customHeight="1"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4"/>
    </row>
    <row r="255" ht="14.25" customHeight="1"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4"/>
    </row>
    <row r="256" ht="14.25" customHeight="1"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4"/>
    </row>
    <row r="257" ht="14.25" customHeight="1"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4"/>
    </row>
    <row r="258" ht="14.25" customHeight="1"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4"/>
    </row>
    <row r="259" ht="14.25" customHeight="1"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4"/>
    </row>
    <row r="260" ht="14.25" customHeight="1"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4"/>
    </row>
    <row r="261" ht="14.25" customHeight="1"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4"/>
    </row>
    <row r="262" ht="14.25" customHeight="1"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4"/>
    </row>
    <row r="263" ht="14.25" customHeight="1"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4"/>
    </row>
    <row r="264" ht="14.25" customHeight="1"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4"/>
    </row>
    <row r="265" ht="14.25" customHeight="1"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4"/>
    </row>
    <row r="266" ht="14.25" customHeight="1"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4"/>
    </row>
    <row r="267" ht="14.25" customHeight="1"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4"/>
    </row>
    <row r="268" ht="14.25" customHeight="1"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4"/>
    </row>
    <row r="269" ht="14.25" customHeight="1"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4"/>
    </row>
    <row r="270" ht="14.25" customHeight="1"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4"/>
    </row>
    <row r="271" ht="14.25" customHeight="1"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4"/>
    </row>
    <row r="272" ht="14.25" customHeight="1"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4"/>
    </row>
    <row r="273" ht="14.25" customHeight="1"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4"/>
    </row>
    <row r="274" ht="14.25" customHeight="1"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4"/>
    </row>
    <row r="275" ht="14.25" customHeight="1"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4"/>
    </row>
    <row r="276" ht="14.25" customHeight="1"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4"/>
    </row>
    <row r="277" ht="14.25" customHeight="1"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4"/>
    </row>
    <row r="278" ht="14.25" customHeight="1"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4"/>
    </row>
    <row r="279" ht="14.25" customHeight="1"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4"/>
    </row>
    <row r="280" ht="14.25" customHeight="1"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4"/>
    </row>
    <row r="281" ht="14.25" customHeight="1"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4"/>
    </row>
    <row r="282" ht="14.25" customHeight="1"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4"/>
    </row>
    <row r="283" ht="14.25" customHeight="1"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4"/>
    </row>
    <row r="284" ht="14.25" customHeight="1"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4"/>
    </row>
    <row r="285" ht="14.25" customHeight="1"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4"/>
    </row>
    <row r="286" ht="14.25" customHeight="1"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4"/>
    </row>
    <row r="287" ht="14.25" customHeight="1"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4"/>
    </row>
    <row r="288" ht="14.25" customHeight="1"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4"/>
    </row>
    <row r="289" ht="14.25" customHeight="1"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4"/>
    </row>
    <row r="290" ht="14.25" customHeight="1"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4"/>
    </row>
    <row r="291" ht="14.25" customHeight="1"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4"/>
    </row>
    <row r="292" ht="14.25" customHeight="1"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4"/>
    </row>
    <row r="293" ht="14.25" customHeight="1"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4"/>
    </row>
    <row r="294" ht="14.25" customHeight="1"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4"/>
    </row>
    <row r="295" ht="14.25" customHeight="1"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4"/>
    </row>
    <row r="296" ht="14.25" customHeight="1"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4"/>
    </row>
    <row r="297" ht="14.25" customHeight="1"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4"/>
    </row>
    <row r="298" ht="14.25" customHeight="1"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4"/>
    </row>
    <row r="299" ht="14.25" customHeight="1"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4"/>
    </row>
    <row r="300" ht="14.25" customHeight="1"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4"/>
    </row>
    <row r="301" ht="14.25" customHeight="1"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4"/>
    </row>
    <row r="302" ht="14.25" customHeight="1"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4"/>
    </row>
    <row r="303" ht="14.25" customHeight="1"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4"/>
    </row>
    <row r="304" ht="14.25" customHeight="1"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4"/>
    </row>
    <row r="305" ht="14.25" customHeight="1"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4"/>
    </row>
    <row r="306" ht="14.25" customHeight="1"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4"/>
    </row>
    <row r="307" ht="14.25" customHeight="1"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4"/>
    </row>
    <row r="308" ht="14.25" customHeight="1"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4"/>
    </row>
    <row r="309" ht="14.25" customHeight="1"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4"/>
    </row>
    <row r="310" ht="14.25" customHeight="1"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4"/>
    </row>
    <row r="311" ht="14.25" customHeight="1"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4"/>
    </row>
    <row r="312" ht="14.25" customHeight="1"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4"/>
    </row>
    <row r="313" ht="14.25" customHeight="1"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4"/>
    </row>
    <row r="314" ht="14.25" customHeight="1"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4"/>
    </row>
    <row r="315" ht="14.25" customHeight="1"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4"/>
    </row>
    <row r="316" ht="14.25" customHeight="1"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4"/>
    </row>
    <row r="317" ht="14.25" customHeight="1"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4"/>
    </row>
    <row r="318" ht="14.25" customHeight="1"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4"/>
    </row>
    <row r="319" ht="14.25" customHeight="1"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4"/>
    </row>
    <row r="320" ht="14.25" customHeight="1"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4"/>
    </row>
    <row r="321" ht="14.25" customHeight="1"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4"/>
    </row>
    <row r="322" ht="14.25" customHeight="1"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4"/>
    </row>
    <row r="323" ht="14.25" customHeight="1"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4"/>
    </row>
    <row r="324" ht="14.25" customHeight="1"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4"/>
    </row>
    <row r="325" ht="14.25" customHeight="1"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4"/>
    </row>
    <row r="326" ht="14.25" customHeight="1"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4"/>
    </row>
    <row r="327" ht="14.25" customHeight="1"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4"/>
    </row>
    <row r="328" ht="14.25" customHeight="1"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4"/>
    </row>
    <row r="329" ht="14.25" customHeight="1"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4"/>
    </row>
    <row r="330" ht="14.25" customHeight="1"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4"/>
    </row>
    <row r="331" ht="14.25" customHeight="1"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4"/>
    </row>
    <row r="332" ht="14.25" customHeight="1"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4"/>
    </row>
    <row r="333" ht="14.25" customHeight="1"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4"/>
    </row>
    <row r="334" ht="14.25" customHeight="1"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4"/>
    </row>
    <row r="335" ht="14.25" customHeight="1"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4"/>
    </row>
    <row r="336" ht="14.25" customHeight="1"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4"/>
    </row>
    <row r="337" ht="14.25" customHeight="1"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4"/>
    </row>
    <row r="338" ht="14.25" customHeight="1"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4"/>
    </row>
    <row r="339" ht="14.25" customHeight="1"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4"/>
    </row>
    <row r="340" ht="14.25" customHeight="1"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4"/>
    </row>
    <row r="341" ht="14.25" customHeight="1"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4"/>
    </row>
    <row r="342" ht="14.25" customHeight="1"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4"/>
    </row>
    <row r="343" ht="14.25" customHeight="1"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4"/>
    </row>
    <row r="344" ht="14.25" customHeight="1"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4"/>
    </row>
    <row r="345" ht="14.25" customHeight="1"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4"/>
    </row>
    <row r="346" ht="14.25" customHeight="1"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4"/>
    </row>
    <row r="347" ht="14.25" customHeight="1"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4"/>
    </row>
    <row r="348" ht="14.25" customHeight="1"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4"/>
    </row>
    <row r="349" ht="14.25" customHeight="1"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4"/>
    </row>
    <row r="350" ht="14.25" customHeight="1"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4"/>
    </row>
    <row r="351" ht="14.25" customHeight="1"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4"/>
    </row>
    <row r="352" ht="14.25" customHeight="1"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4"/>
    </row>
    <row r="353" ht="14.25" customHeight="1"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4"/>
    </row>
    <row r="354" ht="14.25" customHeight="1"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4"/>
    </row>
    <row r="355" ht="14.25" customHeight="1"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4"/>
    </row>
    <row r="356" ht="14.25" customHeight="1"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4"/>
    </row>
    <row r="357" ht="14.25" customHeight="1"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4"/>
    </row>
    <row r="358" ht="14.25" customHeight="1"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4"/>
    </row>
    <row r="359" ht="14.25" customHeight="1"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4"/>
    </row>
    <row r="360" ht="14.25" customHeight="1"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4"/>
    </row>
    <row r="361" ht="14.25" customHeight="1"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4"/>
    </row>
    <row r="362" ht="14.25" customHeight="1"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4"/>
    </row>
    <row r="363" ht="14.25" customHeight="1"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4"/>
    </row>
    <row r="364" ht="14.25" customHeight="1"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4"/>
    </row>
    <row r="365" ht="14.25" customHeight="1"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4"/>
    </row>
    <row r="366" ht="14.25" customHeight="1"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4"/>
    </row>
    <row r="367" ht="14.25" customHeight="1"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4"/>
    </row>
    <row r="368" ht="14.25" customHeight="1"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4"/>
    </row>
    <row r="369" ht="14.25" customHeight="1"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4"/>
    </row>
    <row r="370" ht="14.25" customHeight="1"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4"/>
    </row>
    <row r="371" ht="14.25" customHeight="1"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4"/>
    </row>
    <row r="372" ht="14.25" customHeight="1"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4"/>
    </row>
    <row r="373" ht="14.25" customHeight="1"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4"/>
    </row>
    <row r="374" ht="14.25" customHeight="1"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4"/>
    </row>
    <row r="375" ht="14.25" customHeight="1"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4"/>
    </row>
    <row r="376" ht="14.25" customHeight="1"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4"/>
    </row>
    <row r="377" ht="14.25" customHeight="1"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4"/>
    </row>
    <row r="378" ht="14.25" customHeight="1"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4"/>
    </row>
    <row r="379" ht="14.25" customHeight="1"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4"/>
    </row>
    <row r="380" ht="14.25" customHeight="1"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4"/>
    </row>
    <row r="381" ht="14.25" customHeight="1"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4"/>
    </row>
    <row r="382" ht="14.25" customHeight="1"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4"/>
    </row>
    <row r="383" ht="14.25" customHeight="1"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4"/>
    </row>
    <row r="384" ht="14.25" customHeight="1"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4"/>
    </row>
    <row r="385" ht="14.25" customHeight="1"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4"/>
    </row>
    <row r="386" ht="14.25" customHeight="1"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4"/>
    </row>
    <row r="387" ht="14.25" customHeight="1"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4"/>
    </row>
    <row r="388" ht="14.25" customHeight="1"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4"/>
    </row>
    <row r="389" ht="14.25" customHeight="1"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4"/>
    </row>
    <row r="390" ht="14.25" customHeight="1"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4"/>
    </row>
    <row r="391" ht="14.25" customHeight="1"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4"/>
    </row>
    <row r="392" ht="14.25" customHeight="1"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4"/>
    </row>
    <row r="393" ht="14.25" customHeight="1"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4"/>
    </row>
    <row r="394" ht="14.25" customHeight="1"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4"/>
    </row>
    <row r="395" ht="14.25" customHeight="1"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4"/>
    </row>
    <row r="396" ht="14.25" customHeight="1"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4"/>
    </row>
    <row r="397" ht="14.25" customHeight="1"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4"/>
    </row>
    <row r="398" ht="14.25" customHeight="1"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4"/>
    </row>
    <row r="399" ht="14.25" customHeight="1"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4"/>
    </row>
    <row r="400" ht="14.25" customHeight="1"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4"/>
    </row>
    <row r="401" ht="14.25" customHeight="1"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4"/>
    </row>
    <row r="402" ht="14.25" customHeight="1"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4"/>
    </row>
    <row r="403" ht="14.25" customHeight="1"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4"/>
    </row>
    <row r="404" ht="14.25" customHeight="1"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4"/>
    </row>
    <row r="405" ht="14.25" customHeight="1"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4"/>
    </row>
    <row r="406" ht="14.25" customHeight="1"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4"/>
    </row>
    <row r="407" ht="14.25" customHeight="1"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4"/>
    </row>
    <row r="408" ht="14.25" customHeight="1"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4"/>
    </row>
    <row r="409" ht="14.25" customHeight="1"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4"/>
    </row>
    <row r="410" ht="14.25" customHeight="1"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4"/>
    </row>
    <row r="411" ht="14.25" customHeight="1"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4"/>
    </row>
    <row r="412" ht="14.25" customHeight="1"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4"/>
    </row>
    <row r="413" ht="14.25" customHeight="1"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4"/>
    </row>
    <row r="414" ht="14.25" customHeight="1"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4"/>
    </row>
    <row r="415" ht="14.25" customHeight="1"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4"/>
    </row>
    <row r="416" ht="14.25" customHeight="1"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4"/>
    </row>
    <row r="417" ht="14.25" customHeight="1"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4"/>
    </row>
    <row r="418" ht="14.25" customHeight="1"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4"/>
    </row>
    <row r="419" ht="14.25" customHeight="1"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4"/>
    </row>
    <row r="420" ht="14.25" customHeight="1"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4"/>
    </row>
    <row r="421" ht="14.25" customHeight="1"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4"/>
    </row>
    <row r="422" ht="14.25" customHeight="1"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4"/>
    </row>
    <row r="423" ht="14.25" customHeight="1"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4"/>
    </row>
    <row r="424" ht="14.25" customHeight="1"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4"/>
    </row>
    <row r="425" ht="14.25" customHeight="1"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4"/>
    </row>
    <row r="426" ht="14.25" customHeight="1"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4"/>
    </row>
    <row r="427" ht="14.25" customHeight="1"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4"/>
    </row>
    <row r="428" ht="14.25" customHeight="1"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4"/>
    </row>
    <row r="429" ht="14.25" customHeight="1"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4"/>
    </row>
    <row r="430" ht="14.25" customHeight="1"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4"/>
    </row>
    <row r="431" ht="14.25" customHeight="1"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4"/>
    </row>
    <row r="432" ht="14.25" customHeight="1"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4"/>
    </row>
    <row r="433" ht="14.25" customHeight="1"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4"/>
    </row>
    <row r="434" ht="14.25" customHeight="1"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4"/>
    </row>
    <row r="435" ht="14.25" customHeight="1"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4"/>
    </row>
    <row r="436" ht="14.25" customHeight="1"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4"/>
    </row>
    <row r="437" ht="14.25" customHeight="1"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4"/>
    </row>
    <row r="438" ht="14.25" customHeight="1"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4"/>
    </row>
    <row r="439" ht="14.25" customHeight="1"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4"/>
    </row>
    <row r="440" ht="14.25" customHeight="1"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4"/>
    </row>
    <row r="441" ht="14.25" customHeight="1"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4"/>
    </row>
    <row r="442" ht="14.25" customHeight="1"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4"/>
    </row>
    <row r="443" ht="14.25" customHeight="1"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4"/>
    </row>
    <row r="444" ht="14.25" customHeight="1"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4"/>
    </row>
    <row r="445" ht="14.25" customHeight="1"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4"/>
    </row>
    <row r="446" ht="14.25" customHeight="1"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4"/>
    </row>
    <row r="447" ht="14.25" customHeight="1"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4"/>
    </row>
    <row r="448" ht="14.25" customHeight="1"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4"/>
    </row>
    <row r="449" ht="14.25" customHeight="1"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4"/>
    </row>
    <row r="450" ht="14.25" customHeight="1"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4"/>
    </row>
    <row r="451" ht="14.25" customHeight="1"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4"/>
    </row>
    <row r="452" ht="14.25" customHeight="1"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4"/>
    </row>
    <row r="453" ht="14.25" customHeight="1"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4"/>
    </row>
    <row r="454" ht="14.25" customHeight="1"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4"/>
    </row>
    <row r="455" ht="14.25" customHeight="1"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4"/>
    </row>
    <row r="456" ht="14.25" customHeight="1"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4"/>
    </row>
    <row r="457" ht="14.25" customHeight="1"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4"/>
    </row>
    <row r="458" ht="14.25" customHeight="1"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4"/>
    </row>
    <row r="459" ht="14.25" customHeight="1"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4"/>
    </row>
    <row r="460" ht="14.25" customHeight="1"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4"/>
    </row>
    <row r="461" ht="14.25" customHeight="1"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4"/>
    </row>
    <row r="462" ht="14.25" customHeight="1"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4"/>
    </row>
    <row r="463" ht="14.25" customHeight="1"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4"/>
    </row>
    <row r="464" ht="14.25" customHeight="1"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4"/>
    </row>
    <row r="465" ht="14.25" customHeight="1"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4"/>
    </row>
    <row r="466" ht="14.25" customHeight="1"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4"/>
    </row>
    <row r="467" ht="14.25" customHeight="1"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4"/>
    </row>
    <row r="468" ht="14.25" customHeight="1"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4"/>
    </row>
    <row r="469" ht="14.25" customHeight="1"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4"/>
    </row>
    <row r="470" ht="14.25" customHeight="1"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4"/>
    </row>
    <row r="471" ht="14.25" customHeight="1"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4"/>
    </row>
    <row r="472" ht="14.25" customHeight="1"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4"/>
    </row>
    <row r="473" ht="14.25" customHeight="1"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4"/>
    </row>
    <row r="474" ht="14.25" customHeight="1"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4"/>
    </row>
    <row r="475" ht="14.25" customHeight="1"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4"/>
    </row>
    <row r="476" ht="14.25" customHeight="1"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4"/>
    </row>
    <row r="477" ht="14.25" customHeight="1"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4"/>
    </row>
    <row r="478" ht="14.25" customHeight="1"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4"/>
    </row>
    <row r="479" ht="14.25" customHeight="1"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4"/>
    </row>
    <row r="480" ht="14.25" customHeight="1"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4"/>
    </row>
    <row r="481" ht="14.25" customHeight="1"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4"/>
    </row>
    <row r="482" ht="14.25" customHeight="1"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4"/>
    </row>
    <row r="483" ht="14.25" customHeight="1"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4"/>
    </row>
    <row r="484" ht="14.25" customHeight="1"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4"/>
    </row>
    <row r="485" ht="14.25" customHeight="1"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4"/>
    </row>
    <row r="486" ht="14.25" customHeight="1"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4"/>
    </row>
    <row r="487" ht="14.25" customHeight="1"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4"/>
    </row>
    <row r="488" ht="14.25" customHeight="1"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4"/>
    </row>
    <row r="489" ht="14.25" customHeight="1"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4"/>
    </row>
    <row r="490" ht="14.25" customHeight="1"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4"/>
    </row>
    <row r="491" ht="14.25" customHeight="1"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4"/>
    </row>
    <row r="492" ht="14.25" customHeight="1"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4"/>
    </row>
    <row r="493" ht="14.25" customHeight="1"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4"/>
    </row>
    <row r="494" ht="14.25" customHeight="1"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4"/>
    </row>
    <row r="495" ht="14.25" customHeight="1"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4"/>
    </row>
    <row r="496" ht="14.25" customHeight="1"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4"/>
    </row>
    <row r="497" ht="14.25" customHeight="1"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4"/>
    </row>
    <row r="498" ht="14.25" customHeight="1"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4"/>
    </row>
    <row r="499" ht="14.25" customHeight="1"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4"/>
    </row>
    <row r="500" ht="14.25" customHeight="1"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4"/>
    </row>
    <row r="501" ht="14.25" customHeight="1"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4"/>
    </row>
    <row r="502" ht="14.25" customHeight="1"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4"/>
    </row>
    <row r="503" ht="14.25" customHeight="1"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4"/>
    </row>
    <row r="504" ht="14.25" customHeight="1"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4"/>
    </row>
    <row r="505" ht="14.25" customHeight="1"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4"/>
    </row>
    <row r="506" ht="14.25" customHeight="1"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4"/>
    </row>
    <row r="507" ht="14.25" customHeight="1"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4"/>
    </row>
    <row r="508" ht="14.25" customHeight="1"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4"/>
    </row>
    <row r="509" ht="14.25" customHeight="1"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4"/>
    </row>
    <row r="510" ht="14.25" customHeight="1"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4"/>
    </row>
    <row r="511" ht="14.25" customHeight="1"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4"/>
    </row>
    <row r="512" ht="14.25" customHeight="1"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4"/>
    </row>
    <row r="513" ht="14.25" customHeight="1"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4"/>
    </row>
    <row r="514" ht="14.25" customHeight="1"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4"/>
    </row>
    <row r="515" ht="14.25" customHeight="1"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4"/>
    </row>
    <row r="516" ht="14.25" customHeight="1"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4"/>
    </row>
    <row r="517" ht="14.25" customHeight="1"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4"/>
    </row>
    <row r="518" ht="14.25" customHeight="1"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4"/>
    </row>
    <row r="519" ht="14.25" customHeight="1"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4"/>
    </row>
    <row r="520" ht="14.25" customHeight="1"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4"/>
    </row>
    <row r="521" ht="14.25" customHeight="1"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4"/>
    </row>
    <row r="522" ht="14.25" customHeight="1"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4"/>
    </row>
    <row r="523" ht="14.25" customHeight="1"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4"/>
    </row>
    <row r="524" ht="14.25" customHeight="1"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4"/>
    </row>
    <row r="525" ht="14.25" customHeight="1"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4"/>
    </row>
    <row r="526" ht="14.25" customHeight="1"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4"/>
    </row>
    <row r="527" ht="14.25" customHeight="1"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4"/>
    </row>
    <row r="528" ht="14.25" customHeight="1"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4"/>
    </row>
    <row r="529" ht="14.25" customHeight="1"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4"/>
    </row>
    <row r="530" ht="14.25" customHeight="1"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4"/>
    </row>
    <row r="531" ht="14.25" customHeight="1"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4"/>
    </row>
    <row r="532" ht="14.25" customHeight="1"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4"/>
    </row>
    <row r="533" ht="14.25" customHeight="1"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4"/>
    </row>
    <row r="534" ht="14.25" customHeight="1"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4"/>
    </row>
    <row r="535" ht="14.25" customHeight="1"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4"/>
    </row>
    <row r="536" ht="14.25" customHeight="1"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4"/>
    </row>
    <row r="537" ht="14.25" customHeight="1"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4"/>
    </row>
    <row r="538" ht="14.25" customHeight="1"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4"/>
    </row>
    <row r="539" ht="14.25" customHeight="1"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4"/>
    </row>
    <row r="540" ht="14.25" customHeight="1"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4"/>
    </row>
    <row r="541" ht="14.25" customHeight="1"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4"/>
    </row>
    <row r="542" ht="14.25" customHeight="1"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4"/>
    </row>
    <row r="543" ht="14.25" customHeight="1"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4"/>
    </row>
    <row r="544" ht="14.25" customHeight="1"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4"/>
    </row>
    <row r="545" ht="14.25" customHeight="1"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4"/>
    </row>
    <row r="546" ht="14.25" customHeight="1"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4"/>
    </row>
    <row r="547" ht="14.25" customHeight="1"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4"/>
    </row>
    <row r="548" ht="14.25" customHeight="1"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4"/>
    </row>
    <row r="549" ht="14.25" customHeight="1"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4"/>
    </row>
    <row r="550" ht="14.25" customHeight="1"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4"/>
    </row>
    <row r="551" ht="14.25" customHeight="1"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4"/>
    </row>
    <row r="552" ht="14.25" customHeight="1"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4"/>
    </row>
    <row r="553" ht="14.25" customHeight="1"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4"/>
    </row>
    <row r="554" ht="14.25" customHeight="1"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4"/>
    </row>
    <row r="555" ht="14.25" customHeight="1"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4"/>
    </row>
    <row r="556" ht="14.25" customHeight="1"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4"/>
    </row>
    <row r="557" ht="14.25" customHeight="1"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4"/>
    </row>
    <row r="558" ht="14.25" customHeight="1"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4"/>
    </row>
    <row r="559" ht="14.25" customHeight="1"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4"/>
    </row>
    <row r="560" ht="14.25" customHeight="1"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4"/>
    </row>
    <row r="561" ht="14.25" customHeight="1"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4"/>
    </row>
    <row r="562" ht="14.25" customHeight="1"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4"/>
    </row>
    <row r="563" ht="14.25" customHeight="1"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4"/>
    </row>
    <row r="564" ht="14.25" customHeight="1"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4"/>
    </row>
    <row r="565" ht="14.25" customHeight="1"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4"/>
    </row>
    <row r="566" ht="14.25" customHeight="1"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4"/>
    </row>
    <row r="567" ht="14.25" customHeight="1"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4"/>
    </row>
    <row r="568" ht="14.25" customHeight="1"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4"/>
    </row>
    <row r="569" ht="14.25" customHeight="1"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4"/>
    </row>
    <row r="570" ht="14.25" customHeight="1"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4"/>
    </row>
    <row r="571" ht="14.25" customHeight="1"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4"/>
    </row>
    <row r="572" ht="14.25" customHeight="1"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4"/>
    </row>
    <row r="573" ht="14.25" customHeight="1"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4"/>
    </row>
    <row r="574" ht="14.25" customHeight="1"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4"/>
    </row>
    <row r="575" ht="14.25" customHeight="1"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4"/>
    </row>
    <row r="576" ht="14.25" customHeight="1"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4"/>
    </row>
    <row r="577" ht="14.25" customHeight="1"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4"/>
    </row>
    <row r="578" ht="14.25" customHeight="1"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4"/>
    </row>
    <row r="579" ht="14.25" customHeight="1"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4"/>
    </row>
    <row r="580" ht="14.25" customHeight="1"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4"/>
    </row>
    <row r="581" ht="14.25" customHeight="1"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4"/>
    </row>
    <row r="582" ht="14.25" customHeight="1"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4"/>
    </row>
    <row r="583" ht="14.25" customHeight="1"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4"/>
    </row>
    <row r="584" ht="14.25" customHeight="1"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4"/>
    </row>
    <row r="585" ht="14.25" customHeight="1"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4"/>
    </row>
    <row r="586" ht="14.25" customHeight="1"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4"/>
    </row>
    <row r="587" ht="14.25" customHeight="1"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4"/>
    </row>
    <row r="588" ht="14.25" customHeight="1"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4"/>
    </row>
    <row r="589" ht="14.25" customHeight="1"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4"/>
    </row>
    <row r="590" ht="14.25" customHeight="1"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4"/>
    </row>
    <row r="591" ht="14.25" customHeight="1"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4"/>
    </row>
    <row r="592" ht="14.25" customHeight="1"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4"/>
    </row>
    <row r="593" ht="14.25" customHeight="1"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4"/>
    </row>
    <row r="594" ht="14.25" customHeight="1"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4"/>
    </row>
    <row r="595" ht="14.25" customHeight="1"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4"/>
    </row>
    <row r="596" ht="14.25" customHeight="1"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4"/>
    </row>
    <row r="597" ht="14.25" customHeight="1"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4"/>
    </row>
    <row r="598" ht="14.25" customHeight="1"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4"/>
    </row>
    <row r="599" ht="14.25" customHeight="1"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4"/>
    </row>
    <row r="600" ht="14.25" customHeight="1"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4"/>
    </row>
    <row r="601" ht="14.25" customHeight="1"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4"/>
    </row>
    <row r="602" ht="14.25" customHeight="1"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4"/>
    </row>
    <row r="603" ht="14.25" customHeight="1"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4"/>
    </row>
    <row r="604" ht="14.25" customHeight="1"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4"/>
    </row>
    <row r="605" ht="14.25" customHeight="1"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4"/>
    </row>
    <row r="606" ht="14.25" customHeight="1"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4"/>
    </row>
    <row r="607" ht="14.25" customHeight="1"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4"/>
    </row>
    <row r="608" ht="14.25" customHeight="1"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4"/>
    </row>
    <row r="609" ht="14.25" customHeight="1"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4"/>
    </row>
    <row r="610" ht="14.25" customHeight="1"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4"/>
    </row>
    <row r="611" ht="14.25" customHeight="1"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4"/>
    </row>
    <row r="612" ht="14.25" customHeight="1"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4"/>
    </row>
    <row r="613" ht="14.25" customHeight="1"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4"/>
    </row>
    <row r="614" ht="14.25" customHeight="1"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4"/>
    </row>
    <row r="615" ht="14.25" customHeight="1"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4"/>
    </row>
    <row r="616" ht="14.25" customHeight="1"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4"/>
    </row>
    <row r="617" ht="14.25" customHeight="1"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4"/>
    </row>
    <row r="618" ht="14.25" customHeight="1"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4"/>
    </row>
    <row r="619" ht="14.25" customHeight="1"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4"/>
    </row>
    <row r="620" ht="14.25" customHeight="1"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4"/>
    </row>
    <row r="621" ht="14.25" customHeight="1"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4"/>
    </row>
    <row r="622" ht="14.25" customHeight="1"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4"/>
    </row>
    <row r="623" ht="14.25" customHeight="1"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4"/>
    </row>
    <row r="624" ht="14.25" customHeight="1"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4"/>
    </row>
    <row r="625" ht="14.25" customHeight="1"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4"/>
    </row>
    <row r="626" ht="14.25" customHeight="1"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4"/>
    </row>
    <row r="627" ht="14.25" customHeight="1"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4"/>
    </row>
    <row r="628" ht="14.25" customHeight="1"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4"/>
    </row>
    <row r="629" ht="14.25" customHeight="1"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4"/>
    </row>
    <row r="630" ht="14.25" customHeight="1"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4"/>
    </row>
    <row r="631" ht="14.25" customHeight="1"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4"/>
    </row>
    <row r="632" ht="14.25" customHeight="1"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4"/>
    </row>
    <row r="633" ht="14.25" customHeight="1"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4"/>
    </row>
    <row r="634" ht="14.25" customHeight="1"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4"/>
    </row>
    <row r="635" ht="14.25" customHeight="1"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4"/>
    </row>
    <row r="636" ht="14.25" customHeight="1"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4"/>
    </row>
    <row r="637" ht="14.25" customHeight="1"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4"/>
    </row>
    <row r="638" ht="14.25" customHeight="1"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4"/>
    </row>
    <row r="639" ht="14.25" customHeight="1"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4"/>
    </row>
    <row r="640" ht="14.25" customHeight="1"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4"/>
    </row>
    <row r="641" ht="14.25" customHeight="1"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4"/>
    </row>
    <row r="642" ht="14.25" customHeight="1"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4"/>
    </row>
    <row r="643" ht="14.25" customHeight="1"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4"/>
    </row>
    <row r="644" ht="14.25" customHeight="1"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4"/>
    </row>
    <row r="645" ht="14.25" customHeight="1"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4"/>
    </row>
    <row r="646" ht="14.25" customHeight="1"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4"/>
    </row>
    <row r="647" ht="14.25" customHeight="1"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4"/>
    </row>
    <row r="648" ht="14.25" customHeight="1"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4"/>
    </row>
    <row r="649" ht="14.25" customHeight="1"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4"/>
    </row>
    <row r="650" ht="14.25" customHeight="1"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4"/>
    </row>
    <row r="651" ht="14.25" customHeight="1"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4"/>
    </row>
    <row r="652" ht="14.25" customHeight="1"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4"/>
    </row>
    <row r="653" ht="14.25" customHeight="1"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4"/>
    </row>
    <row r="654" ht="14.25" customHeight="1"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4"/>
    </row>
    <row r="655" ht="14.25" customHeight="1"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4"/>
    </row>
    <row r="656" ht="14.25" customHeight="1"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4"/>
    </row>
    <row r="657" ht="14.25" customHeight="1"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4"/>
    </row>
    <row r="658" ht="14.25" customHeight="1"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4"/>
    </row>
    <row r="659" ht="14.25" customHeight="1"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4"/>
    </row>
    <row r="660" ht="14.25" customHeight="1"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4"/>
    </row>
    <row r="661" ht="14.25" customHeight="1"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4"/>
    </row>
    <row r="662" ht="14.25" customHeight="1"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4"/>
    </row>
    <row r="663" ht="14.25" customHeight="1"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4"/>
    </row>
    <row r="664" ht="14.25" customHeight="1"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4"/>
    </row>
    <row r="665" ht="14.25" customHeight="1"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4"/>
    </row>
    <row r="666" ht="14.25" customHeight="1"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4"/>
    </row>
    <row r="667" ht="14.25" customHeight="1"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4"/>
    </row>
    <row r="668" ht="14.25" customHeight="1"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4"/>
    </row>
    <row r="669" ht="14.25" customHeight="1"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4"/>
    </row>
    <row r="670" ht="14.25" customHeight="1"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4"/>
    </row>
    <row r="671" ht="14.25" customHeight="1"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4"/>
    </row>
    <row r="672" ht="14.25" customHeight="1"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4"/>
    </row>
    <row r="673" ht="14.25" customHeight="1"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4"/>
    </row>
    <row r="674" ht="14.25" customHeight="1"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4"/>
    </row>
    <row r="675" ht="14.25" customHeight="1"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4"/>
    </row>
    <row r="676" ht="14.25" customHeight="1"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4"/>
    </row>
    <row r="677" ht="14.25" customHeight="1"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4"/>
    </row>
    <row r="678" ht="14.25" customHeight="1"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4"/>
    </row>
    <row r="679" ht="14.25" customHeight="1"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4"/>
    </row>
    <row r="680" ht="14.25" customHeight="1"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4"/>
    </row>
    <row r="681" ht="14.25" customHeight="1"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4"/>
    </row>
    <row r="682" ht="14.25" customHeight="1"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4"/>
    </row>
    <row r="683" ht="14.25" customHeight="1"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4"/>
    </row>
    <row r="684" ht="14.25" customHeight="1"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4"/>
    </row>
    <row r="685" ht="14.25" customHeight="1"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4"/>
    </row>
    <row r="686" ht="14.25" customHeight="1"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4"/>
    </row>
    <row r="687" ht="14.25" customHeight="1"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4"/>
    </row>
    <row r="688" ht="14.25" customHeight="1"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4"/>
    </row>
    <row r="689" ht="14.25" customHeight="1"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4"/>
    </row>
    <row r="690" ht="14.25" customHeight="1"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4"/>
    </row>
    <row r="691" ht="14.25" customHeight="1"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4"/>
    </row>
    <row r="692" ht="14.25" customHeight="1"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4"/>
    </row>
    <row r="693" ht="14.25" customHeight="1"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4"/>
    </row>
    <row r="694" ht="14.25" customHeight="1"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4"/>
    </row>
    <row r="695" ht="14.25" customHeight="1"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4"/>
    </row>
    <row r="696" ht="14.25" customHeight="1"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4"/>
    </row>
    <row r="697" ht="14.25" customHeight="1"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4"/>
    </row>
    <row r="698" ht="14.25" customHeight="1"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4"/>
    </row>
    <row r="699" ht="14.25" customHeight="1"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4"/>
    </row>
    <row r="700" ht="14.25" customHeight="1"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4"/>
    </row>
    <row r="701" ht="14.25" customHeight="1"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4"/>
    </row>
    <row r="702" ht="14.25" customHeight="1"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4"/>
    </row>
    <row r="703" ht="14.25" customHeight="1"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4"/>
    </row>
    <row r="704" ht="14.25" customHeight="1"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4"/>
    </row>
    <row r="705" ht="14.25" customHeight="1"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4"/>
    </row>
    <row r="706" ht="14.25" customHeight="1"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4"/>
    </row>
    <row r="707" ht="14.25" customHeight="1"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4"/>
    </row>
    <row r="708" ht="14.25" customHeight="1"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4"/>
    </row>
    <row r="709" ht="14.25" customHeight="1"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4"/>
    </row>
    <row r="710" ht="14.25" customHeight="1"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4"/>
    </row>
    <row r="711" ht="14.25" customHeight="1"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4"/>
    </row>
    <row r="712" ht="14.25" customHeight="1"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4"/>
    </row>
    <row r="713" ht="14.25" customHeight="1"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4"/>
    </row>
    <row r="714" ht="14.25" customHeight="1"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4"/>
    </row>
    <row r="715" ht="14.25" customHeight="1"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4"/>
    </row>
    <row r="716" ht="14.25" customHeight="1"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4"/>
    </row>
    <row r="717" ht="14.25" customHeight="1"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4"/>
    </row>
    <row r="718" ht="14.25" customHeight="1"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4"/>
    </row>
    <row r="719" ht="14.25" customHeight="1"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4"/>
    </row>
    <row r="720" ht="14.25" customHeight="1"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4"/>
    </row>
    <row r="721" ht="14.25" customHeight="1"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4"/>
    </row>
    <row r="722" ht="14.25" customHeight="1"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4"/>
    </row>
    <row r="723" ht="14.25" customHeight="1"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4"/>
    </row>
    <row r="724" ht="14.25" customHeight="1"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4"/>
    </row>
    <row r="725" ht="14.25" customHeight="1"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4"/>
    </row>
    <row r="726" ht="14.25" customHeight="1"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4"/>
    </row>
    <row r="727" ht="14.25" customHeight="1"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4"/>
    </row>
    <row r="728" ht="14.25" customHeight="1"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4"/>
    </row>
    <row r="729" ht="14.25" customHeight="1"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4"/>
    </row>
    <row r="730" ht="14.25" customHeight="1"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4"/>
    </row>
    <row r="731" ht="14.25" customHeight="1"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4"/>
    </row>
    <row r="732" ht="14.25" customHeight="1"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4"/>
    </row>
    <row r="733" ht="14.25" customHeight="1"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4"/>
    </row>
    <row r="734" ht="14.25" customHeight="1"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4"/>
    </row>
    <row r="735" ht="14.25" customHeight="1"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4"/>
    </row>
    <row r="736" ht="14.25" customHeight="1"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4"/>
    </row>
    <row r="737" ht="14.25" customHeight="1"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4"/>
    </row>
    <row r="738" ht="14.25" customHeight="1"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4"/>
    </row>
    <row r="739" ht="14.25" customHeight="1"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4"/>
    </row>
    <row r="740" ht="14.25" customHeight="1"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4"/>
    </row>
    <row r="741" ht="14.25" customHeight="1"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4"/>
    </row>
    <row r="742" ht="14.25" customHeight="1"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4"/>
    </row>
    <row r="743" ht="14.25" customHeight="1"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4"/>
    </row>
    <row r="744" ht="14.25" customHeight="1"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4"/>
    </row>
    <row r="745" ht="14.25" customHeight="1"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4"/>
    </row>
    <row r="746" ht="14.25" customHeight="1"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4"/>
    </row>
    <row r="747" ht="14.25" customHeight="1"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4"/>
    </row>
    <row r="748" ht="14.25" customHeight="1"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4"/>
    </row>
    <row r="749" ht="14.25" customHeight="1"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4"/>
    </row>
    <row r="750" ht="14.25" customHeight="1"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4"/>
    </row>
    <row r="751" ht="14.25" customHeight="1"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4"/>
    </row>
    <row r="752" ht="14.25" customHeight="1"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4"/>
    </row>
    <row r="753" ht="14.25" customHeight="1"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4"/>
    </row>
    <row r="754" ht="14.25" customHeight="1"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4"/>
    </row>
    <row r="755" ht="14.25" customHeight="1"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4"/>
    </row>
    <row r="756" ht="14.25" customHeight="1"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4"/>
    </row>
    <row r="757" ht="14.25" customHeight="1"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4"/>
    </row>
    <row r="758" ht="14.25" customHeight="1"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4"/>
    </row>
    <row r="759" ht="14.25" customHeight="1"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4"/>
    </row>
    <row r="760" ht="14.25" customHeight="1"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4"/>
    </row>
    <row r="761" ht="14.25" customHeight="1"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4"/>
    </row>
    <row r="762" ht="14.25" customHeight="1"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4"/>
    </row>
    <row r="763" ht="14.25" customHeight="1"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4"/>
    </row>
    <row r="764" ht="14.25" customHeight="1"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4"/>
    </row>
    <row r="765" ht="14.25" customHeight="1"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4"/>
    </row>
    <row r="766" ht="14.25" customHeight="1"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4"/>
    </row>
    <row r="767" ht="14.25" customHeight="1"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4"/>
    </row>
    <row r="768" ht="14.25" customHeight="1"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4"/>
    </row>
    <row r="769" ht="14.25" customHeight="1"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4"/>
    </row>
    <row r="770" ht="14.25" customHeight="1"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4"/>
    </row>
    <row r="771" ht="14.25" customHeight="1"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4"/>
    </row>
    <row r="772" ht="14.25" customHeight="1"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4"/>
    </row>
    <row r="773" ht="14.25" customHeight="1"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4"/>
    </row>
    <row r="774" ht="14.25" customHeight="1"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4"/>
    </row>
    <row r="775" ht="14.25" customHeight="1"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4"/>
    </row>
    <row r="776" ht="14.25" customHeight="1"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4"/>
    </row>
    <row r="777" ht="14.25" customHeight="1"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4"/>
    </row>
    <row r="778" ht="14.25" customHeight="1"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4"/>
    </row>
    <row r="779" ht="14.25" customHeight="1"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4"/>
    </row>
    <row r="780" ht="14.25" customHeight="1"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4"/>
    </row>
    <row r="781" ht="14.25" customHeight="1"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4"/>
    </row>
    <row r="782" ht="14.25" customHeight="1"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4"/>
    </row>
    <row r="783" ht="14.25" customHeight="1"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4"/>
    </row>
    <row r="784" ht="14.25" customHeight="1"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4"/>
    </row>
    <row r="785" ht="14.25" customHeight="1"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4"/>
    </row>
    <row r="786" ht="14.25" customHeight="1"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4"/>
    </row>
    <row r="787" ht="14.25" customHeight="1"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4"/>
    </row>
    <row r="788" ht="14.25" customHeight="1"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4"/>
    </row>
    <row r="789" ht="14.25" customHeight="1"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4"/>
    </row>
    <row r="790" ht="14.25" customHeight="1"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4"/>
    </row>
    <row r="791" ht="14.25" customHeight="1"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4"/>
    </row>
    <row r="792" ht="14.25" customHeight="1"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4"/>
    </row>
    <row r="793" ht="14.25" customHeight="1"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4"/>
    </row>
    <row r="794" ht="14.25" customHeight="1"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4"/>
    </row>
    <row r="795" ht="14.25" customHeight="1"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4"/>
    </row>
    <row r="796" ht="14.25" customHeight="1"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4"/>
    </row>
    <row r="797" ht="14.25" customHeight="1"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4"/>
    </row>
    <row r="798" ht="14.25" customHeight="1"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4"/>
    </row>
    <row r="799" ht="14.25" customHeight="1"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4"/>
    </row>
    <row r="800" ht="14.25" customHeight="1"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4"/>
    </row>
    <row r="801" ht="14.25" customHeight="1"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4"/>
    </row>
    <row r="802" ht="14.25" customHeight="1"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4"/>
    </row>
    <row r="803" ht="14.25" customHeight="1"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4"/>
    </row>
    <row r="804" ht="14.25" customHeight="1"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4"/>
    </row>
    <row r="805" ht="14.25" customHeight="1"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4"/>
    </row>
    <row r="806" ht="14.25" customHeight="1"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4"/>
    </row>
    <row r="807" ht="14.25" customHeight="1"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4"/>
    </row>
    <row r="808" ht="14.25" customHeight="1"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4"/>
    </row>
    <row r="809" ht="14.25" customHeight="1"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4"/>
    </row>
    <row r="810" ht="14.25" customHeight="1"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4"/>
    </row>
    <row r="811" ht="14.25" customHeight="1"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4"/>
    </row>
    <row r="812" ht="14.25" customHeight="1"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4"/>
    </row>
    <row r="813" ht="14.25" customHeight="1"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4"/>
    </row>
    <row r="814" ht="14.25" customHeight="1"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4"/>
    </row>
    <row r="815" ht="14.25" customHeight="1"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4"/>
    </row>
    <row r="816" ht="14.25" customHeight="1"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4"/>
    </row>
    <row r="817" ht="14.25" customHeight="1"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4"/>
    </row>
    <row r="818" ht="14.25" customHeight="1"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4"/>
    </row>
    <row r="819" ht="14.25" customHeight="1"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4"/>
    </row>
    <row r="820" ht="14.25" customHeight="1"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4"/>
    </row>
    <row r="821" ht="14.25" customHeight="1"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4"/>
    </row>
    <row r="822" ht="14.25" customHeight="1"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4"/>
    </row>
    <row r="823" ht="14.25" customHeight="1"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4"/>
    </row>
    <row r="824" ht="14.25" customHeight="1"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4"/>
    </row>
    <row r="825" ht="14.25" customHeight="1"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4"/>
    </row>
    <row r="826" ht="14.25" customHeight="1"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4"/>
    </row>
    <row r="827" ht="14.25" customHeight="1"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4"/>
    </row>
    <row r="828" ht="14.25" customHeight="1"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4"/>
    </row>
    <row r="829" ht="14.25" customHeight="1"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4"/>
    </row>
    <row r="830" ht="14.25" customHeight="1"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4"/>
    </row>
    <row r="831" ht="14.25" customHeight="1"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4"/>
    </row>
    <row r="832" ht="14.25" customHeight="1"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4"/>
    </row>
    <row r="833" ht="14.25" customHeight="1"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4"/>
    </row>
    <row r="834" ht="14.25" customHeight="1"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4"/>
    </row>
    <row r="835" ht="14.25" customHeight="1"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4"/>
    </row>
    <row r="836" ht="14.25" customHeight="1"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4"/>
    </row>
    <row r="837" ht="14.25" customHeight="1"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4"/>
    </row>
    <row r="838" ht="14.25" customHeight="1"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4"/>
    </row>
    <row r="839" ht="14.25" customHeight="1"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4"/>
    </row>
    <row r="840" ht="14.25" customHeight="1"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4"/>
    </row>
    <row r="841" ht="14.25" customHeight="1"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4"/>
    </row>
    <row r="842" ht="14.25" customHeight="1"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4"/>
    </row>
    <row r="843" ht="14.25" customHeight="1"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4"/>
    </row>
    <row r="844" ht="14.25" customHeight="1"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4"/>
    </row>
    <row r="845" ht="14.25" customHeight="1"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4"/>
    </row>
    <row r="846" ht="14.25" customHeight="1"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4"/>
    </row>
    <row r="847" ht="14.25" customHeight="1"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4"/>
    </row>
    <row r="848" ht="14.25" customHeight="1"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4"/>
    </row>
    <row r="849" ht="14.25" customHeight="1"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4"/>
    </row>
    <row r="850" ht="14.25" customHeight="1"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4"/>
    </row>
    <row r="851" ht="14.25" customHeight="1"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4"/>
    </row>
    <row r="852" ht="14.25" customHeight="1"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4"/>
    </row>
    <row r="853" ht="14.25" customHeight="1"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4"/>
    </row>
    <row r="854" ht="14.25" customHeight="1"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4"/>
    </row>
    <row r="855" ht="14.25" customHeight="1"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4"/>
    </row>
    <row r="856" ht="14.25" customHeight="1"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4"/>
    </row>
    <row r="857" ht="14.25" customHeight="1"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4"/>
    </row>
    <row r="858" ht="14.25" customHeight="1"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4"/>
    </row>
    <row r="859" ht="14.25" customHeight="1"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4"/>
    </row>
    <row r="860" ht="14.25" customHeight="1"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4"/>
    </row>
    <row r="861" ht="14.25" customHeight="1"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4"/>
    </row>
    <row r="862" ht="14.25" customHeight="1"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4"/>
    </row>
    <row r="863" ht="14.25" customHeight="1"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4"/>
    </row>
    <row r="864" ht="14.25" customHeight="1"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4"/>
    </row>
    <row r="865" ht="14.25" customHeight="1"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4"/>
    </row>
    <row r="866" ht="14.25" customHeight="1"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4"/>
    </row>
    <row r="867" ht="14.25" customHeight="1"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4"/>
    </row>
    <row r="868" ht="14.25" customHeight="1"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4"/>
    </row>
    <row r="869" ht="14.25" customHeight="1"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4"/>
    </row>
    <row r="870" ht="14.25" customHeight="1"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4"/>
    </row>
    <row r="871" ht="14.25" customHeight="1"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4"/>
    </row>
    <row r="872" ht="14.25" customHeight="1"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4"/>
    </row>
    <row r="873" ht="14.25" customHeight="1"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4"/>
    </row>
    <row r="874" ht="14.25" customHeight="1"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4"/>
    </row>
    <row r="875" ht="14.25" customHeight="1"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4"/>
    </row>
    <row r="876" ht="14.25" customHeight="1"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4"/>
    </row>
    <row r="877" ht="14.25" customHeight="1"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4"/>
    </row>
    <row r="878" ht="14.25" customHeight="1"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4"/>
    </row>
    <row r="879" ht="14.25" customHeight="1"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4"/>
    </row>
    <row r="880" ht="14.25" customHeight="1"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4"/>
    </row>
    <row r="881" ht="14.25" customHeight="1"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4"/>
    </row>
    <row r="882" ht="14.25" customHeight="1"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4"/>
    </row>
    <row r="883" ht="14.25" customHeight="1"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4"/>
    </row>
    <row r="884" ht="14.25" customHeight="1"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4"/>
    </row>
    <row r="885" ht="14.25" customHeight="1"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4"/>
    </row>
    <row r="886" ht="14.25" customHeight="1"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4"/>
    </row>
    <row r="887" ht="14.25" customHeight="1"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4"/>
    </row>
    <row r="888" ht="14.25" customHeight="1"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4"/>
    </row>
    <row r="889" ht="14.25" customHeight="1"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4"/>
    </row>
    <row r="890" ht="14.25" customHeight="1"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4"/>
    </row>
    <row r="891" ht="14.25" customHeight="1"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4"/>
    </row>
    <row r="892" ht="14.25" customHeight="1"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4"/>
    </row>
    <row r="893" ht="14.25" customHeight="1"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4"/>
    </row>
    <row r="894" ht="14.25" customHeight="1"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4"/>
    </row>
    <row r="895" ht="14.25" customHeight="1"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4"/>
    </row>
    <row r="896" ht="14.25" customHeight="1"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4"/>
    </row>
    <row r="897" ht="14.25" customHeight="1"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4"/>
    </row>
    <row r="898" ht="14.25" customHeight="1"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4"/>
    </row>
    <row r="899" ht="14.25" customHeight="1"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4"/>
    </row>
    <row r="900" ht="14.25" customHeight="1"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4"/>
    </row>
    <row r="901" ht="14.25" customHeight="1"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4"/>
    </row>
    <row r="902" ht="14.25" customHeight="1"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4"/>
    </row>
    <row r="903" ht="14.25" customHeight="1"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4"/>
    </row>
    <row r="904" ht="14.25" customHeight="1"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4"/>
    </row>
    <row r="905" ht="14.25" customHeight="1"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4"/>
    </row>
    <row r="906" ht="14.25" customHeight="1"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4"/>
    </row>
    <row r="907" ht="14.25" customHeight="1"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4"/>
    </row>
    <row r="908" ht="14.25" customHeight="1"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4"/>
    </row>
    <row r="909" ht="14.25" customHeight="1"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4"/>
    </row>
    <row r="910" ht="14.25" customHeight="1"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4"/>
    </row>
    <row r="911" ht="14.25" customHeight="1"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4"/>
    </row>
    <row r="912" ht="14.25" customHeight="1"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4"/>
    </row>
    <row r="913" ht="14.25" customHeight="1"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4"/>
    </row>
    <row r="914" ht="14.25" customHeight="1"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4"/>
    </row>
    <row r="915" ht="14.25" customHeight="1"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4"/>
    </row>
    <row r="916" ht="14.25" customHeight="1"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4"/>
    </row>
    <row r="917" ht="14.25" customHeight="1"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4"/>
    </row>
    <row r="918" ht="14.25" customHeight="1"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4"/>
    </row>
    <row r="919" ht="14.25" customHeight="1"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4"/>
    </row>
    <row r="920" ht="14.25" customHeight="1"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4"/>
    </row>
    <row r="921" ht="14.25" customHeight="1"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4"/>
    </row>
    <row r="922" ht="14.25" customHeight="1"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4"/>
    </row>
    <row r="923" ht="14.25" customHeight="1"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4"/>
    </row>
    <row r="924" ht="14.25" customHeight="1"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4"/>
    </row>
    <row r="925" ht="14.25" customHeight="1"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4"/>
    </row>
    <row r="926" ht="14.25" customHeight="1"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4"/>
    </row>
    <row r="927" ht="14.25" customHeight="1"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4"/>
    </row>
    <row r="928" ht="14.25" customHeight="1"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4"/>
    </row>
    <row r="929" ht="14.25" customHeight="1"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4"/>
    </row>
    <row r="930" ht="14.25" customHeight="1"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4"/>
    </row>
    <row r="931" ht="14.25" customHeight="1"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4"/>
    </row>
    <row r="932" ht="14.25" customHeight="1"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4"/>
    </row>
    <row r="933" ht="14.25" customHeight="1"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4"/>
    </row>
    <row r="934" ht="14.25" customHeight="1"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4"/>
    </row>
    <row r="935" ht="14.25" customHeight="1"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4"/>
    </row>
    <row r="936" ht="14.25" customHeight="1"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4"/>
    </row>
    <row r="937" ht="14.25" customHeight="1"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4"/>
    </row>
    <row r="938" ht="14.25" customHeight="1"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4"/>
    </row>
    <row r="939" ht="14.25" customHeight="1"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4"/>
    </row>
    <row r="940" ht="14.25" customHeight="1"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4"/>
    </row>
    <row r="941" ht="14.25" customHeight="1"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4"/>
    </row>
    <row r="942" ht="14.25" customHeight="1"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4"/>
    </row>
    <row r="943" ht="14.25" customHeight="1"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4"/>
    </row>
    <row r="944" ht="14.25" customHeight="1"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4"/>
    </row>
    <row r="945" ht="14.25" customHeight="1"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4"/>
    </row>
    <row r="946" ht="14.25" customHeight="1"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4"/>
    </row>
    <row r="947" ht="14.25" customHeight="1"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4"/>
    </row>
    <row r="948" ht="14.25" customHeight="1"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4"/>
    </row>
    <row r="949" ht="14.25" customHeight="1"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4"/>
    </row>
    <row r="950" ht="14.25" customHeight="1"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4"/>
    </row>
    <row r="951" ht="14.25" customHeight="1"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4"/>
    </row>
    <row r="952" ht="14.25" customHeight="1"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4"/>
    </row>
    <row r="953" ht="14.25" customHeight="1"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4"/>
    </row>
    <row r="954" ht="14.25" customHeight="1"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4"/>
    </row>
    <row r="955" ht="14.25" customHeight="1"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4"/>
    </row>
    <row r="956" ht="14.25" customHeight="1"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4"/>
    </row>
    <row r="957" ht="14.25" customHeight="1"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4"/>
    </row>
    <row r="958" ht="14.25" customHeight="1"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4"/>
    </row>
    <row r="959" ht="14.25" customHeight="1"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4"/>
    </row>
    <row r="960" ht="14.25" customHeight="1"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4"/>
    </row>
    <row r="961" ht="14.25" customHeight="1"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4"/>
    </row>
    <row r="962" ht="14.25" customHeight="1"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4"/>
    </row>
    <row r="963" ht="14.25" customHeight="1"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4"/>
    </row>
    <row r="964" ht="14.25" customHeight="1"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4"/>
    </row>
    <row r="965" ht="14.25" customHeight="1"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4"/>
    </row>
    <row r="966" ht="14.25" customHeight="1"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4"/>
    </row>
    <row r="967" ht="14.25" customHeight="1"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4"/>
    </row>
    <row r="968" ht="14.25" customHeight="1"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4"/>
    </row>
    <row r="969" ht="14.25" customHeight="1"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4"/>
    </row>
    <row r="970" ht="14.25" customHeight="1"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4"/>
    </row>
    <row r="971" ht="14.25" customHeight="1"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4"/>
    </row>
    <row r="972" ht="14.25" customHeight="1"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4"/>
    </row>
    <row r="973" ht="14.25" customHeight="1"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4"/>
    </row>
    <row r="974" ht="14.25" customHeight="1"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4"/>
    </row>
    <row r="975" ht="14.25" customHeight="1"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4"/>
    </row>
    <row r="976" ht="14.25" customHeight="1"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4"/>
    </row>
    <row r="977" ht="14.25" customHeight="1"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4"/>
    </row>
    <row r="978" ht="14.25" customHeight="1"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4"/>
    </row>
    <row r="979" ht="14.25" customHeight="1"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4"/>
    </row>
    <row r="980" ht="14.25" customHeight="1"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4"/>
    </row>
    <row r="981" ht="14.25" customHeight="1"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4"/>
    </row>
    <row r="982" ht="14.25" customHeight="1"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4"/>
    </row>
    <row r="983" ht="14.25" customHeight="1"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4"/>
    </row>
    <row r="984" ht="14.25" customHeight="1"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4"/>
    </row>
    <row r="985" ht="14.25" customHeight="1"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4"/>
    </row>
    <row r="986" ht="14.25" customHeight="1"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4"/>
    </row>
    <row r="987" ht="14.25" customHeight="1"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4"/>
    </row>
    <row r="988" ht="14.25" customHeight="1"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4"/>
    </row>
    <row r="989" ht="14.25" customHeight="1"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4"/>
    </row>
    <row r="990" ht="14.25" customHeight="1"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4"/>
    </row>
    <row r="991" ht="14.25" customHeight="1"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4"/>
    </row>
    <row r="992" ht="14.25" customHeight="1"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4"/>
    </row>
    <row r="993" ht="14.25" customHeight="1"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4"/>
    </row>
    <row r="994" ht="14.25" customHeight="1"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4"/>
    </row>
    <row r="995" ht="14.25" customHeight="1"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4"/>
    </row>
    <row r="996" ht="14.25" customHeight="1"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4"/>
    </row>
    <row r="997" ht="14.25" customHeight="1"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4"/>
    </row>
    <row r="998" ht="14.25" customHeight="1"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4"/>
    </row>
    <row r="999" ht="14.25" customHeight="1"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4"/>
    </row>
    <row r="1000" ht="14.25" customHeight="1"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4"/>
    </row>
  </sheetData>
  <mergeCells count="37">
    <mergeCell ref="P12:P13"/>
    <mergeCell ref="R12:R13"/>
    <mergeCell ref="A9:T9"/>
    <mergeCell ref="A11:T11"/>
    <mergeCell ref="A12:A13"/>
    <mergeCell ref="B12:B13"/>
    <mergeCell ref="C12:C13"/>
    <mergeCell ref="D12:D13"/>
    <mergeCell ref="E12:E13"/>
    <mergeCell ref="A34:H34"/>
    <mergeCell ref="A36:F36"/>
    <mergeCell ref="F12:F13"/>
    <mergeCell ref="G12:G13"/>
    <mergeCell ref="A30:H30"/>
    <mergeCell ref="A31:H31"/>
    <mergeCell ref="A32:H32"/>
    <mergeCell ref="A33:H33"/>
    <mergeCell ref="A35:T35"/>
    <mergeCell ref="A2:T2"/>
    <mergeCell ref="A3:T3"/>
    <mergeCell ref="A4:S4"/>
    <mergeCell ref="A5:T5"/>
    <mergeCell ref="A6:T6"/>
    <mergeCell ref="A7:T7"/>
    <mergeCell ref="A8:T8"/>
    <mergeCell ref="H12:H13"/>
    <mergeCell ref="I12:I13"/>
    <mergeCell ref="J12:J13"/>
    <mergeCell ref="K12:K13"/>
    <mergeCell ref="L12:L13"/>
    <mergeCell ref="M12:M13"/>
    <mergeCell ref="N12:N13"/>
    <mergeCell ref="O12:O13"/>
    <mergeCell ref="S12:S13"/>
    <mergeCell ref="T12:T13"/>
    <mergeCell ref="S36:T36"/>
    <mergeCell ref="A37:T3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71"/>
    <col customWidth="1" min="3" max="3" width="12.29"/>
    <col customWidth="1" min="4" max="5" width="13.86"/>
    <col customWidth="1" min="6" max="10" width="8.86"/>
    <col customWidth="1" min="11" max="11" width="14.71"/>
    <col customWidth="1" min="12" max="12" width="15.71"/>
    <col customWidth="1" min="13" max="13" width="15.14"/>
    <col customWidth="1" min="14" max="26" width="8.71"/>
  </cols>
  <sheetData>
    <row r="1" ht="13.5" customHeight="1">
      <c r="A1" s="153"/>
      <c r="B1" s="153"/>
      <c r="C1" s="153"/>
      <c r="D1" s="154"/>
      <c r="E1" s="154"/>
      <c r="F1" s="153"/>
      <c r="G1" s="153"/>
      <c r="H1" s="153"/>
      <c r="I1" s="153"/>
      <c r="J1" s="153"/>
      <c r="K1" s="153"/>
      <c r="L1" s="154"/>
      <c r="M1" s="154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ht="13.5" customHeight="1">
      <c r="A2" s="153"/>
      <c r="B2" s="153"/>
      <c r="C2" s="153"/>
      <c r="D2" s="154"/>
      <c r="E2" s="154"/>
      <c r="F2" s="153"/>
      <c r="G2" s="153"/>
      <c r="H2" s="153"/>
      <c r="I2" s="153"/>
      <c r="J2" s="153"/>
      <c r="K2" s="153"/>
      <c r="L2" s="154"/>
      <c r="M2" s="154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 ht="13.5" customHeight="1">
      <c r="A3" s="153"/>
      <c r="B3" s="155" t="s">
        <v>249</v>
      </c>
      <c r="F3" s="153"/>
      <c r="G3" s="153"/>
      <c r="H3" s="153"/>
      <c r="I3" s="153"/>
      <c r="J3" s="153"/>
      <c r="K3" s="153"/>
      <c r="L3" s="154"/>
      <c r="M3" s="154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13.5" customHeight="1">
      <c r="A4" s="153"/>
      <c r="B4" s="153"/>
      <c r="C4" s="153"/>
      <c r="D4" s="154"/>
      <c r="E4" s="154"/>
      <c r="F4" s="153"/>
      <c r="G4" s="153"/>
      <c r="H4" s="153"/>
      <c r="I4" s="153"/>
      <c r="J4" s="153"/>
      <c r="K4" s="153"/>
      <c r="L4" s="154"/>
      <c r="M4" s="154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13.5" customHeight="1">
      <c r="A5" s="153"/>
      <c r="B5" s="156"/>
      <c r="C5" s="156"/>
      <c r="D5" s="157" t="s">
        <v>250</v>
      </c>
      <c r="E5" s="157" t="s">
        <v>251</v>
      </c>
      <c r="F5" s="153"/>
      <c r="G5" s="153"/>
      <c r="H5" s="153"/>
      <c r="I5" s="153"/>
      <c r="J5" s="153"/>
      <c r="K5" s="153"/>
      <c r="L5" s="154"/>
      <c r="M5" s="154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13.5" customHeight="1">
      <c r="A6" s="153"/>
      <c r="B6" s="156"/>
      <c r="C6" s="156" t="s">
        <v>253</v>
      </c>
      <c r="D6" s="158">
        <v>3.6126E7</v>
      </c>
      <c r="E6" s="158">
        <v>1.4617269E7</v>
      </c>
      <c r="F6" s="153"/>
      <c r="G6" s="153"/>
      <c r="H6" s="153"/>
      <c r="I6" s="153"/>
      <c r="J6" s="153"/>
      <c r="K6" s="153"/>
      <c r="L6" s="159" t="s">
        <v>254</v>
      </c>
      <c r="M6" s="81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13.5" customHeight="1">
      <c r="A7" s="153"/>
      <c r="B7" s="156"/>
      <c r="C7" s="156" t="s">
        <v>255</v>
      </c>
      <c r="D7" s="158">
        <v>4.481136E7</v>
      </c>
      <c r="E7" s="158">
        <v>3.82E7</v>
      </c>
      <c r="F7" s="153"/>
      <c r="G7" s="153"/>
      <c r="H7" s="153"/>
      <c r="I7" s="153"/>
      <c r="J7" s="153"/>
      <c r="K7" s="153"/>
      <c r="L7" s="158" t="s">
        <v>256</v>
      </c>
      <c r="M7" s="158" t="s">
        <v>257</v>
      </c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13.5" customHeight="1">
      <c r="A8" s="153"/>
      <c r="B8" s="156"/>
      <c r="C8" s="156" t="s">
        <v>102</v>
      </c>
      <c r="D8" s="158">
        <v>4.84067538E8</v>
      </c>
      <c r="E8" s="158">
        <v>3.6806548E8</v>
      </c>
      <c r="F8" s="153"/>
      <c r="G8" s="153"/>
      <c r="H8" s="153"/>
      <c r="I8" s="153"/>
      <c r="J8" s="153"/>
      <c r="K8" s="153"/>
      <c r="L8" s="158">
        <v>3.5034301E7</v>
      </c>
      <c r="M8" s="158">
        <v>7.236E7</v>
      </c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13.5" customHeight="1">
      <c r="A9" s="153"/>
      <c r="B9" s="156"/>
      <c r="C9" s="156" t="s">
        <v>202</v>
      </c>
      <c r="D9" s="158">
        <v>5076000.0</v>
      </c>
      <c r="E9" s="158">
        <v>500000.0</v>
      </c>
      <c r="F9" s="153"/>
      <c r="G9" s="153"/>
      <c r="H9" s="153"/>
      <c r="I9" s="153"/>
      <c r="J9" s="153"/>
      <c r="K9" s="153"/>
      <c r="L9" s="158">
        <v>8058273.0</v>
      </c>
      <c r="M9" s="158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13.5" customHeight="1">
      <c r="A10" s="153"/>
      <c r="B10" s="156"/>
      <c r="C10" s="156" t="s">
        <v>38</v>
      </c>
      <c r="D10" s="158">
        <v>7.668E7</v>
      </c>
      <c r="E10" s="158"/>
      <c r="F10" s="153"/>
      <c r="G10" s="153"/>
      <c r="H10" s="153"/>
      <c r="I10" s="153"/>
      <c r="J10" s="153"/>
      <c r="K10" s="153"/>
      <c r="L10" s="158">
        <v>7590546.0</v>
      </c>
      <c r="M10" s="158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ht="13.5" customHeight="1">
      <c r="A11" s="153"/>
      <c r="B11" s="156" t="s">
        <v>259</v>
      </c>
      <c r="C11" s="156" t="s">
        <v>260</v>
      </c>
      <c r="D11" s="158"/>
      <c r="E11" s="158">
        <v>2.2788E7</v>
      </c>
      <c r="F11" s="153"/>
      <c r="G11" s="153"/>
      <c r="H11" s="153"/>
      <c r="I11" s="153"/>
      <c r="J11" s="153"/>
      <c r="K11" s="153"/>
      <c r="L11" s="158">
        <v>1.2000546E7</v>
      </c>
      <c r="M11" s="158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13.5" customHeight="1">
      <c r="A12" s="153"/>
      <c r="B12" s="156" t="s">
        <v>259</v>
      </c>
      <c r="C12" s="156" t="s">
        <v>52</v>
      </c>
      <c r="D12" s="158"/>
      <c r="E12" s="158">
        <v>4.7952E7</v>
      </c>
      <c r="F12" s="153"/>
      <c r="G12" s="153"/>
      <c r="H12" s="153"/>
      <c r="I12" s="153"/>
      <c r="J12" s="153"/>
      <c r="K12" s="153"/>
      <c r="L12" s="158">
        <v>5.200745E7</v>
      </c>
      <c r="M12" s="158">
        <v>1.1664E8</v>
      </c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ht="13.5" customHeight="1">
      <c r="A13" s="153"/>
      <c r="B13" s="156" t="s">
        <v>261</v>
      </c>
      <c r="C13" s="156" t="s">
        <v>260</v>
      </c>
      <c r="D13" s="158"/>
      <c r="E13" s="158">
        <v>2.2464E7</v>
      </c>
      <c r="F13" s="153"/>
      <c r="G13" s="153"/>
      <c r="H13" s="153"/>
      <c r="I13" s="153"/>
      <c r="J13" s="153"/>
      <c r="K13" s="153"/>
      <c r="L13" s="158">
        <v>8629455.0</v>
      </c>
      <c r="M13" s="158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13.5" customHeight="1">
      <c r="A14" s="153"/>
      <c r="B14" s="156" t="s">
        <v>261</v>
      </c>
      <c r="C14" s="156" t="s">
        <v>52</v>
      </c>
      <c r="D14" s="158"/>
      <c r="E14" s="158">
        <v>2.2896E7</v>
      </c>
      <c r="F14" s="153"/>
      <c r="G14" s="153"/>
      <c r="H14" s="153"/>
      <c r="I14" s="153"/>
      <c r="J14" s="153"/>
      <c r="K14" s="153"/>
      <c r="L14" s="158">
        <v>1.0649182E7</v>
      </c>
      <c r="M14" s="158">
        <v>3.024E7</v>
      </c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 ht="13.5" customHeight="1">
      <c r="A15" s="153"/>
      <c r="B15" s="156" t="s">
        <v>259</v>
      </c>
      <c r="C15" s="156" t="s">
        <v>75</v>
      </c>
      <c r="D15" s="158"/>
      <c r="E15" s="158">
        <v>6804000.0</v>
      </c>
      <c r="F15" s="153"/>
      <c r="G15" s="153"/>
      <c r="H15" s="153"/>
      <c r="I15" s="153"/>
      <c r="J15" s="153"/>
      <c r="K15" s="153"/>
      <c r="L15" s="158">
        <v>1.4855727E7</v>
      </c>
      <c r="M15" s="158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13.5" customHeight="1">
      <c r="A16" s="153"/>
      <c r="B16" s="156" t="s">
        <v>261</v>
      </c>
      <c r="C16" s="156" t="s">
        <v>75</v>
      </c>
      <c r="D16" s="158"/>
      <c r="E16" s="158">
        <v>1.317168E7</v>
      </c>
      <c r="F16" s="153"/>
      <c r="G16" s="153"/>
      <c r="H16" s="153"/>
      <c r="I16" s="153"/>
      <c r="J16" s="153"/>
      <c r="K16" s="163" t="s">
        <v>263</v>
      </c>
      <c r="L16" s="164">
        <f t="shared" ref="L16:M16" si="1">SUM(L8:L15)</f>
        <v>148825480</v>
      </c>
      <c r="M16" s="164">
        <f t="shared" si="1"/>
        <v>219240000</v>
      </c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ht="13.5" customHeight="1">
      <c r="A17" s="153"/>
      <c r="B17" s="156"/>
      <c r="C17" s="156" t="s">
        <v>265</v>
      </c>
      <c r="D17" s="158"/>
      <c r="E17" s="158">
        <v>3780000.0</v>
      </c>
      <c r="F17" s="153"/>
      <c r="G17" s="153"/>
      <c r="H17" s="153"/>
      <c r="I17" s="153"/>
      <c r="J17" s="153"/>
      <c r="K17" s="163" t="s">
        <v>266</v>
      </c>
      <c r="L17" s="164">
        <f>L16+M16</f>
        <v>368065480</v>
      </c>
      <c r="M17" s="164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13.5" customHeight="1">
      <c r="A18" s="153"/>
      <c r="B18" s="166" t="s">
        <v>267</v>
      </c>
      <c r="C18" s="81"/>
      <c r="D18" s="158">
        <f>SUM(D6:D10)</f>
        <v>646760898</v>
      </c>
      <c r="E18" s="158">
        <f>SUM(E6:E17)</f>
        <v>561238429</v>
      </c>
      <c r="F18" s="153"/>
      <c r="G18" s="153"/>
      <c r="H18" s="153"/>
      <c r="I18" s="153"/>
      <c r="J18" s="153"/>
      <c r="K18" s="153"/>
      <c r="L18" s="154"/>
      <c r="M18" s="154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13.5" customHeight="1">
      <c r="A19" s="153"/>
      <c r="B19" s="166" t="s">
        <v>271</v>
      </c>
      <c r="C19" s="81"/>
      <c r="D19" s="158">
        <v>5.98852683E8</v>
      </c>
      <c r="E19" s="158">
        <v>5.19665212E8</v>
      </c>
      <c r="F19" s="153"/>
      <c r="G19" s="153"/>
      <c r="H19" s="153"/>
      <c r="I19" s="153"/>
      <c r="J19" s="153"/>
      <c r="K19" s="153"/>
      <c r="L19" s="154"/>
      <c r="M19" s="154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13.5" customHeight="1">
      <c r="A20" s="153"/>
      <c r="B20" s="167" t="s">
        <v>272</v>
      </c>
      <c r="C20" s="81"/>
      <c r="D20" s="168">
        <f>D19-E19</f>
        <v>79187471</v>
      </c>
      <c r="E20" s="158"/>
      <c r="F20" s="153"/>
      <c r="G20" s="153"/>
      <c r="H20" s="153"/>
      <c r="I20" s="153"/>
      <c r="J20" s="153"/>
      <c r="K20" s="153"/>
      <c r="L20" s="154"/>
      <c r="M20" s="154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13.5" customHeight="1">
      <c r="A21" s="153"/>
      <c r="B21" s="169" t="s">
        <v>274</v>
      </c>
      <c r="C21" s="170"/>
      <c r="D21" s="171">
        <f>D20/D19</f>
        <v>0.1322319716</v>
      </c>
      <c r="E21" s="156"/>
      <c r="F21" s="153"/>
      <c r="G21" s="153"/>
      <c r="H21" s="153"/>
      <c r="I21" s="153"/>
      <c r="J21" s="153"/>
      <c r="K21" s="153"/>
      <c r="L21" s="154"/>
      <c r="M21" s="154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13.5" customHeight="1">
      <c r="A22" s="153"/>
      <c r="B22" s="172"/>
      <c r="C22" s="173"/>
      <c r="D22" s="30"/>
      <c r="E22" s="158"/>
      <c r="F22" s="153"/>
      <c r="G22" s="153"/>
      <c r="H22" s="153"/>
      <c r="I22" s="153"/>
      <c r="J22" s="153"/>
      <c r="K22" s="153"/>
      <c r="L22" s="154"/>
      <c r="M22" s="154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ht="13.5" customHeight="1">
      <c r="A23" s="153"/>
      <c r="B23" s="153"/>
      <c r="C23" s="153"/>
      <c r="D23" s="154"/>
      <c r="E23" s="154"/>
      <c r="F23" s="153"/>
      <c r="G23" s="153"/>
      <c r="H23" s="153"/>
      <c r="I23" s="153"/>
      <c r="J23" s="153"/>
      <c r="K23" s="153"/>
      <c r="L23" s="154"/>
      <c r="M23" s="154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13.5" customHeight="1">
      <c r="A24" s="153"/>
      <c r="B24" s="153"/>
      <c r="C24" s="153"/>
      <c r="D24" s="154"/>
      <c r="E24" s="154"/>
      <c r="F24" s="153"/>
      <c r="G24" s="153"/>
      <c r="H24" s="153"/>
      <c r="I24" s="153"/>
      <c r="J24" s="153"/>
      <c r="K24" s="153"/>
      <c r="L24" s="154"/>
      <c r="M24" s="154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13.5" customHeight="1">
      <c r="A25" s="153"/>
      <c r="B25" s="153"/>
      <c r="C25" s="153"/>
      <c r="D25" s="154"/>
      <c r="E25" s="154"/>
      <c r="F25" s="153"/>
      <c r="G25" s="153"/>
      <c r="H25" s="153"/>
      <c r="I25" s="153"/>
      <c r="J25" s="153"/>
      <c r="K25" s="153"/>
      <c r="L25" s="154"/>
      <c r="M25" s="154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13.5" customHeight="1">
      <c r="A26" s="153"/>
      <c r="B26" s="153"/>
      <c r="C26" s="153"/>
      <c r="D26" s="154"/>
      <c r="E26" s="154"/>
      <c r="F26" s="153"/>
      <c r="G26" s="153"/>
      <c r="H26" s="153"/>
      <c r="I26" s="153"/>
      <c r="J26" s="153"/>
      <c r="K26" s="153"/>
      <c r="L26" s="154"/>
      <c r="M26" s="154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13.5" customHeight="1">
      <c r="A27" s="153"/>
      <c r="B27" s="153"/>
      <c r="C27" s="153"/>
      <c r="D27" s="154"/>
      <c r="E27" s="154"/>
      <c r="F27" s="153"/>
      <c r="G27" s="153"/>
      <c r="H27" s="153"/>
      <c r="I27" s="153"/>
      <c r="J27" s="153"/>
      <c r="K27" s="153"/>
      <c r="L27" s="154"/>
      <c r="M27" s="154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13.5" customHeight="1">
      <c r="A28" s="153"/>
      <c r="B28" s="153"/>
      <c r="C28" s="153"/>
      <c r="D28" s="154"/>
      <c r="E28" s="154"/>
      <c r="F28" s="153"/>
      <c r="G28" s="153"/>
      <c r="H28" s="153"/>
      <c r="I28" s="153"/>
      <c r="J28" s="153"/>
      <c r="K28" s="153"/>
      <c r="L28" s="154"/>
      <c r="M28" s="154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13.5" customHeight="1">
      <c r="A29" s="153"/>
      <c r="B29" s="153"/>
      <c r="C29" s="153"/>
      <c r="D29" s="154"/>
      <c r="E29" s="154"/>
      <c r="F29" s="153"/>
      <c r="G29" s="153"/>
      <c r="H29" s="153"/>
      <c r="I29" s="153"/>
      <c r="J29" s="153"/>
      <c r="K29" s="153"/>
      <c r="L29" s="154"/>
      <c r="M29" s="154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13.5" customHeight="1">
      <c r="A30" s="153"/>
      <c r="B30" s="153"/>
      <c r="C30" s="153"/>
      <c r="D30" s="154"/>
      <c r="E30" s="154"/>
      <c r="F30" s="153"/>
      <c r="G30" s="153"/>
      <c r="H30" s="153"/>
      <c r="I30" s="153"/>
      <c r="J30" s="153"/>
      <c r="K30" s="153"/>
      <c r="L30" s="154"/>
      <c r="M30" s="154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13.5" customHeight="1">
      <c r="A31" s="153"/>
      <c r="B31" s="153"/>
      <c r="C31" s="153"/>
      <c r="D31" s="154"/>
      <c r="E31" s="154"/>
      <c r="F31" s="153"/>
      <c r="G31" s="153"/>
      <c r="H31" s="153"/>
      <c r="I31" s="153"/>
      <c r="J31" s="153"/>
      <c r="K31" s="153"/>
      <c r="L31" s="154"/>
      <c r="M31" s="154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13.5" customHeight="1">
      <c r="A32" s="153"/>
      <c r="B32" s="153"/>
      <c r="C32" s="153"/>
      <c r="D32" s="154"/>
      <c r="E32" s="154"/>
      <c r="F32" s="153"/>
      <c r="G32" s="153"/>
      <c r="H32" s="153"/>
      <c r="I32" s="153"/>
      <c r="J32" s="153"/>
      <c r="K32" s="153"/>
      <c r="L32" s="154"/>
      <c r="M32" s="154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13.5" customHeight="1">
      <c r="A33" s="153"/>
      <c r="B33" s="153"/>
      <c r="C33" s="153"/>
      <c r="D33" s="154"/>
      <c r="E33" s="154"/>
      <c r="F33" s="153"/>
      <c r="G33" s="153"/>
      <c r="H33" s="153"/>
      <c r="I33" s="153"/>
      <c r="J33" s="153"/>
      <c r="K33" s="153"/>
      <c r="L33" s="154"/>
      <c r="M33" s="154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13.5" customHeight="1">
      <c r="A34" s="153"/>
      <c r="B34" s="153"/>
      <c r="C34" s="153"/>
      <c r="D34" s="154"/>
      <c r="E34" s="154"/>
      <c r="F34" s="153"/>
      <c r="G34" s="153"/>
      <c r="H34" s="153"/>
      <c r="I34" s="153"/>
      <c r="J34" s="153"/>
      <c r="K34" s="153"/>
      <c r="L34" s="154"/>
      <c r="M34" s="154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13.5" customHeight="1">
      <c r="A35" s="153"/>
      <c r="B35" s="153"/>
      <c r="C35" s="153"/>
      <c r="D35" s="154"/>
      <c r="E35" s="154"/>
      <c r="F35" s="153"/>
      <c r="G35" s="153"/>
      <c r="H35" s="153"/>
      <c r="I35" s="153"/>
      <c r="J35" s="153"/>
      <c r="K35" s="153"/>
      <c r="L35" s="154"/>
      <c r="M35" s="154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13.5" customHeight="1">
      <c r="A36" s="153"/>
      <c r="B36" s="153"/>
      <c r="C36" s="153"/>
      <c r="D36" s="154"/>
      <c r="E36" s="154"/>
      <c r="F36" s="153"/>
      <c r="G36" s="153"/>
      <c r="H36" s="153"/>
      <c r="I36" s="153"/>
      <c r="J36" s="153"/>
      <c r="K36" s="153"/>
      <c r="L36" s="154"/>
      <c r="M36" s="154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ht="13.5" customHeight="1">
      <c r="A37" s="153"/>
      <c r="B37" s="153"/>
      <c r="C37" s="153"/>
      <c r="D37" s="154"/>
      <c r="E37" s="154"/>
      <c r="F37" s="153"/>
      <c r="G37" s="153"/>
      <c r="H37" s="153"/>
      <c r="I37" s="153"/>
      <c r="J37" s="153"/>
      <c r="K37" s="153"/>
      <c r="L37" s="154"/>
      <c r="M37" s="154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13.5" customHeight="1">
      <c r="A38" s="153"/>
      <c r="B38" s="153"/>
      <c r="C38" s="153"/>
      <c r="D38" s="154"/>
      <c r="E38" s="154"/>
      <c r="F38" s="153"/>
      <c r="G38" s="153"/>
      <c r="H38" s="153"/>
      <c r="I38" s="153"/>
      <c r="J38" s="153"/>
      <c r="K38" s="153"/>
      <c r="L38" s="154"/>
      <c r="M38" s="154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13.5" customHeight="1">
      <c r="A39" s="153"/>
      <c r="B39" s="153"/>
      <c r="C39" s="153"/>
      <c r="D39" s="154"/>
      <c r="E39" s="154"/>
      <c r="F39" s="153"/>
      <c r="G39" s="153"/>
      <c r="H39" s="153"/>
      <c r="I39" s="153"/>
      <c r="J39" s="153"/>
      <c r="K39" s="153"/>
      <c r="L39" s="154"/>
      <c r="M39" s="154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13.5" customHeight="1">
      <c r="A40" s="153"/>
      <c r="B40" s="153"/>
      <c r="C40" s="153"/>
      <c r="D40" s="154"/>
      <c r="E40" s="154"/>
      <c r="F40" s="153"/>
      <c r="G40" s="153"/>
      <c r="H40" s="153"/>
      <c r="I40" s="153"/>
      <c r="J40" s="153"/>
      <c r="K40" s="153"/>
      <c r="L40" s="154"/>
      <c r="M40" s="154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13.5" customHeight="1">
      <c r="A41" s="153"/>
      <c r="B41" s="153"/>
      <c r="C41" s="153"/>
      <c r="D41" s="154"/>
      <c r="E41" s="154"/>
      <c r="F41" s="153"/>
      <c r="G41" s="153"/>
      <c r="H41" s="153"/>
      <c r="I41" s="153"/>
      <c r="J41" s="153"/>
      <c r="K41" s="153"/>
      <c r="L41" s="154"/>
      <c r="M41" s="154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13.5" customHeight="1">
      <c r="A42" s="153"/>
      <c r="B42" s="153"/>
      <c r="C42" s="153"/>
      <c r="D42" s="154"/>
      <c r="E42" s="154"/>
      <c r="F42" s="153"/>
      <c r="G42" s="153"/>
      <c r="H42" s="153"/>
      <c r="I42" s="153"/>
      <c r="J42" s="153"/>
      <c r="K42" s="153"/>
      <c r="L42" s="154"/>
      <c r="M42" s="154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13.5" customHeight="1">
      <c r="A43" s="153"/>
      <c r="B43" s="153"/>
      <c r="C43" s="153"/>
      <c r="D43" s="154"/>
      <c r="E43" s="154"/>
      <c r="F43" s="153"/>
      <c r="G43" s="153"/>
      <c r="H43" s="153"/>
      <c r="I43" s="153"/>
      <c r="J43" s="153"/>
      <c r="K43" s="153"/>
      <c r="L43" s="154"/>
      <c r="M43" s="154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ht="13.5" customHeight="1">
      <c r="A44" s="153"/>
      <c r="B44" s="153"/>
      <c r="C44" s="153"/>
      <c r="D44" s="154"/>
      <c r="E44" s="154"/>
      <c r="F44" s="153"/>
      <c r="G44" s="153"/>
      <c r="H44" s="153"/>
      <c r="I44" s="153"/>
      <c r="J44" s="153"/>
      <c r="K44" s="153"/>
      <c r="L44" s="154"/>
      <c r="M44" s="154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ht="13.5" customHeight="1">
      <c r="A45" s="153"/>
      <c r="B45" s="153"/>
      <c r="C45" s="153"/>
      <c r="D45" s="154"/>
      <c r="E45" s="154"/>
      <c r="F45" s="153"/>
      <c r="G45" s="153"/>
      <c r="H45" s="153"/>
      <c r="I45" s="153"/>
      <c r="J45" s="153"/>
      <c r="K45" s="153"/>
      <c r="L45" s="154"/>
      <c r="M45" s="154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ht="13.5" customHeight="1">
      <c r="A46" s="153"/>
      <c r="B46" s="153"/>
      <c r="C46" s="153"/>
      <c r="D46" s="154"/>
      <c r="E46" s="154"/>
      <c r="F46" s="153"/>
      <c r="G46" s="153"/>
      <c r="H46" s="153"/>
      <c r="I46" s="153"/>
      <c r="J46" s="153"/>
      <c r="K46" s="153"/>
      <c r="L46" s="154"/>
      <c r="M46" s="154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ht="13.5" customHeight="1">
      <c r="A47" s="153"/>
      <c r="B47" s="153"/>
      <c r="C47" s="153"/>
      <c r="D47" s="154"/>
      <c r="E47" s="154"/>
      <c r="F47" s="153"/>
      <c r="G47" s="153"/>
      <c r="H47" s="153"/>
      <c r="I47" s="153"/>
      <c r="J47" s="153"/>
      <c r="K47" s="153"/>
      <c r="L47" s="154"/>
      <c r="M47" s="154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ht="13.5" customHeight="1">
      <c r="A48" s="153"/>
      <c r="B48" s="153"/>
      <c r="C48" s="153"/>
      <c r="D48" s="154"/>
      <c r="E48" s="154"/>
      <c r="F48" s="153"/>
      <c r="G48" s="153"/>
      <c r="H48" s="153"/>
      <c r="I48" s="153"/>
      <c r="J48" s="153"/>
      <c r="K48" s="153"/>
      <c r="L48" s="154"/>
      <c r="M48" s="154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ht="13.5" customHeight="1">
      <c r="A49" s="153"/>
      <c r="B49" s="153"/>
      <c r="C49" s="153"/>
      <c r="D49" s="154"/>
      <c r="E49" s="154"/>
      <c r="F49" s="153"/>
      <c r="G49" s="153"/>
      <c r="H49" s="153"/>
      <c r="I49" s="153"/>
      <c r="J49" s="153"/>
      <c r="K49" s="153"/>
      <c r="L49" s="154"/>
      <c r="M49" s="154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ht="13.5" customHeight="1">
      <c r="A50" s="153"/>
      <c r="B50" s="153"/>
      <c r="C50" s="153"/>
      <c r="D50" s="154"/>
      <c r="E50" s="154"/>
      <c r="F50" s="153"/>
      <c r="G50" s="153"/>
      <c r="H50" s="153"/>
      <c r="I50" s="153"/>
      <c r="J50" s="153"/>
      <c r="K50" s="153"/>
      <c r="L50" s="154"/>
      <c r="M50" s="154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ht="13.5" customHeight="1">
      <c r="A51" s="153"/>
      <c r="B51" s="153"/>
      <c r="C51" s="153"/>
      <c r="D51" s="154"/>
      <c r="E51" s="154"/>
      <c r="F51" s="153"/>
      <c r="G51" s="153"/>
      <c r="H51" s="153"/>
      <c r="I51" s="153"/>
      <c r="J51" s="153"/>
      <c r="K51" s="153"/>
      <c r="L51" s="154"/>
      <c r="M51" s="154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ht="13.5" customHeight="1">
      <c r="A52" s="153"/>
      <c r="B52" s="153"/>
      <c r="C52" s="153"/>
      <c r="D52" s="154"/>
      <c r="E52" s="154"/>
      <c r="F52" s="153"/>
      <c r="G52" s="153"/>
      <c r="H52" s="153"/>
      <c r="I52" s="153"/>
      <c r="J52" s="153"/>
      <c r="K52" s="153"/>
      <c r="L52" s="154"/>
      <c r="M52" s="154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ht="13.5" customHeight="1">
      <c r="A53" s="153"/>
      <c r="B53" s="153"/>
      <c r="C53" s="153"/>
      <c r="D53" s="154"/>
      <c r="E53" s="154"/>
      <c r="F53" s="153"/>
      <c r="G53" s="153"/>
      <c r="H53" s="153"/>
      <c r="I53" s="153"/>
      <c r="J53" s="153"/>
      <c r="K53" s="153"/>
      <c r="L53" s="154"/>
      <c r="M53" s="154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ht="13.5" customHeight="1">
      <c r="A54" s="153"/>
      <c r="B54" s="153"/>
      <c r="C54" s="153"/>
      <c r="D54" s="154"/>
      <c r="E54" s="154"/>
      <c r="F54" s="153"/>
      <c r="G54" s="153"/>
      <c r="H54" s="153"/>
      <c r="I54" s="153"/>
      <c r="J54" s="153"/>
      <c r="K54" s="153"/>
      <c r="L54" s="154"/>
      <c r="M54" s="154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ht="13.5" customHeight="1">
      <c r="A55" s="153"/>
      <c r="B55" s="153"/>
      <c r="C55" s="153"/>
      <c r="D55" s="154"/>
      <c r="E55" s="154"/>
      <c r="F55" s="153"/>
      <c r="G55" s="153"/>
      <c r="H55" s="153"/>
      <c r="I55" s="153"/>
      <c r="J55" s="153"/>
      <c r="K55" s="153"/>
      <c r="L55" s="154"/>
      <c r="M55" s="154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ht="13.5" customHeight="1">
      <c r="A56" s="153"/>
      <c r="B56" s="153"/>
      <c r="C56" s="153"/>
      <c r="D56" s="154"/>
      <c r="E56" s="154"/>
      <c r="F56" s="153"/>
      <c r="G56" s="153"/>
      <c r="H56" s="153"/>
      <c r="I56" s="153"/>
      <c r="J56" s="153"/>
      <c r="K56" s="153"/>
      <c r="L56" s="154"/>
      <c r="M56" s="154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ht="13.5" customHeight="1">
      <c r="A57" s="153"/>
      <c r="B57" s="153"/>
      <c r="C57" s="153"/>
      <c r="D57" s="154"/>
      <c r="E57" s="154"/>
      <c r="F57" s="153"/>
      <c r="G57" s="153"/>
      <c r="H57" s="153"/>
      <c r="I57" s="153"/>
      <c r="J57" s="153"/>
      <c r="K57" s="153"/>
      <c r="L57" s="154"/>
      <c r="M57" s="154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ht="13.5" customHeight="1">
      <c r="A58" s="153"/>
      <c r="B58" s="153"/>
      <c r="C58" s="153"/>
      <c r="D58" s="154"/>
      <c r="E58" s="154"/>
      <c r="F58" s="153"/>
      <c r="G58" s="153"/>
      <c r="H58" s="153"/>
      <c r="I58" s="153"/>
      <c r="J58" s="153"/>
      <c r="K58" s="153"/>
      <c r="L58" s="154"/>
      <c r="M58" s="154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ht="13.5" customHeight="1">
      <c r="A59" s="153"/>
      <c r="B59" s="153"/>
      <c r="C59" s="153"/>
      <c r="D59" s="154"/>
      <c r="E59" s="154"/>
      <c r="F59" s="153"/>
      <c r="G59" s="153"/>
      <c r="H59" s="153"/>
      <c r="I59" s="153"/>
      <c r="J59" s="153"/>
      <c r="K59" s="153"/>
      <c r="L59" s="154"/>
      <c r="M59" s="154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ht="13.5" customHeight="1">
      <c r="A60" s="153"/>
      <c r="B60" s="153"/>
      <c r="C60" s="153"/>
      <c r="D60" s="154"/>
      <c r="E60" s="154"/>
      <c r="F60" s="153"/>
      <c r="G60" s="153"/>
      <c r="H60" s="153"/>
      <c r="I60" s="153"/>
      <c r="J60" s="153"/>
      <c r="K60" s="153"/>
      <c r="L60" s="154"/>
      <c r="M60" s="154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ht="13.5" customHeight="1">
      <c r="A61" s="153"/>
      <c r="B61" s="153"/>
      <c r="C61" s="153"/>
      <c r="D61" s="154"/>
      <c r="E61" s="154"/>
      <c r="F61" s="153"/>
      <c r="G61" s="153"/>
      <c r="H61" s="153"/>
      <c r="I61" s="153"/>
      <c r="J61" s="153"/>
      <c r="K61" s="153"/>
      <c r="L61" s="154"/>
      <c r="M61" s="154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ht="13.5" customHeight="1">
      <c r="A62" s="153"/>
      <c r="B62" s="153"/>
      <c r="C62" s="153"/>
      <c r="D62" s="154"/>
      <c r="E62" s="154"/>
      <c r="F62" s="153"/>
      <c r="G62" s="153"/>
      <c r="H62" s="153"/>
      <c r="I62" s="153"/>
      <c r="J62" s="153"/>
      <c r="K62" s="153"/>
      <c r="L62" s="154"/>
      <c r="M62" s="154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ht="13.5" customHeight="1">
      <c r="A63" s="153"/>
      <c r="B63" s="153"/>
      <c r="C63" s="153"/>
      <c r="D63" s="154"/>
      <c r="E63" s="154"/>
      <c r="F63" s="153"/>
      <c r="G63" s="153"/>
      <c r="H63" s="153"/>
      <c r="I63" s="153"/>
      <c r="J63" s="153"/>
      <c r="K63" s="153"/>
      <c r="L63" s="154"/>
      <c r="M63" s="154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ht="13.5" customHeight="1">
      <c r="A64" s="153"/>
      <c r="B64" s="153"/>
      <c r="C64" s="153"/>
      <c r="D64" s="154"/>
      <c r="E64" s="154"/>
      <c r="F64" s="153"/>
      <c r="G64" s="153"/>
      <c r="H64" s="153"/>
      <c r="I64" s="153"/>
      <c r="J64" s="153"/>
      <c r="K64" s="153"/>
      <c r="L64" s="154"/>
      <c r="M64" s="154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13.5" customHeight="1">
      <c r="A65" s="153"/>
      <c r="B65" s="153"/>
      <c r="C65" s="153"/>
      <c r="D65" s="154"/>
      <c r="E65" s="154"/>
      <c r="F65" s="153"/>
      <c r="G65" s="153"/>
      <c r="H65" s="153"/>
      <c r="I65" s="153"/>
      <c r="J65" s="153"/>
      <c r="K65" s="153"/>
      <c r="L65" s="154"/>
      <c r="M65" s="154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ht="13.5" customHeight="1">
      <c r="A66" s="153"/>
      <c r="B66" s="153"/>
      <c r="C66" s="153"/>
      <c r="D66" s="154"/>
      <c r="E66" s="154"/>
      <c r="F66" s="153"/>
      <c r="G66" s="153"/>
      <c r="H66" s="153"/>
      <c r="I66" s="153"/>
      <c r="J66" s="153"/>
      <c r="K66" s="153"/>
      <c r="L66" s="154"/>
      <c r="M66" s="154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ht="13.5" customHeight="1">
      <c r="A67" s="153"/>
      <c r="B67" s="153"/>
      <c r="C67" s="153"/>
      <c r="D67" s="154"/>
      <c r="E67" s="154"/>
      <c r="F67" s="153"/>
      <c r="G67" s="153"/>
      <c r="H67" s="153"/>
      <c r="I67" s="153"/>
      <c r="J67" s="153"/>
      <c r="K67" s="153"/>
      <c r="L67" s="154"/>
      <c r="M67" s="154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ht="13.5" customHeight="1">
      <c r="A68" s="153"/>
      <c r="B68" s="153"/>
      <c r="C68" s="153"/>
      <c r="D68" s="154"/>
      <c r="E68" s="154"/>
      <c r="F68" s="153"/>
      <c r="G68" s="153"/>
      <c r="H68" s="153"/>
      <c r="I68" s="153"/>
      <c r="J68" s="153"/>
      <c r="K68" s="153"/>
      <c r="L68" s="154"/>
      <c r="M68" s="154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ht="13.5" customHeight="1">
      <c r="A69" s="153"/>
      <c r="B69" s="153"/>
      <c r="C69" s="153"/>
      <c r="D69" s="154"/>
      <c r="E69" s="154"/>
      <c r="F69" s="153"/>
      <c r="G69" s="153"/>
      <c r="H69" s="153"/>
      <c r="I69" s="153"/>
      <c r="J69" s="153"/>
      <c r="K69" s="153"/>
      <c r="L69" s="154"/>
      <c r="M69" s="154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ht="13.5" customHeight="1">
      <c r="A70" s="153"/>
      <c r="B70" s="153"/>
      <c r="C70" s="153"/>
      <c r="D70" s="154"/>
      <c r="E70" s="154"/>
      <c r="F70" s="153"/>
      <c r="G70" s="153"/>
      <c r="H70" s="153"/>
      <c r="I70" s="153"/>
      <c r="J70" s="153"/>
      <c r="K70" s="153"/>
      <c r="L70" s="154"/>
      <c r="M70" s="154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ht="13.5" customHeight="1">
      <c r="A71" s="153"/>
      <c r="B71" s="153"/>
      <c r="C71" s="153"/>
      <c r="D71" s="154"/>
      <c r="E71" s="154"/>
      <c r="F71" s="153"/>
      <c r="G71" s="153"/>
      <c r="H71" s="153"/>
      <c r="I71" s="153"/>
      <c r="J71" s="153"/>
      <c r="K71" s="153"/>
      <c r="L71" s="154"/>
      <c r="M71" s="154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ht="13.5" customHeight="1">
      <c r="A72" s="153"/>
      <c r="B72" s="153"/>
      <c r="C72" s="153"/>
      <c r="D72" s="154"/>
      <c r="E72" s="154"/>
      <c r="F72" s="153"/>
      <c r="G72" s="153"/>
      <c r="H72" s="153"/>
      <c r="I72" s="153"/>
      <c r="J72" s="153"/>
      <c r="K72" s="153"/>
      <c r="L72" s="154"/>
      <c r="M72" s="154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ht="13.5" customHeight="1">
      <c r="A73" s="153"/>
      <c r="B73" s="153"/>
      <c r="C73" s="153"/>
      <c r="D73" s="154"/>
      <c r="E73" s="154"/>
      <c r="F73" s="153"/>
      <c r="G73" s="153"/>
      <c r="H73" s="153"/>
      <c r="I73" s="153"/>
      <c r="J73" s="153"/>
      <c r="K73" s="153"/>
      <c r="L73" s="154"/>
      <c r="M73" s="154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ht="13.5" customHeight="1">
      <c r="A74" s="153"/>
      <c r="B74" s="153"/>
      <c r="C74" s="153"/>
      <c r="D74" s="154"/>
      <c r="E74" s="154"/>
      <c r="F74" s="153"/>
      <c r="G74" s="153"/>
      <c r="H74" s="153"/>
      <c r="I74" s="153"/>
      <c r="J74" s="153"/>
      <c r="K74" s="153"/>
      <c r="L74" s="154"/>
      <c r="M74" s="154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ht="13.5" customHeight="1">
      <c r="A75" s="153"/>
      <c r="B75" s="153"/>
      <c r="C75" s="153"/>
      <c r="D75" s="154"/>
      <c r="E75" s="154"/>
      <c r="F75" s="153"/>
      <c r="G75" s="153"/>
      <c r="H75" s="153"/>
      <c r="I75" s="153"/>
      <c r="J75" s="153"/>
      <c r="K75" s="153"/>
      <c r="L75" s="154"/>
      <c r="M75" s="154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ht="13.5" customHeight="1">
      <c r="A76" s="153"/>
      <c r="B76" s="153"/>
      <c r="C76" s="153"/>
      <c r="D76" s="154"/>
      <c r="E76" s="154"/>
      <c r="F76" s="153"/>
      <c r="G76" s="153"/>
      <c r="H76" s="153"/>
      <c r="I76" s="153"/>
      <c r="J76" s="153"/>
      <c r="K76" s="153"/>
      <c r="L76" s="154"/>
      <c r="M76" s="154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ht="13.5" customHeight="1">
      <c r="A77" s="153"/>
      <c r="B77" s="153"/>
      <c r="C77" s="153"/>
      <c r="D77" s="154"/>
      <c r="E77" s="154"/>
      <c r="F77" s="153"/>
      <c r="G77" s="153"/>
      <c r="H77" s="153"/>
      <c r="I77" s="153"/>
      <c r="J77" s="153"/>
      <c r="K77" s="153"/>
      <c r="L77" s="154"/>
      <c r="M77" s="154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13.5" customHeight="1">
      <c r="A78" s="153"/>
      <c r="B78" s="153"/>
      <c r="C78" s="153"/>
      <c r="D78" s="154"/>
      <c r="E78" s="154"/>
      <c r="F78" s="153"/>
      <c r="G78" s="153"/>
      <c r="H78" s="153"/>
      <c r="I78" s="153"/>
      <c r="J78" s="153"/>
      <c r="K78" s="153"/>
      <c r="L78" s="154"/>
      <c r="M78" s="154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13.5" customHeight="1">
      <c r="A79" s="153"/>
      <c r="B79" s="153"/>
      <c r="C79" s="153"/>
      <c r="D79" s="154"/>
      <c r="E79" s="154"/>
      <c r="F79" s="153"/>
      <c r="G79" s="153"/>
      <c r="H79" s="153"/>
      <c r="I79" s="153"/>
      <c r="J79" s="153"/>
      <c r="K79" s="153"/>
      <c r="L79" s="154"/>
      <c r="M79" s="154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13.5" customHeight="1">
      <c r="A80" s="153"/>
      <c r="B80" s="153"/>
      <c r="C80" s="153"/>
      <c r="D80" s="154"/>
      <c r="E80" s="154"/>
      <c r="F80" s="153"/>
      <c r="G80" s="153"/>
      <c r="H80" s="153"/>
      <c r="I80" s="153"/>
      <c r="J80" s="153"/>
      <c r="K80" s="153"/>
      <c r="L80" s="154"/>
      <c r="M80" s="154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13.5" customHeight="1">
      <c r="A81" s="153"/>
      <c r="B81" s="153"/>
      <c r="C81" s="153"/>
      <c r="D81" s="154"/>
      <c r="E81" s="154"/>
      <c r="F81" s="153"/>
      <c r="G81" s="153"/>
      <c r="H81" s="153"/>
      <c r="I81" s="153"/>
      <c r="J81" s="153"/>
      <c r="K81" s="153"/>
      <c r="L81" s="154"/>
      <c r="M81" s="154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ht="13.5" customHeight="1">
      <c r="A82" s="153"/>
      <c r="B82" s="153"/>
      <c r="C82" s="153"/>
      <c r="D82" s="154"/>
      <c r="E82" s="154"/>
      <c r="F82" s="153"/>
      <c r="G82" s="153"/>
      <c r="H82" s="153"/>
      <c r="I82" s="153"/>
      <c r="J82" s="153"/>
      <c r="K82" s="153"/>
      <c r="L82" s="154"/>
      <c r="M82" s="154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ht="13.5" customHeight="1">
      <c r="A83" s="153"/>
      <c r="B83" s="153"/>
      <c r="C83" s="153"/>
      <c r="D83" s="154"/>
      <c r="E83" s="154"/>
      <c r="F83" s="153"/>
      <c r="G83" s="153"/>
      <c r="H83" s="153"/>
      <c r="I83" s="153"/>
      <c r="J83" s="153"/>
      <c r="K83" s="153"/>
      <c r="L83" s="154"/>
      <c r="M83" s="154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ht="13.5" customHeight="1">
      <c r="A84" s="153"/>
      <c r="B84" s="153"/>
      <c r="C84" s="153"/>
      <c r="D84" s="154"/>
      <c r="E84" s="154"/>
      <c r="F84" s="153"/>
      <c r="G84" s="153"/>
      <c r="H84" s="153"/>
      <c r="I84" s="153"/>
      <c r="J84" s="153"/>
      <c r="K84" s="153"/>
      <c r="L84" s="154"/>
      <c r="M84" s="154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ht="13.5" customHeight="1">
      <c r="A85" s="153"/>
      <c r="B85" s="153"/>
      <c r="C85" s="153"/>
      <c r="D85" s="154"/>
      <c r="E85" s="154"/>
      <c r="F85" s="153"/>
      <c r="G85" s="153"/>
      <c r="H85" s="153"/>
      <c r="I85" s="153"/>
      <c r="J85" s="153"/>
      <c r="K85" s="153"/>
      <c r="L85" s="154"/>
      <c r="M85" s="154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ht="13.5" customHeight="1">
      <c r="A86" s="153"/>
      <c r="B86" s="153"/>
      <c r="C86" s="153"/>
      <c r="D86" s="154"/>
      <c r="E86" s="154"/>
      <c r="F86" s="153"/>
      <c r="G86" s="153"/>
      <c r="H86" s="153"/>
      <c r="I86" s="153"/>
      <c r="J86" s="153"/>
      <c r="K86" s="153"/>
      <c r="L86" s="154"/>
      <c r="M86" s="154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ht="13.5" customHeight="1">
      <c r="A87" s="153"/>
      <c r="B87" s="153"/>
      <c r="C87" s="153"/>
      <c r="D87" s="154"/>
      <c r="E87" s="154"/>
      <c r="F87" s="153"/>
      <c r="G87" s="153"/>
      <c r="H87" s="153"/>
      <c r="I87" s="153"/>
      <c r="J87" s="153"/>
      <c r="K87" s="153"/>
      <c r="L87" s="154"/>
      <c r="M87" s="154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ht="13.5" customHeight="1">
      <c r="A88" s="153"/>
      <c r="B88" s="153"/>
      <c r="C88" s="153"/>
      <c r="D88" s="154"/>
      <c r="E88" s="154"/>
      <c r="F88" s="153"/>
      <c r="G88" s="153"/>
      <c r="H88" s="153"/>
      <c r="I88" s="153"/>
      <c r="J88" s="153"/>
      <c r="K88" s="153"/>
      <c r="L88" s="154"/>
      <c r="M88" s="154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ht="13.5" customHeight="1">
      <c r="A89" s="153"/>
      <c r="B89" s="153"/>
      <c r="C89" s="153"/>
      <c r="D89" s="154"/>
      <c r="E89" s="154"/>
      <c r="F89" s="153"/>
      <c r="G89" s="153"/>
      <c r="H89" s="153"/>
      <c r="I89" s="153"/>
      <c r="J89" s="153"/>
      <c r="K89" s="153"/>
      <c r="L89" s="154"/>
      <c r="M89" s="154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ht="13.5" customHeight="1">
      <c r="A90" s="153"/>
      <c r="B90" s="153"/>
      <c r="C90" s="153"/>
      <c r="D90" s="154"/>
      <c r="E90" s="154"/>
      <c r="F90" s="153"/>
      <c r="G90" s="153"/>
      <c r="H90" s="153"/>
      <c r="I90" s="153"/>
      <c r="J90" s="153"/>
      <c r="K90" s="153"/>
      <c r="L90" s="154"/>
      <c r="M90" s="154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ht="13.5" customHeight="1">
      <c r="A91" s="153"/>
      <c r="B91" s="153"/>
      <c r="C91" s="153"/>
      <c r="D91" s="154"/>
      <c r="E91" s="154"/>
      <c r="F91" s="153"/>
      <c r="G91" s="153"/>
      <c r="H91" s="153"/>
      <c r="I91" s="153"/>
      <c r="J91" s="153"/>
      <c r="K91" s="153"/>
      <c r="L91" s="154"/>
      <c r="M91" s="154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ht="13.5" customHeight="1">
      <c r="A92" s="153"/>
      <c r="B92" s="153"/>
      <c r="C92" s="153"/>
      <c r="D92" s="154"/>
      <c r="E92" s="154"/>
      <c r="F92" s="153"/>
      <c r="G92" s="153"/>
      <c r="H92" s="153"/>
      <c r="I92" s="153"/>
      <c r="J92" s="153"/>
      <c r="K92" s="153"/>
      <c r="L92" s="154"/>
      <c r="M92" s="154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ht="13.5" customHeight="1">
      <c r="A93" s="153"/>
      <c r="B93" s="153"/>
      <c r="C93" s="153"/>
      <c r="D93" s="154"/>
      <c r="E93" s="154"/>
      <c r="F93" s="153"/>
      <c r="G93" s="153"/>
      <c r="H93" s="153"/>
      <c r="I93" s="153"/>
      <c r="J93" s="153"/>
      <c r="K93" s="153"/>
      <c r="L93" s="154"/>
      <c r="M93" s="154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ht="13.5" customHeight="1">
      <c r="A94" s="153"/>
      <c r="B94" s="153"/>
      <c r="C94" s="153"/>
      <c r="D94" s="154"/>
      <c r="E94" s="154"/>
      <c r="F94" s="153"/>
      <c r="G94" s="153"/>
      <c r="H94" s="153"/>
      <c r="I94" s="153"/>
      <c r="J94" s="153"/>
      <c r="K94" s="153"/>
      <c r="L94" s="154"/>
      <c r="M94" s="154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ht="13.5" customHeight="1">
      <c r="A95" s="153"/>
      <c r="B95" s="153"/>
      <c r="C95" s="153"/>
      <c r="D95" s="154"/>
      <c r="E95" s="154"/>
      <c r="F95" s="153"/>
      <c r="G95" s="153"/>
      <c r="H95" s="153"/>
      <c r="I95" s="153"/>
      <c r="J95" s="153"/>
      <c r="K95" s="153"/>
      <c r="L95" s="154"/>
      <c r="M95" s="154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ht="13.5" customHeight="1">
      <c r="A96" s="153"/>
      <c r="B96" s="153"/>
      <c r="C96" s="153"/>
      <c r="D96" s="154"/>
      <c r="E96" s="154"/>
      <c r="F96" s="153"/>
      <c r="G96" s="153"/>
      <c r="H96" s="153"/>
      <c r="I96" s="153"/>
      <c r="J96" s="153"/>
      <c r="K96" s="153"/>
      <c r="L96" s="154"/>
      <c r="M96" s="154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ht="13.5" customHeight="1">
      <c r="A97" s="153"/>
      <c r="B97" s="153"/>
      <c r="C97" s="153"/>
      <c r="D97" s="154"/>
      <c r="E97" s="154"/>
      <c r="F97" s="153"/>
      <c r="G97" s="153"/>
      <c r="H97" s="153"/>
      <c r="I97" s="153"/>
      <c r="J97" s="153"/>
      <c r="K97" s="153"/>
      <c r="L97" s="154"/>
      <c r="M97" s="154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ht="13.5" customHeight="1">
      <c r="A98" s="153"/>
      <c r="B98" s="153"/>
      <c r="C98" s="153"/>
      <c r="D98" s="154"/>
      <c r="E98" s="154"/>
      <c r="F98" s="153"/>
      <c r="G98" s="153"/>
      <c r="H98" s="153"/>
      <c r="I98" s="153"/>
      <c r="J98" s="153"/>
      <c r="K98" s="153"/>
      <c r="L98" s="154"/>
      <c r="M98" s="154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ht="13.5" customHeight="1">
      <c r="A99" s="153"/>
      <c r="B99" s="153"/>
      <c r="C99" s="153"/>
      <c r="D99" s="154"/>
      <c r="E99" s="154"/>
      <c r="F99" s="153"/>
      <c r="G99" s="153"/>
      <c r="H99" s="153"/>
      <c r="I99" s="153"/>
      <c r="J99" s="153"/>
      <c r="K99" s="153"/>
      <c r="L99" s="154"/>
      <c r="M99" s="154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ht="13.5" customHeight="1">
      <c r="A100" s="153"/>
      <c r="B100" s="153"/>
      <c r="C100" s="153"/>
      <c r="D100" s="154"/>
      <c r="E100" s="154"/>
      <c r="F100" s="153"/>
      <c r="G100" s="153"/>
      <c r="H100" s="153"/>
      <c r="I100" s="153"/>
      <c r="J100" s="153"/>
      <c r="K100" s="153"/>
      <c r="L100" s="154"/>
      <c r="M100" s="154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ht="13.5" customHeight="1">
      <c r="A101" s="153"/>
      <c r="B101" s="153"/>
      <c r="C101" s="153"/>
      <c r="D101" s="154"/>
      <c r="E101" s="154"/>
      <c r="F101" s="153"/>
      <c r="G101" s="153"/>
      <c r="H101" s="153"/>
      <c r="I101" s="153"/>
      <c r="J101" s="153"/>
      <c r="K101" s="153"/>
      <c r="L101" s="154"/>
      <c r="M101" s="154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ht="13.5" customHeight="1">
      <c r="A102" s="153"/>
      <c r="B102" s="153"/>
      <c r="C102" s="153"/>
      <c r="D102" s="154"/>
      <c r="E102" s="154"/>
      <c r="F102" s="153"/>
      <c r="G102" s="153"/>
      <c r="H102" s="153"/>
      <c r="I102" s="153"/>
      <c r="J102" s="153"/>
      <c r="K102" s="153"/>
      <c r="L102" s="154"/>
      <c r="M102" s="154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ht="13.5" customHeight="1">
      <c r="A103" s="153"/>
      <c r="B103" s="153"/>
      <c r="C103" s="153"/>
      <c r="D103" s="154"/>
      <c r="E103" s="154"/>
      <c r="F103" s="153"/>
      <c r="G103" s="153"/>
      <c r="H103" s="153"/>
      <c r="I103" s="153"/>
      <c r="J103" s="153"/>
      <c r="K103" s="153"/>
      <c r="L103" s="154"/>
      <c r="M103" s="154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ht="13.5" customHeight="1">
      <c r="A104" s="153"/>
      <c r="B104" s="153"/>
      <c r="C104" s="153"/>
      <c r="D104" s="154"/>
      <c r="E104" s="154"/>
      <c r="F104" s="153"/>
      <c r="G104" s="153"/>
      <c r="H104" s="153"/>
      <c r="I104" s="153"/>
      <c r="J104" s="153"/>
      <c r="K104" s="153"/>
      <c r="L104" s="154"/>
      <c r="M104" s="154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ht="13.5" customHeight="1">
      <c r="A105" s="153"/>
      <c r="B105" s="153"/>
      <c r="C105" s="153"/>
      <c r="D105" s="154"/>
      <c r="E105" s="154"/>
      <c r="F105" s="153"/>
      <c r="G105" s="153"/>
      <c r="H105" s="153"/>
      <c r="I105" s="153"/>
      <c r="J105" s="153"/>
      <c r="K105" s="153"/>
      <c r="L105" s="154"/>
      <c r="M105" s="154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ht="13.5" customHeight="1">
      <c r="A106" s="153"/>
      <c r="B106" s="153"/>
      <c r="C106" s="153"/>
      <c r="D106" s="154"/>
      <c r="E106" s="154"/>
      <c r="F106" s="153"/>
      <c r="G106" s="153"/>
      <c r="H106" s="153"/>
      <c r="I106" s="153"/>
      <c r="J106" s="153"/>
      <c r="K106" s="153"/>
      <c r="L106" s="154"/>
      <c r="M106" s="154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ht="13.5" customHeight="1">
      <c r="A107" s="153"/>
      <c r="B107" s="153"/>
      <c r="C107" s="153"/>
      <c r="D107" s="154"/>
      <c r="E107" s="154"/>
      <c r="F107" s="153"/>
      <c r="G107" s="153"/>
      <c r="H107" s="153"/>
      <c r="I107" s="153"/>
      <c r="J107" s="153"/>
      <c r="K107" s="153"/>
      <c r="L107" s="154"/>
      <c r="M107" s="154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ht="13.5" customHeight="1">
      <c r="A108" s="153"/>
      <c r="B108" s="153"/>
      <c r="C108" s="153"/>
      <c r="D108" s="154"/>
      <c r="E108" s="154"/>
      <c r="F108" s="153"/>
      <c r="G108" s="153"/>
      <c r="H108" s="153"/>
      <c r="I108" s="153"/>
      <c r="J108" s="153"/>
      <c r="K108" s="153"/>
      <c r="L108" s="154"/>
      <c r="M108" s="154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ht="13.5" customHeight="1">
      <c r="A109" s="153"/>
      <c r="B109" s="153"/>
      <c r="C109" s="153"/>
      <c r="D109" s="154"/>
      <c r="E109" s="154"/>
      <c r="F109" s="153"/>
      <c r="G109" s="153"/>
      <c r="H109" s="153"/>
      <c r="I109" s="153"/>
      <c r="J109" s="153"/>
      <c r="K109" s="153"/>
      <c r="L109" s="154"/>
      <c r="M109" s="154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ht="13.5" customHeight="1">
      <c r="A110" s="153"/>
      <c r="B110" s="153"/>
      <c r="C110" s="153"/>
      <c r="D110" s="154"/>
      <c r="E110" s="154"/>
      <c r="F110" s="153"/>
      <c r="G110" s="153"/>
      <c r="H110" s="153"/>
      <c r="I110" s="153"/>
      <c r="J110" s="153"/>
      <c r="K110" s="153"/>
      <c r="L110" s="154"/>
      <c r="M110" s="154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ht="13.5" customHeight="1">
      <c r="A111" s="153"/>
      <c r="B111" s="153"/>
      <c r="C111" s="153"/>
      <c r="D111" s="154"/>
      <c r="E111" s="154"/>
      <c r="F111" s="153"/>
      <c r="G111" s="153"/>
      <c r="H111" s="153"/>
      <c r="I111" s="153"/>
      <c r="J111" s="153"/>
      <c r="K111" s="153"/>
      <c r="L111" s="154"/>
      <c r="M111" s="154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ht="13.5" customHeight="1">
      <c r="A112" s="153"/>
      <c r="B112" s="153"/>
      <c r="C112" s="153"/>
      <c r="D112" s="154"/>
      <c r="E112" s="154"/>
      <c r="F112" s="153"/>
      <c r="G112" s="153"/>
      <c r="H112" s="153"/>
      <c r="I112" s="153"/>
      <c r="J112" s="153"/>
      <c r="K112" s="153"/>
      <c r="L112" s="154"/>
      <c r="M112" s="154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ht="13.5" customHeight="1">
      <c r="A113" s="153"/>
      <c r="B113" s="153"/>
      <c r="C113" s="153"/>
      <c r="D113" s="154"/>
      <c r="E113" s="154"/>
      <c r="F113" s="153"/>
      <c r="G113" s="153"/>
      <c r="H113" s="153"/>
      <c r="I113" s="153"/>
      <c r="J113" s="153"/>
      <c r="K113" s="153"/>
      <c r="L113" s="154"/>
      <c r="M113" s="154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ht="13.5" customHeight="1">
      <c r="A114" s="153"/>
      <c r="B114" s="153"/>
      <c r="C114" s="153"/>
      <c r="D114" s="154"/>
      <c r="E114" s="154"/>
      <c r="F114" s="153"/>
      <c r="G114" s="153"/>
      <c r="H114" s="153"/>
      <c r="I114" s="153"/>
      <c r="J114" s="153"/>
      <c r="K114" s="153"/>
      <c r="L114" s="154"/>
      <c r="M114" s="154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ht="13.5" customHeight="1">
      <c r="A115" s="153"/>
      <c r="B115" s="153"/>
      <c r="C115" s="153"/>
      <c r="D115" s="154"/>
      <c r="E115" s="154"/>
      <c r="F115" s="153"/>
      <c r="G115" s="153"/>
      <c r="H115" s="153"/>
      <c r="I115" s="153"/>
      <c r="J115" s="153"/>
      <c r="K115" s="153"/>
      <c r="L115" s="154"/>
      <c r="M115" s="154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ht="13.5" customHeight="1">
      <c r="A116" s="153"/>
      <c r="B116" s="153"/>
      <c r="C116" s="153"/>
      <c r="D116" s="154"/>
      <c r="E116" s="154"/>
      <c r="F116" s="153"/>
      <c r="G116" s="153"/>
      <c r="H116" s="153"/>
      <c r="I116" s="153"/>
      <c r="J116" s="153"/>
      <c r="K116" s="153"/>
      <c r="L116" s="154"/>
      <c r="M116" s="154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ht="13.5" customHeight="1">
      <c r="A117" s="153"/>
      <c r="B117" s="153"/>
      <c r="C117" s="153"/>
      <c r="D117" s="154"/>
      <c r="E117" s="154"/>
      <c r="F117" s="153"/>
      <c r="G117" s="153"/>
      <c r="H117" s="153"/>
      <c r="I117" s="153"/>
      <c r="J117" s="153"/>
      <c r="K117" s="153"/>
      <c r="L117" s="154"/>
      <c r="M117" s="154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ht="13.5" customHeight="1">
      <c r="A118" s="153"/>
      <c r="B118" s="153"/>
      <c r="C118" s="153"/>
      <c r="D118" s="154"/>
      <c r="E118" s="154"/>
      <c r="F118" s="153"/>
      <c r="G118" s="153"/>
      <c r="H118" s="153"/>
      <c r="I118" s="153"/>
      <c r="J118" s="153"/>
      <c r="K118" s="153"/>
      <c r="L118" s="154"/>
      <c r="M118" s="154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ht="13.5" customHeight="1">
      <c r="A119" s="153"/>
      <c r="B119" s="153"/>
      <c r="C119" s="153"/>
      <c r="D119" s="154"/>
      <c r="E119" s="154"/>
      <c r="F119" s="153"/>
      <c r="G119" s="153"/>
      <c r="H119" s="153"/>
      <c r="I119" s="153"/>
      <c r="J119" s="153"/>
      <c r="K119" s="153"/>
      <c r="L119" s="154"/>
      <c r="M119" s="154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ht="13.5" customHeight="1">
      <c r="A120" s="153"/>
      <c r="B120" s="153"/>
      <c r="C120" s="153"/>
      <c r="D120" s="154"/>
      <c r="E120" s="154"/>
      <c r="F120" s="153"/>
      <c r="G120" s="153"/>
      <c r="H120" s="153"/>
      <c r="I120" s="153"/>
      <c r="J120" s="153"/>
      <c r="K120" s="153"/>
      <c r="L120" s="154"/>
      <c r="M120" s="154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ht="13.5" customHeight="1">
      <c r="A121" s="153"/>
      <c r="B121" s="153"/>
      <c r="C121" s="153"/>
      <c r="D121" s="154"/>
      <c r="E121" s="154"/>
      <c r="F121" s="153"/>
      <c r="G121" s="153"/>
      <c r="H121" s="153"/>
      <c r="I121" s="153"/>
      <c r="J121" s="153"/>
      <c r="K121" s="153"/>
      <c r="L121" s="154"/>
      <c r="M121" s="154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ht="13.5" customHeight="1">
      <c r="A122" s="153"/>
      <c r="B122" s="153"/>
      <c r="C122" s="153"/>
      <c r="D122" s="154"/>
      <c r="E122" s="154"/>
      <c r="F122" s="153"/>
      <c r="G122" s="153"/>
      <c r="H122" s="153"/>
      <c r="I122" s="153"/>
      <c r="J122" s="153"/>
      <c r="K122" s="153"/>
      <c r="L122" s="154"/>
      <c r="M122" s="154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ht="13.5" customHeight="1">
      <c r="A123" s="153"/>
      <c r="B123" s="153"/>
      <c r="C123" s="153"/>
      <c r="D123" s="154"/>
      <c r="E123" s="154"/>
      <c r="F123" s="153"/>
      <c r="G123" s="153"/>
      <c r="H123" s="153"/>
      <c r="I123" s="153"/>
      <c r="J123" s="153"/>
      <c r="K123" s="153"/>
      <c r="L123" s="154"/>
      <c r="M123" s="154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ht="13.5" customHeight="1">
      <c r="A124" s="153"/>
      <c r="B124" s="153"/>
      <c r="C124" s="153"/>
      <c r="D124" s="154"/>
      <c r="E124" s="154"/>
      <c r="F124" s="153"/>
      <c r="G124" s="153"/>
      <c r="H124" s="153"/>
      <c r="I124" s="153"/>
      <c r="J124" s="153"/>
      <c r="K124" s="153"/>
      <c r="L124" s="154"/>
      <c r="M124" s="154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ht="13.5" customHeight="1">
      <c r="A125" s="153"/>
      <c r="B125" s="153"/>
      <c r="C125" s="153"/>
      <c r="D125" s="154"/>
      <c r="E125" s="154"/>
      <c r="F125" s="153"/>
      <c r="G125" s="153"/>
      <c r="H125" s="153"/>
      <c r="I125" s="153"/>
      <c r="J125" s="153"/>
      <c r="K125" s="153"/>
      <c r="L125" s="154"/>
      <c r="M125" s="154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ht="13.5" customHeight="1">
      <c r="A126" s="153"/>
      <c r="B126" s="153"/>
      <c r="C126" s="153"/>
      <c r="D126" s="154"/>
      <c r="E126" s="154"/>
      <c r="F126" s="153"/>
      <c r="G126" s="153"/>
      <c r="H126" s="153"/>
      <c r="I126" s="153"/>
      <c r="J126" s="153"/>
      <c r="K126" s="153"/>
      <c r="L126" s="154"/>
      <c r="M126" s="154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ht="13.5" customHeight="1">
      <c r="A127" s="153"/>
      <c r="B127" s="153"/>
      <c r="C127" s="153"/>
      <c r="D127" s="154"/>
      <c r="E127" s="154"/>
      <c r="F127" s="153"/>
      <c r="G127" s="153"/>
      <c r="H127" s="153"/>
      <c r="I127" s="153"/>
      <c r="J127" s="153"/>
      <c r="K127" s="153"/>
      <c r="L127" s="154"/>
      <c r="M127" s="154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ht="13.5" customHeight="1">
      <c r="A128" s="153"/>
      <c r="B128" s="153"/>
      <c r="C128" s="153"/>
      <c r="D128" s="154"/>
      <c r="E128" s="154"/>
      <c r="F128" s="153"/>
      <c r="G128" s="153"/>
      <c r="H128" s="153"/>
      <c r="I128" s="153"/>
      <c r="J128" s="153"/>
      <c r="K128" s="153"/>
      <c r="L128" s="154"/>
      <c r="M128" s="154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ht="13.5" customHeight="1">
      <c r="A129" s="153"/>
      <c r="B129" s="153"/>
      <c r="C129" s="153"/>
      <c r="D129" s="154"/>
      <c r="E129" s="154"/>
      <c r="F129" s="153"/>
      <c r="G129" s="153"/>
      <c r="H129" s="153"/>
      <c r="I129" s="153"/>
      <c r="J129" s="153"/>
      <c r="K129" s="153"/>
      <c r="L129" s="154"/>
      <c r="M129" s="154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ht="13.5" customHeight="1">
      <c r="A130" s="153"/>
      <c r="B130" s="153"/>
      <c r="C130" s="153"/>
      <c r="D130" s="154"/>
      <c r="E130" s="154"/>
      <c r="F130" s="153"/>
      <c r="G130" s="153"/>
      <c r="H130" s="153"/>
      <c r="I130" s="153"/>
      <c r="J130" s="153"/>
      <c r="K130" s="153"/>
      <c r="L130" s="154"/>
      <c r="M130" s="154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ht="13.5" customHeight="1">
      <c r="A131" s="153"/>
      <c r="B131" s="153"/>
      <c r="C131" s="153"/>
      <c r="D131" s="154"/>
      <c r="E131" s="154"/>
      <c r="F131" s="153"/>
      <c r="G131" s="153"/>
      <c r="H131" s="153"/>
      <c r="I131" s="153"/>
      <c r="J131" s="153"/>
      <c r="K131" s="153"/>
      <c r="L131" s="154"/>
      <c r="M131" s="154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ht="13.5" customHeight="1">
      <c r="A132" s="153"/>
      <c r="B132" s="153"/>
      <c r="C132" s="153"/>
      <c r="D132" s="154"/>
      <c r="E132" s="154"/>
      <c r="F132" s="153"/>
      <c r="G132" s="153"/>
      <c r="H132" s="153"/>
      <c r="I132" s="153"/>
      <c r="J132" s="153"/>
      <c r="K132" s="153"/>
      <c r="L132" s="154"/>
      <c r="M132" s="154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ht="13.5" customHeight="1">
      <c r="A133" s="153"/>
      <c r="B133" s="153"/>
      <c r="C133" s="153"/>
      <c r="D133" s="154"/>
      <c r="E133" s="154"/>
      <c r="F133" s="153"/>
      <c r="G133" s="153"/>
      <c r="H133" s="153"/>
      <c r="I133" s="153"/>
      <c r="J133" s="153"/>
      <c r="K133" s="153"/>
      <c r="L133" s="154"/>
      <c r="M133" s="154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ht="13.5" customHeight="1">
      <c r="A134" s="153"/>
      <c r="B134" s="153"/>
      <c r="C134" s="153"/>
      <c r="D134" s="154"/>
      <c r="E134" s="154"/>
      <c r="F134" s="153"/>
      <c r="G134" s="153"/>
      <c r="H134" s="153"/>
      <c r="I134" s="153"/>
      <c r="J134" s="153"/>
      <c r="K134" s="153"/>
      <c r="L134" s="154"/>
      <c r="M134" s="154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ht="13.5" customHeight="1">
      <c r="A135" s="153"/>
      <c r="B135" s="153"/>
      <c r="C135" s="153"/>
      <c r="D135" s="154"/>
      <c r="E135" s="154"/>
      <c r="F135" s="153"/>
      <c r="G135" s="153"/>
      <c r="H135" s="153"/>
      <c r="I135" s="153"/>
      <c r="J135" s="153"/>
      <c r="K135" s="153"/>
      <c r="L135" s="154"/>
      <c r="M135" s="154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ht="13.5" customHeight="1">
      <c r="A136" s="153"/>
      <c r="B136" s="153"/>
      <c r="C136" s="153"/>
      <c r="D136" s="154"/>
      <c r="E136" s="154"/>
      <c r="F136" s="153"/>
      <c r="G136" s="153"/>
      <c r="H136" s="153"/>
      <c r="I136" s="153"/>
      <c r="J136" s="153"/>
      <c r="K136" s="153"/>
      <c r="L136" s="154"/>
      <c r="M136" s="154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ht="13.5" customHeight="1">
      <c r="A137" s="153"/>
      <c r="B137" s="153"/>
      <c r="C137" s="153"/>
      <c r="D137" s="154"/>
      <c r="E137" s="154"/>
      <c r="F137" s="153"/>
      <c r="G137" s="153"/>
      <c r="H137" s="153"/>
      <c r="I137" s="153"/>
      <c r="J137" s="153"/>
      <c r="K137" s="153"/>
      <c r="L137" s="154"/>
      <c r="M137" s="154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ht="13.5" customHeight="1">
      <c r="A138" s="153"/>
      <c r="B138" s="153"/>
      <c r="C138" s="153"/>
      <c r="D138" s="154"/>
      <c r="E138" s="154"/>
      <c r="F138" s="153"/>
      <c r="G138" s="153"/>
      <c r="H138" s="153"/>
      <c r="I138" s="153"/>
      <c r="J138" s="153"/>
      <c r="K138" s="153"/>
      <c r="L138" s="154"/>
      <c r="M138" s="154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ht="13.5" customHeight="1">
      <c r="A139" s="153"/>
      <c r="B139" s="153"/>
      <c r="C139" s="153"/>
      <c r="D139" s="154"/>
      <c r="E139" s="154"/>
      <c r="F139" s="153"/>
      <c r="G139" s="153"/>
      <c r="H139" s="153"/>
      <c r="I139" s="153"/>
      <c r="J139" s="153"/>
      <c r="K139" s="153"/>
      <c r="L139" s="154"/>
      <c r="M139" s="154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ht="13.5" customHeight="1">
      <c r="A140" s="153"/>
      <c r="B140" s="153"/>
      <c r="C140" s="153"/>
      <c r="D140" s="154"/>
      <c r="E140" s="154"/>
      <c r="F140" s="153"/>
      <c r="G140" s="153"/>
      <c r="H140" s="153"/>
      <c r="I140" s="153"/>
      <c r="J140" s="153"/>
      <c r="K140" s="153"/>
      <c r="L140" s="154"/>
      <c r="M140" s="154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ht="13.5" customHeight="1">
      <c r="A141" s="153"/>
      <c r="B141" s="153"/>
      <c r="C141" s="153"/>
      <c r="D141" s="154"/>
      <c r="E141" s="154"/>
      <c r="F141" s="153"/>
      <c r="G141" s="153"/>
      <c r="H141" s="153"/>
      <c r="I141" s="153"/>
      <c r="J141" s="153"/>
      <c r="K141" s="153"/>
      <c r="L141" s="154"/>
      <c r="M141" s="154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ht="13.5" customHeight="1">
      <c r="A142" s="153"/>
      <c r="B142" s="153"/>
      <c r="C142" s="153"/>
      <c r="D142" s="154"/>
      <c r="E142" s="154"/>
      <c r="F142" s="153"/>
      <c r="G142" s="153"/>
      <c r="H142" s="153"/>
      <c r="I142" s="153"/>
      <c r="J142" s="153"/>
      <c r="K142" s="153"/>
      <c r="L142" s="154"/>
      <c r="M142" s="154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ht="13.5" customHeight="1">
      <c r="A143" s="153"/>
      <c r="B143" s="153"/>
      <c r="C143" s="153"/>
      <c r="D143" s="154"/>
      <c r="E143" s="154"/>
      <c r="F143" s="153"/>
      <c r="G143" s="153"/>
      <c r="H143" s="153"/>
      <c r="I143" s="153"/>
      <c r="J143" s="153"/>
      <c r="K143" s="153"/>
      <c r="L143" s="154"/>
      <c r="M143" s="154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ht="13.5" customHeight="1">
      <c r="A144" s="153"/>
      <c r="B144" s="153"/>
      <c r="C144" s="153"/>
      <c r="D144" s="154"/>
      <c r="E144" s="154"/>
      <c r="F144" s="153"/>
      <c r="G144" s="153"/>
      <c r="H144" s="153"/>
      <c r="I144" s="153"/>
      <c r="J144" s="153"/>
      <c r="K144" s="153"/>
      <c r="L144" s="154"/>
      <c r="M144" s="154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ht="13.5" customHeight="1">
      <c r="A145" s="153"/>
      <c r="B145" s="153"/>
      <c r="C145" s="153"/>
      <c r="D145" s="154"/>
      <c r="E145" s="154"/>
      <c r="F145" s="153"/>
      <c r="G145" s="153"/>
      <c r="H145" s="153"/>
      <c r="I145" s="153"/>
      <c r="J145" s="153"/>
      <c r="K145" s="153"/>
      <c r="L145" s="154"/>
      <c r="M145" s="154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ht="13.5" customHeight="1">
      <c r="A146" s="153"/>
      <c r="B146" s="153"/>
      <c r="C146" s="153"/>
      <c r="D146" s="154"/>
      <c r="E146" s="154"/>
      <c r="F146" s="153"/>
      <c r="G146" s="153"/>
      <c r="H146" s="153"/>
      <c r="I146" s="153"/>
      <c r="J146" s="153"/>
      <c r="K146" s="153"/>
      <c r="L146" s="154"/>
      <c r="M146" s="154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ht="13.5" customHeight="1">
      <c r="A147" s="153"/>
      <c r="B147" s="153"/>
      <c r="C147" s="153"/>
      <c r="D147" s="154"/>
      <c r="E147" s="154"/>
      <c r="F147" s="153"/>
      <c r="G147" s="153"/>
      <c r="H147" s="153"/>
      <c r="I147" s="153"/>
      <c r="J147" s="153"/>
      <c r="K147" s="153"/>
      <c r="L147" s="154"/>
      <c r="M147" s="154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ht="13.5" customHeight="1">
      <c r="A148" s="153"/>
      <c r="B148" s="153"/>
      <c r="C148" s="153"/>
      <c r="D148" s="154"/>
      <c r="E148" s="154"/>
      <c r="F148" s="153"/>
      <c r="G148" s="153"/>
      <c r="H148" s="153"/>
      <c r="I148" s="153"/>
      <c r="J148" s="153"/>
      <c r="K148" s="153"/>
      <c r="L148" s="154"/>
      <c r="M148" s="154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ht="13.5" customHeight="1">
      <c r="A149" s="153"/>
      <c r="B149" s="153"/>
      <c r="C149" s="153"/>
      <c r="D149" s="154"/>
      <c r="E149" s="154"/>
      <c r="F149" s="153"/>
      <c r="G149" s="153"/>
      <c r="H149" s="153"/>
      <c r="I149" s="153"/>
      <c r="J149" s="153"/>
      <c r="K149" s="153"/>
      <c r="L149" s="154"/>
      <c r="M149" s="154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ht="13.5" customHeight="1">
      <c r="A150" s="153"/>
      <c r="B150" s="153"/>
      <c r="C150" s="153"/>
      <c r="D150" s="154"/>
      <c r="E150" s="154"/>
      <c r="F150" s="153"/>
      <c r="G150" s="153"/>
      <c r="H150" s="153"/>
      <c r="I150" s="153"/>
      <c r="J150" s="153"/>
      <c r="K150" s="153"/>
      <c r="L150" s="154"/>
      <c r="M150" s="154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13.5" customHeight="1">
      <c r="A151" s="153"/>
      <c r="B151" s="153"/>
      <c r="C151" s="153"/>
      <c r="D151" s="154"/>
      <c r="E151" s="154"/>
      <c r="F151" s="153"/>
      <c r="G151" s="153"/>
      <c r="H151" s="153"/>
      <c r="I151" s="153"/>
      <c r="J151" s="153"/>
      <c r="K151" s="153"/>
      <c r="L151" s="154"/>
      <c r="M151" s="154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13.5" customHeight="1">
      <c r="A152" s="153"/>
      <c r="B152" s="153"/>
      <c r="C152" s="153"/>
      <c r="D152" s="154"/>
      <c r="E152" s="154"/>
      <c r="F152" s="153"/>
      <c r="G152" s="153"/>
      <c r="H152" s="153"/>
      <c r="I152" s="153"/>
      <c r="J152" s="153"/>
      <c r="K152" s="153"/>
      <c r="L152" s="154"/>
      <c r="M152" s="154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13.5" customHeight="1">
      <c r="A153" s="153"/>
      <c r="B153" s="153"/>
      <c r="C153" s="153"/>
      <c r="D153" s="154"/>
      <c r="E153" s="154"/>
      <c r="F153" s="153"/>
      <c r="G153" s="153"/>
      <c r="H153" s="153"/>
      <c r="I153" s="153"/>
      <c r="J153" s="153"/>
      <c r="K153" s="153"/>
      <c r="L153" s="154"/>
      <c r="M153" s="154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13.5" customHeight="1">
      <c r="A154" s="153"/>
      <c r="B154" s="153"/>
      <c r="C154" s="153"/>
      <c r="D154" s="154"/>
      <c r="E154" s="154"/>
      <c r="F154" s="153"/>
      <c r="G154" s="153"/>
      <c r="H154" s="153"/>
      <c r="I154" s="153"/>
      <c r="J154" s="153"/>
      <c r="K154" s="153"/>
      <c r="L154" s="154"/>
      <c r="M154" s="154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ht="13.5" customHeight="1">
      <c r="A155" s="153"/>
      <c r="B155" s="153"/>
      <c r="C155" s="153"/>
      <c r="D155" s="154"/>
      <c r="E155" s="154"/>
      <c r="F155" s="153"/>
      <c r="G155" s="153"/>
      <c r="H155" s="153"/>
      <c r="I155" s="153"/>
      <c r="J155" s="153"/>
      <c r="K155" s="153"/>
      <c r="L155" s="154"/>
      <c r="M155" s="154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ht="13.5" customHeight="1">
      <c r="A156" s="153"/>
      <c r="B156" s="153"/>
      <c r="C156" s="153"/>
      <c r="D156" s="154"/>
      <c r="E156" s="154"/>
      <c r="F156" s="153"/>
      <c r="G156" s="153"/>
      <c r="H156" s="153"/>
      <c r="I156" s="153"/>
      <c r="J156" s="153"/>
      <c r="K156" s="153"/>
      <c r="L156" s="154"/>
      <c r="M156" s="154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ht="13.5" customHeight="1">
      <c r="A157" s="153"/>
      <c r="B157" s="153"/>
      <c r="C157" s="153"/>
      <c r="D157" s="154"/>
      <c r="E157" s="154"/>
      <c r="F157" s="153"/>
      <c r="G157" s="153"/>
      <c r="H157" s="153"/>
      <c r="I157" s="153"/>
      <c r="J157" s="153"/>
      <c r="K157" s="153"/>
      <c r="L157" s="154"/>
      <c r="M157" s="154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ht="13.5" customHeight="1">
      <c r="A158" s="153"/>
      <c r="B158" s="153"/>
      <c r="C158" s="153"/>
      <c r="D158" s="154"/>
      <c r="E158" s="154"/>
      <c r="F158" s="153"/>
      <c r="G158" s="153"/>
      <c r="H158" s="153"/>
      <c r="I158" s="153"/>
      <c r="J158" s="153"/>
      <c r="K158" s="153"/>
      <c r="L158" s="154"/>
      <c r="M158" s="154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ht="13.5" customHeight="1">
      <c r="A159" s="153"/>
      <c r="B159" s="153"/>
      <c r="C159" s="153"/>
      <c r="D159" s="154"/>
      <c r="E159" s="154"/>
      <c r="F159" s="153"/>
      <c r="G159" s="153"/>
      <c r="H159" s="153"/>
      <c r="I159" s="153"/>
      <c r="J159" s="153"/>
      <c r="K159" s="153"/>
      <c r="L159" s="154"/>
      <c r="M159" s="154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ht="13.5" customHeight="1">
      <c r="A160" s="153"/>
      <c r="B160" s="153"/>
      <c r="C160" s="153"/>
      <c r="D160" s="154"/>
      <c r="E160" s="154"/>
      <c r="F160" s="153"/>
      <c r="G160" s="153"/>
      <c r="H160" s="153"/>
      <c r="I160" s="153"/>
      <c r="J160" s="153"/>
      <c r="K160" s="153"/>
      <c r="L160" s="154"/>
      <c r="M160" s="154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ht="13.5" customHeight="1">
      <c r="A161" s="153"/>
      <c r="B161" s="153"/>
      <c r="C161" s="153"/>
      <c r="D161" s="154"/>
      <c r="E161" s="154"/>
      <c r="F161" s="153"/>
      <c r="G161" s="153"/>
      <c r="H161" s="153"/>
      <c r="I161" s="153"/>
      <c r="J161" s="153"/>
      <c r="K161" s="153"/>
      <c r="L161" s="154"/>
      <c r="M161" s="154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ht="13.5" customHeight="1">
      <c r="A162" s="153"/>
      <c r="B162" s="153"/>
      <c r="C162" s="153"/>
      <c r="D162" s="154"/>
      <c r="E162" s="154"/>
      <c r="F162" s="153"/>
      <c r="G162" s="153"/>
      <c r="H162" s="153"/>
      <c r="I162" s="153"/>
      <c r="J162" s="153"/>
      <c r="K162" s="153"/>
      <c r="L162" s="154"/>
      <c r="M162" s="154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ht="13.5" customHeight="1">
      <c r="A163" s="153"/>
      <c r="B163" s="153"/>
      <c r="C163" s="153"/>
      <c r="D163" s="154"/>
      <c r="E163" s="154"/>
      <c r="F163" s="153"/>
      <c r="G163" s="153"/>
      <c r="H163" s="153"/>
      <c r="I163" s="153"/>
      <c r="J163" s="153"/>
      <c r="K163" s="153"/>
      <c r="L163" s="154"/>
      <c r="M163" s="154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ht="13.5" customHeight="1">
      <c r="A164" s="153"/>
      <c r="B164" s="153"/>
      <c r="C164" s="153"/>
      <c r="D164" s="154"/>
      <c r="E164" s="154"/>
      <c r="F164" s="153"/>
      <c r="G164" s="153"/>
      <c r="H164" s="153"/>
      <c r="I164" s="153"/>
      <c r="J164" s="153"/>
      <c r="K164" s="153"/>
      <c r="L164" s="154"/>
      <c r="M164" s="154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ht="13.5" customHeight="1">
      <c r="A165" s="153"/>
      <c r="B165" s="153"/>
      <c r="C165" s="153"/>
      <c r="D165" s="154"/>
      <c r="E165" s="154"/>
      <c r="F165" s="153"/>
      <c r="G165" s="153"/>
      <c r="H165" s="153"/>
      <c r="I165" s="153"/>
      <c r="J165" s="153"/>
      <c r="K165" s="153"/>
      <c r="L165" s="154"/>
      <c r="M165" s="154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ht="13.5" customHeight="1">
      <c r="A166" s="153"/>
      <c r="B166" s="153"/>
      <c r="C166" s="153"/>
      <c r="D166" s="154"/>
      <c r="E166" s="154"/>
      <c r="F166" s="153"/>
      <c r="G166" s="153"/>
      <c r="H166" s="153"/>
      <c r="I166" s="153"/>
      <c r="J166" s="153"/>
      <c r="K166" s="153"/>
      <c r="L166" s="154"/>
      <c r="M166" s="154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ht="13.5" customHeight="1">
      <c r="A167" s="153"/>
      <c r="B167" s="153"/>
      <c r="C167" s="153"/>
      <c r="D167" s="154"/>
      <c r="E167" s="154"/>
      <c r="F167" s="153"/>
      <c r="G167" s="153"/>
      <c r="H167" s="153"/>
      <c r="I167" s="153"/>
      <c r="J167" s="153"/>
      <c r="K167" s="153"/>
      <c r="L167" s="154"/>
      <c r="M167" s="154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ht="13.5" customHeight="1">
      <c r="A168" s="153"/>
      <c r="B168" s="153"/>
      <c r="C168" s="153"/>
      <c r="D168" s="154"/>
      <c r="E168" s="154"/>
      <c r="F168" s="153"/>
      <c r="G168" s="153"/>
      <c r="H168" s="153"/>
      <c r="I168" s="153"/>
      <c r="J168" s="153"/>
      <c r="K168" s="153"/>
      <c r="L168" s="154"/>
      <c r="M168" s="154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ht="13.5" customHeight="1">
      <c r="A169" s="153"/>
      <c r="B169" s="153"/>
      <c r="C169" s="153"/>
      <c r="D169" s="154"/>
      <c r="E169" s="154"/>
      <c r="F169" s="153"/>
      <c r="G169" s="153"/>
      <c r="H169" s="153"/>
      <c r="I169" s="153"/>
      <c r="J169" s="153"/>
      <c r="K169" s="153"/>
      <c r="L169" s="154"/>
      <c r="M169" s="154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ht="13.5" customHeight="1">
      <c r="A170" s="153"/>
      <c r="B170" s="153"/>
      <c r="C170" s="153"/>
      <c r="D170" s="154"/>
      <c r="E170" s="154"/>
      <c r="F170" s="153"/>
      <c r="G170" s="153"/>
      <c r="H170" s="153"/>
      <c r="I170" s="153"/>
      <c r="J170" s="153"/>
      <c r="K170" s="153"/>
      <c r="L170" s="154"/>
      <c r="M170" s="154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ht="13.5" customHeight="1">
      <c r="A171" s="153"/>
      <c r="B171" s="153"/>
      <c r="C171" s="153"/>
      <c r="D171" s="154"/>
      <c r="E171" s="154"/>
      <c r="F171" s="153"/>
      <c r="G171" s="153"/>
      <c r="H171" s="153"/>
      <c r="I171" s="153"/>
      <c r="J171" s="153"/>
      <c r="K171" s="153"/>
      <c r="L171" s="154"/>
      <c r="M171" s="154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ht="13.5" customHeight="1">
      <c r="A172" s="153"/>
      <c r="B172" s="153"/>
      <c r="C172" s="153"/>
      <c r="D172" s="154"/>
      <c r="E172" s="154"/>
      <c r="F172" s="153"/>
      <c r="G172" s="153"/>
      <c r="H172" s="153"/>
      <c r="I172" s="153"/>
      <c r="J172" s="153"/>
      <c r="K172" s="153"/>
      <c r="L172" s="154"/>
      <c r="M172" s="154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ht="13.5" customHeight="1">
      <c r="A173" s="153"/>
      <c r="B173" s="153"/>
      <c r="C173" s="153"/>
      <c r="D173" s="154"/>
      <c r="E173" s="154"/>
      <c r="F173" s="153"/>
      <c r="G173" s="153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ht="13.5" customHeight="1">
      <c r="A174" s="153"/>
      <c r="B174" s="153"/>
      <c r="C174" s="153"/>
      <c r="D174" s="154"/>
      <c r="E174" s="154"/>
      <c r="F174" s="153"/>
      <c r="G174" s="153"/>
      <c r="H174" s="153"/>
      <c r="I174" s="153"/>
      <c r="J174" s="153"/>
      <c r="K174" s="153"/>
      <c r="L174" s="154"/>
      <c r="M174" s="154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ht="13.5" customHeight="1">
      <c r="A175" s="153"/>
      <c r="B175" s="153"/>
      <c r="C175" s="153"/>
      <c r="D175" s="154"/>
      <c r="E175" s="154"/>
      <c r="F175" s="153"/>
      <c r="G175" s="153"/>
      <c r="H175" s="153"/>
      <c r="I175" s="153"/>
      <c r="J175" s="153"/>
      <c r="K175" s="153"/>
      <c r="L175" s="154"/>
      <c r="M175" s="154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ht="13.5" customHeight="1">
      <c r="A176" s="153"/>
      <c r="B176" s="153"/>
      <c r="C176" s="153"/>
      <c r="D176" s="154"/>
      <c r="E176" s="154"/>
      <c r="F176" s="153"/>
      <c r="G176" s="153"/>
      <c r="H176" s="153"/>
      <c r="I176" s="153"/>
      <c r="J176" s="153"/>
      <c r="K176" s="153"/>
      <c r="L176" s="154"/>
      <c r="M176" s="154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ht="13.5" customHeight="1">
      <c r="A177" s="153"/>
      <c r="B177" s="153"/>
      <c r="C177" s="153"/>
      <c r="D177" s="154"/>
      <c r="E177" s="154"/>
      <c r="F177" s="153"/>
      <c r="G177" s="153"/>
      <c r="H177" s="153"/>
      <c r="I177" s="153"/>
      <c r="J177" s="153"/>
      <c r="K177" s="153"/>
      <c r="L177" s="154"/>
      <c r="M177" s="154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ht="13.5" customHeight="1">
      <c r="A178" s="153"/>
      <c r="B178" s="153"/>
      <c r="C178" s="153"/>
      <c r="D178" s="154"/>
      <c r="E178" s="154"/>
      <c r="F178" s="153"/>
      <c r="G178" s="153"/>
      <c r="H178" s="153"/>
      <c r="I178" s="153"/>
      <c r="J178" s="153"/>
      <c r="K178" s="153"/>
      <c r="L178" s="154"/>
      <c r="M178" s="154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ht="13.5" customHeight="1">
      <c r="A179" s="153"/>
      <c r="B179" s="153"/>
      <c r="C179" s="153"/>
      <c r="D179" s="154"/>
      <c r="E179" s="154"/>
      <c r="F179" s="153"/>
      <c r="G179" s="153"/>
      <c r="H179" s="153"/>
      <c r="I179" s="153"/>
      <c r="J179" s="153"/>
      <c r="K179" s="153"/>
      <c r="L179" s="154"/>
      <c r="M179" s="154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ht="13.5" customHeight="1">
      <c r="A180" s="153"/>
      <c r="B180" s="153"/>
      <c r="C180" s="153"/>
      <c r="D180" s="154"/>
      <c r="E180" s="154"/>
      <c r="F180" s="153"/>
      <c r="G180" s="153"/>
      <c r="H180" s="153"/>
      <c r="I180" s="153"/>
      <c r="J180" s="153"/>
      <c r="K180" s="153"/>
      <c r="L180" s="154"/>
      <c r="M180" s="154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ht="13.5" customHeight="1">
      <c r="A181" s="153"/>
      <c r="B181" s="153"/>
      <c r="C181" s="153"/>
      <c r="D181" s="154"/>
      <c r="E181" s="154"/>
      <c r="F181" s="153"/>
      <c r="G181" s="153"/>
      <c r="H181" s="153"/>
      <c r="I181" s="153"/>
      <c r="J181" s="153"/>
      <c r="K181" s="153"/>
      <c r="L181" s="154"/>
      <c r="M181" s="154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ht="13.5" customHeight="1">
      <c r="A182" s="153"/>
      <c r="B182" s="153"/>
      <c r="C182" s="153"/>
      <c r="D182" s="154"/>
      <c r="E182" s="154"/>
      <c r="F182" s="153"/>
      <c r="G182" s="153"/>
      <c r="H182" s="153"/>
      <c r="I182" s="153"/>
      <c r="J182" s="153"/>
      <c r="K182" s="153"/>
      <c r="L182" s="154"/>
      <c r="M182" s="154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ht="13.5" customHeight="1">
      <c r="A183" s="153"/>
      <c r="B183" s="153"/>
      <c r="C183" s="153"/>
      <c r="D183" s="154"/>
      <c r="E183" s="154"/>
      <c r="F183" s="153"/>
      <c r="G183" s="153"/>
      <c r="H183" s="153"/>
      <c r="I183" s="153"/>
      <c r="J183" s="153"/>
      <c r="K183" s="153"/>
      <c r="L183" s="154"/>
      <c r="M183" s="154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ht="13.5" customHeight="1">
      <c r="A184" s="153"/>
      <c r="B184" s="153"/>
      <c r="C184" s="153"/>
      <c r="D184" s="154"/>
      <c r="E184" s="154"/>
      <c r="F184" s="153"/>
      <c r="G184" s="153"/>
      <c r="H184" s="153"/>
      <c r="I184" s="153"/>
      <c r="J184" s="153"/>
      <c r="K184" s="153"/>
      <c r="L184" s="154"/>
      <c r="M184" s="154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ht="13.5" customHeight="1">
      <c r="A185" s="153"/>
      <c r="B185" s="153"/>
      <c r="C185" s="153"/>
      <c r="D185" s="154"/>
      <c r="E185" s="154"/>
      <c r="F185" s="153"/>
      <c r="G185" s="153"/>
      <c r="H185" s="153"/>
      <c r="I185" s="153"/>
      <c r="J185" s="153"/>
      <c r="K185" s="153"/>
      <c r="L185" s="154"/>
      <c r="M185" s="154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ht="13.5" customHeight="1">
      <c r="A186" s="153"/>
      <c r="B186" s="153"/>
      <c r="C186" s="153"/>
      <c r="D186" s="154"/>
      <c r="E186" s="154"/>
      <c r="F186" s="153"/>
      <c r="G186" s="153"/>
      <c r="H186" s="153"/>
      <c r="I186" s="153"/>
      <c r="J186" s="153"/>
      <c r="K186" s="153"/>
      <c r="L186" s="154"/>
      <c r="M186" s="154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ht="13.5" customHeight="1">
      <c r="A187" s="153"/>
      <c r="B187" s="153"/>
      <c r="C187" s="153"/>
      <c r="D187" s="154"/>
      <c r="E187" s="154"/>
      <c r="F187" s="153"/>
      <c r="G187" s="153"/>
      <c r="H187" s="153"/>
      <c r="I187" s="153"/>
      <c r="J187" s="153"/>
      <c r="K187" s="153"/>
      <c r="L187" s="154"/>
      <c r="M187" s="154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ht="13.5" customHeight="1">
      <c r="A188" s="153"/>
      <c r="B188" s="153"/>
      <c r="C188" s="153"/>
      <c r="D188" s="154"/>
      <c r="E188" s="154"/>
      <c r="F188" s="153"/>
      <c r="G188" s="153"/>
      <c r="H188" s="153"/>
      <c r="I188" s="153"/>
      <c r="J188" s="153"/>
      <c r="K188" s="153"/>
      <c r="L188" s="154"/>
      <c r="M188" s="154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ht="13.5" customHeight="1">
      <c r="A189" s="153"/>
      <c r="B189" s="153"/>
      <c r="C189" s="153"/>
      <c r="D189" s="154"/>
      <c r="E189" s="154"/>
      <c r="F189" s="153"/>
      <c r="G189" s="153"/>
      <c r="H189" s="153"/>
      <c r="I189" s="153"/>
      <c r="J189" s="153"/>
      <c r="K189" s="153"/>
      <c r="L189" s="154"/>
      <c r="M189" s="154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ht="13.5" customHeight="1">
      <c r="A190" s="153"/>
      <c r="B190" s="153"/>
      <c r="C190" s="153"/>
      <c r="D190" s="154"/>
      <c r="E190" s="154"/>
      <c r="F190" s="153"/>
      <c r="G190" s="153"/>
      <c r="H190" s="153"/>
      <c r="I190" s="153"/>
      <c r="J190" s="153"/>
      <c r="K190" s="153"/>
      <c r="L190" s="154"/>
      <c r="M190" s="154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ht="13.5" customHeight="1">
      <c r="A191" s="153"/>
      <c r="B191" s="153"/>
      <c r="C191" s="153"/>
      <c r="D191" s="154"/>
      <c r="E191" s="154"/>
      <c r="F191" s="153"/>
      <c r="G191" s="153"/>
      <c r="H191" s="153"/>
      <c r="I191" s="153"/>
      <c r="J191" s="153"/>
      <c r="K191" s="153"/>
      <c r="L191" s="154"/>
      <c r="M191" s="154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ht="13.5" customHeight="1">
      <c r="A192" s="153"/>
      <c r="B192" s="153"/>
      <c r="C192" s="153"/>
      <c r="D192" s="154"/>
      <c r="E192" s="154"/>
      <c r="F192" s="153"/>
      <c r="G192" s="153"/>
      <c r="H192" s="153"/>
      <c r="I192" s="153"/>
      <c r="J192" s="153"/>
      <c r="K192" s="153"/>
      <c r="L192" s="154"/>
      <c r="M192" s="154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ht="13.5" customHeight="1">
      <c r="A193" s="153"/>
      <c r="B193" s="153"/>
      <c r="C193" s="153"/>
      <c r="D193" s="154"/>
      <c r="E193" s="154"/>
      <c r="F193" s="153"/>
      <c r="G193" s="153"/>
      <c r="H193" s="153"/>
      <c r="I193" s="153"/>
      <c r="J193" s="153"/>
      <c r="K193" s="153"/>
      <c r="L193" s="154"/>
      <c r="M193" s="154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ht="13.5" customHeight="1">
      <c r="A194" s="153"/>
      <c r="B194" s="153"/>
      <c r="C194" s="153"/>
      <c r="D194" s="154"/>
      <c r="E194" s="154"/>
      <c r="F194" s="153"/>
      <c r="G194" s="153"/>
      <c r="H194" s="153"/>
      <c r="I194" s="153"/>
      <c r="J194" s="153"/>
      <c r="K194" s="153"/>
      <c r="L194" s="154"/>
      <c r="M194" s="154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ht="13.5" customHeight="1">
      <c r="A195" s="153"/>
      <c r="B195" s="153"/>
      <c r="C195" s="153"/>
      <c r="D195" s="154"/>
      <c r="E195" s="154"/>
      <c r="F195" s="153"/>
      <c r="G195" s="153"/>
      <c r="H195" s="153"/>
      <c r="I195" s="153"/>
      <c r="J195" s="153"/>
      <c r="K195" s="153"/>
      <c r="L195" s="154"/>
      <c r="M195" s="154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ht="13.5" customHeight="1">
      <c r="A196" s="153"/>
      <c r="B196" s="153"/>
      <c r="C196" s="153"/>
      <c r="D196" s="154"/>
      <c r="E196" s="154"/>
      <c r="F196" s="153"/>
      <c r="G196" s="153"/>
      <c r="H196" s="153"/>
      <c r="I196" s="153"/>
      <c r="J196" s="153"/>
      <c r="K196" s="153"/>
      <c r="L196" s="154"/>
      <c r="M196" s="154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ht="13.5" customHeight="1">
      <c r="A197" s="153"/>
      <c r="B197" s="153"/>
      <c r="C197" s="153"/>
      <c r="D197" s="154"/>
      <c r="E197" s="154"/>
      <c r="F197" s="153"/>
      <c r="G197" s="153"/>
      <c r="H197" s="153"/>
      <c r="I197" s="153"/>
      <c r="J197" s="153"/>
      <c r="K197" s="153"/>
      <c r="L197" s="154"/>
      <c r="M197" s="154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ht="13.5" customHeight="1">
      <c r="A198" s="153"/>
      <c r="B198" s="153"/>
      <c r="C198" s="153"/>
      <c r="D198" s="154"/>
      <c r="E198" s="154"/>
      <c r="F198" s="153"/>
      <c r="G198" s="153"/>
      <c r="H198" s="153"/>
      <c r="I198" s="153"/>
      <c r="J198" s="153"/>
      <c r="K198" s="153"/>
      <c r="L198" s="154"/>
      <c r="M198" s="154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ht="13.5" customHeight="1">
      <c r="A199" s="153"/>
      <c r="B199" s="153"/>
      <c r="C199" s="153"/>
      <c r="D199" s="154"/>
      <c r="E199" s="154"/>
      <c r="F199" s="153"/>
      <c r="G199" s="153"/>
      <c r="H199" s="153"/>
      <c r="I199" s="153"/>
      <c r="J199" s="153"/>
      <c r="K199" s="153"/>
      <c r="L199" s="154"/>
      <c r="M199" s="154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ht="13.5" customHeight="1">
      <c r="A200" s="153"/>
      <c r="B200" s="153"/>
      <c r="C200" s="153"/>
      <c r="D200" s="154"/>
      <c r="E200" s="154"/>
      <c r="F200" s="153"/>
      <c r="G200" s="153"/>
      <c r="H200" s="153"/>
      <c r="I200" s="153"/>
      <c r="J200" s="153"/>
      <c r="K200" s="153"/>
      <c r="L200" s="154"/>
      <c r="M200" s="154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ht="13.5" customHeight="1">
      <c r="A201" s="153"/>
      <c r="B201" s="153"/>
      <c r="C201" s="153"/>
      <c r="D201" s="154"/>
      <c r="E201" s="154"/>
      <c r="F201" s="153"/>
      <c r="G201" s="153"/>
      <c r="H201" s="153"/>
      <c r="I201" s="153"/>
      <c r="J201" s="153"/>
      <c r="K201" s="153"/>
      <c r="L201" s="154"/>
      <c r="M201" s="154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ht="13.5" customHeight="1">
      <c r="A202" s="153"/>
      <c r="B202" s="153"/>
      <c r="C202" s="153"/>
      <c r="D202" s="154"/>
      <c r="E202" s="154"/>
      <c r="F202" s="153"/>
      <c r="G202" s="153"/>
      <c r="H202" s="153"/>
      <c r="I202" s="153"/>
      <c r="J202" s="153"/>
      <c r="K202" s="153"/>
      <c r="L202" s="154"/>
      <c r="M202" s="154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ht="13.5" customHeight="1">
      <c r="A203" s="153"/>
      <c r="B203" s="153"/>
      <c r="C203" s="153"/>
      <c r="D203" s="154"/>
      <c r="E203" s="154"/>
      <c r="F203" s="153"/>
      <c r="G203" s="153"/>
      <c r="H203" s="153"/>
      <c r="I203" s="153"/>
      <c r="J203" s="153"/>
      <c r="K203" s="153"/>
      <c r="L203" s="154"/>
      <c r="M203" s="154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ht="13.5" customHeight="1">
      <c r="A204" s="153"/>
      <c r="B204" s="153"/>
      <c r="C204" s="153"/>
      <c r="D204" s="154"/>
      <c r="E204" s="154"/>
      <c r="F204" s="153"/>
      <c r="G204" s="153"/>
      <c r="H204" s="153"/>
      <c r="I204" s="153"/>
      <c r="J204" s="153"/>
      <c r="K204" s="153"/>
      <c r="L204" s="154"/>
      <c r="M204" s="154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ht="13.5" customHeight="1">
      <c r="A205" s="153"/>
      <c r="B205" s="153"/>
      <c r="C205" s="153"/>
      <c r="D205" s="154"/>
      <c r="E205" s="154"/>
      <c r="F205" s="153"/>
      <c r="G205" s="153"/>
      <c r="H205" s="153"/>
      <c r="I205" s="153"/>
      <c r="J205" s="153"/>
      <c r="K205" s="153"/>
      <c r="L205" s="154"/>
      <c r="M205" s="154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ht="13.5" customHeight="1">
      <c r="A206" s="153"/>
      <c r="B206" s="153"/>
      <c r="C206" s="153"/>
      <c r="D206" s="154"/>
      <c r="E206" s="154"/>
      <c r="F206" s="153"/>
      <c r="G206" s="153"/>
      <c r="H206" s="153"/>
      <c r="I206" s="153"/>
      <c r="J206" s="153"/>
      <c r="K206" s="153"/>
      <c r="L206" s="154"/>
      <c r="M206" s="154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ht="13.5" customHeight="1">
      <c r="A207" s="153"/>
      <c r="B207" s="153"/>
      <c r="C207" s="153"/>
      <c r="D207" s="154"/>
      <c r="E207" s="154"/>
      <c r="F207" s="153"/>
      <c r="G207" s="153"/>
      <c r="H207" s="153"/>
      <c r="I207" s="153"/>
      <c r="J207" s="153"/>
      <c r="K207" s="153"/>
      <c r="L207" s="154"/>
      <c r="M207" s="154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ht="13.5" customHeight="1">
      <c r="A208" s="153"/>
      <c r="B208" s="153"/>
      <c r="C208" s="153"/>
      <c r="D208" s="154"/>
      <c r="E208" s="154"/>
      <c r="F208" s="153"/>
      <c r="G208" s="153"/>
      <c r="H208" s="153"/>
      <c r="I208" s="153"/>
      <c r="J208" s="153"/>
      <c r="K208" s="153"/>
      <c r="L208" s="154"/>
      <c r="M208" s="154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ht="13.5" customHeight="1">
      <c r="A209" s="153"/>
      <c r="B209" s="153"/>
      <c r="C209" s="153"/>
      <c r="D209" s="154"/>
      <c r="E209" s="154"/>
      <c r="F209" s="153"/>
      <c r="G209" s="153"/>
      <c r="H209" s="153"/>
      <c r="I209" s="153"/>
      <c r="J209" s="153"/>
      <c r="K209" s="153"/>
      <c r="L209" s="154"/>
      <c r="M209" s="154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ht="13.5" customHeight="1">
      <c r="A210" s="153"/>
      <c r="B210" s="153"/>
      <c r="C210" s="153"/>
      <c r="D210" s="154"/>
      <c r="E210" s="154"/>
      <c r="F210" s="153"/>
      <c r="G210" s="153"/>
      <c r="H210" s="153"/>
      <c r="I210" s="153"/>
      <c r="J210" s="153"/>
      <c r="K210" s="153"/>
      <c r="L210" s="154"/>
      <c r="M210" s="154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ht="13.5" customHeight="1">
      <c r="A211" s="153"/>
      <c r="B211" s="153"/>
      <c r="C211" s="153"/>
      <c r="D211" s="154"/>
      <c r="E211" s="154"/>
      <c r="F211" s="153"/>
      <c r="G211" s="153"/>
      <c r="H211" s="153"/>
      <c r="I211" s="153"/>
      <c r="J211" s="153"/>
      <c r="K211" s="153"/>
      <c r="L211" s="154"/>
      <c r="M211" s="154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ht="13.5" customHeight="1">
      <c r="A212" s="153"/>
      <c r="B212" s="153"/>
      <c r="C212" s="153"/>
      <c r="D212" s="154"/>
      <c r="E212" s="154"/>
      <c r="F212" s="153"/>
      <c r="G212" s="153"/>
      <c r="H212" s="153"/>
      <c r="I212" s="153"/>
      <c r="J212" s="153"/>
      <c r="K212" s="153"/>
      <c r="L212" s="154"/>
      <c r="M212" s="154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ht="13.5" customHeight="1">
      <c r="A213" s="153"/>
      <c r="B213" s="153"/>
      <c r="C213" s="153"/>
      <c r="D213" s="154"/>
      <c r="E213" s="154"/>
      <c r="F213" s="153"/>
      <c r="G213" s="153"/>
      <c r="H213" s="153"/>
      <c r="I213" s="153"/>
      <c r="J213" s="153"/>
      <c r="K213" s="153"/>
      <c r="L213" s="154"/>
      <c r="M213" s="154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ht="13.5" customHeight="1">
      <c r="A214" s="153"/>
      <c r="B214" s="153"/>
      <c r="C214" s="153"/>
      <c r="D214" s="154"/>
      <c r="E214" s="154"/>
      <c r="F214" s="153"/>
      <c r="G214" s="153"/>
      <c r="H214" s="153"/>
      <c r="I214" s="153"/>
      <c r="J214" s="153"/>
      <c r="K214" s="153"/>
      <c r="L214" s="154"/>
      <c r="M214" s="154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ht="13.5" customHeight="1">
      <c r="A215" s="153"/>
      <c r="B215" s="153"/>
      <c r="C215" s="153"/>
      <c r="D215" s="154"/>
      <c r="E215" s="154"/>
      <c r="F215" s="153"/>
      <c r="G215" s="153"/>
      <c r="H215" s="153"/>
      <c r="I215" s="153"/>
      <c r="J215" s="153"/>
      <c r="K215" s="153"/>
      <c r="L215" s="154"/>
      <c r="M215" s="154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ht="13.5" customHeight="1">
      <c r="A216" s="153"/>
      <c r="B216" s="153"/>
      <c r="C216" s="153"/>
      <c r="D216" s="154"/>
      <c r="E216" s="154"/>
      <c r="F216" s="153"/>
      <c r="G216" s="153"/>
      <c r="H216" s="153"/>
      <c r="I216" s="153"/>
      <c r="J216" s="153"/>
      <c r="K216" s="153"/>
      <c r="L216" s="154"/>
      <c r="M216" s="154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ht="13.5" customHeight="1">
      <c r="A217" s="153"/>
      <c r="B217" s="153"/>
      <c r="C217" s="153"/>
      <c r="D217" s="154"/>
      <c r="E217" s="154"/>
      <c r="F217" s="153"/>
      <c r="G217" s="153"/>
      <c r="H217" s="153"/>
      <c r="I217" s="153"/>
      <c r="J217" s="153"/>
      <c r="K217" s="153"/>
      <c r="L217" s="154"/>
      <c r="M217" s="154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ht="13.5" customHeight="1">
      <c r="A218" s="153"/>
      <c r="B218" s="153"/>
      <c r="C218" s="153"/>
      <c r="D218" s="154"/>
      <c r="E218" s="154"/>
      <c r="F218" s="153"/>
      <c r="G218" s="153"/>
      <c r="H218" s="153"/>
      <c r="I218" s="153"/>
      <c r="J218" s="153"/>
      <c r="K218" s="153"/>
      <c r="L218" s="154"/>
      <c r="M218" s="154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ht="13.5" customHeight="1">
      <c r="A219" s="153"/>
      <c r="B219" s="153"/>
      <c r="C219" s="153"/>
      <c r="D219" s="154"/>
      <c r="E219" s="154"/>
      <c r="F219" s="153"/>
      <c r="G219" s="153"/>
      <c r="H219" s="153"/>
      <c r="I219" s="153"/>
      <c r="J219" s="153"/>
      <c r="K219" s="153"/>
      <c r="L219" s="154"/>
      <c r="M219" s="154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ht="13.5" customHeight="1">
      <c r="A220" s="153"/>
      <c r="B220" s="153"/>
      <c r="C220" s="153"/>
      <c r="D220" s="154"/>
      <c r="E220" s="154"/>
      <c r="F220" s="153"/>
      <c r="G220" s="153"/>
      <c r="H220" s="153"/>
      <c r="I220" s="153"/>
      <c r="J220" s="153"/>
      <c r="K220" s="153"/>
      <c r="L220" s="154"/>
      <c r="M220" s="154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ht="13.5" customHeight="1">
      <c r="A221" s="153"/>
      <c r="B221" s="153"/>
      <c r="C221" s="153"/>
      <c r="D221" s="154"/>
      <c r="E221" s="154"/>
      <c r="F221" s="153"/>
      <c r="G221" s="153"/>
      <c r="H221" s="153"/>
      <c r="I221" s="153"/>
      <c r="J221" s="153"/>
      <c r="K221" s="153"/>
      <c r="L221" s="154"/>
      <c r="M221" s="154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ht="13.5" customHeight="1">
      <c r="A222" s="153"/>
      <c r="B222" s="153"/>
      <c r="C222" s="153"/>
      <c r="D222" s="154"/>
      <c r="E222" s="154"/>
      <c r="F222" s="153"/>
      <c r="G222" s="153"/>
      <c r="H222" s="153"/>
      <c r="I222" s="153"/>
      <c r="J222" s="153"/>
      <c r="K222" s="153"/>
      <c r="L222" s="154"/>
      <c r="M222" s="154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ht="13.5" customHeight="1">
      <c r="A223" s="153"/>
      <c r="B223" s="153"/>
      <c r="C223" s="153"/>
      <c r="D223" s="154"/>
      <c r="E223" s="154"/>
      <c r="F223" s="153"/>
      <c r="G223" s="153"/>
      <c r="H223" s="153"/>
      <c r="I223" s="153"/>
      <c r="J223" s="153"/>
      <c r="K223" s="153"/>
      <c r="L223" s="154"/>
      <c r="M223" s="154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ht="13.5" customHeight="1">
      <c r="A224" s="153"/>
      <c r="B224" s="153"/>
      <c r="C224" s="153"/>
      <c r="D224" s="154"/>
      <c r="E224" s="154"/>
      <c r="F224" s="153"/>
      <c r="G224" s="153"/>
      <c r="H224" s="153"/>
      <c r="I224" s="153"/>
      <c r="J224" s="153"/>
      <c r="K224" s="153"/>
      <c r="L224" s="154"/>
      <c r="M224" s="154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ht="13.5" customHeight="1">
      <c r="A225" s="153"/>
      <c r="B225" s="153"/>
      <c r="C225" s="153"/>
      <c r="D225" s="154"/>
      <c r="E225" s="154"/>
      <c r="F225" s="153"/>
      <c r="G225" s="153"/>
      <c r="H225" s="153"/>
      <c r="I225" s="153"/>
      <c r="J225" s="153"/>
      <c r="K225" s="153"/>
      <c r="L225" s="154"/>
      <c r="M225" s="154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ht="13.5" customHeight="1">
      <c r="A226" s="153"/>
      <c r="B226" s="153"/>
      <c r="C226" s="153"/>
      <c r="D226" s="154"/>
      <c r="E226" s="154"/>
      <c r="F226" s="153"/>
      <c r="G226" s="153"/>
      <c r="H226" s="153"/>
      <c r="I226" s="153"/>
      <c r="J226" s="153"/>
      <c r="K226" s="153"/>
      <c r="L226" s="154"/>
      <c r="M226" s="154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ht="13.5" customHeight="1">
      <c r="A227" s="153"/>
      <c r="B227" s="153"/>
      <c r="C227" s="153"/>
      <c r="D227" s="154"/>
      <c r="E227" s="154"/>
      <c r="F227" s="153"/>
      <c r="G227" s="153"/>
      <c r="H227" s="153"/>
      <c r="I227" s="153"/>
      <c r="J227" s="153"/>
      <c r="K227" s="153"/>
      <c r="L227" s="154"/>
      <c r="M227" s="154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ht="13.5" customHeight="1">
      <c r="A228" s="153"/>
      <c r="B228" s="153"/>
      <c r="C228" s="153"/>
      <c r="D228" s="154"/>
      <c r="E228" s="154"/>
      <c r="F228" s="153"/>
      <c r="G228" s="153"/>
      <c r="H228" s="153"/>
      <c r="I228" s="153"/>
      <c r="J228" s="153"/>
      <c r="K228" s="153"/>
      <c r="L228" s="154"/>
      <c r="M228" s="154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ht="13.5" customHeight="1">
      <c r="A229" s="153"/>
      <c r="B229" s="153"/>
      <c r="C229" s="153"/>
      <c r="D229" s="154"/>
      <c r="E229" s="154"/>
      <c r="F229" s="153"/>
      <c r="G229" s="153"/>
      <c r="H229" s="153"/>
      <c r="I229" s="153"/>
      <c r="J229" s="153"/>
      <c r="K229" s="153"/>
      <c r="L229" s="154"/>
      <c r="M229" s="154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ht="13.5" customHeight="1">
      <c r="A230" s="153"/>
      <c r="B230" s="153"/>
      <c r="C230" s="153"/>
      <c r="D230" s="154"/>
      <c r="E230" s="154"/>
      <c r="F230" s="153"/>
      <c r="G230" s="153"/>
      <c r="H230" s="153"/>
      <c r="I230" s="153"/>
      <c r="J230" s="153"/>
      <c r="K230" s="153"/>
      <c r="L230" s="154"/>
      <c r="M230" s="154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ht="13.5" customHeight="1">
      <c r="A231" s="153"/>
      <c r="B231" s="153"/>
      <c r="C231" s="153"/>
      <c r="D231" s="154"/>
      <c r="E231" s="154"/>
      <c r="F231" s="153"/>
      <c r="G231" s="153"/>
      <c r="H231" s="153"/>
      <c r="I231" s="153"/>
      <c r="J231" s="153"/>
      <c r="K231" s="153"/>
      <c r="L231" s="154"/>
      <c r="M231" s="154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ht="13.5" customHeight="1">
      <c r="A232" s="153"/>
      <c r="B232" s="153"/>
      <c r="C232" s="153"/>
      <c r="D232" s="154"/>
      <c r="E232" s="154"/>
      <c r="F232" s="153"/>
      <c r="G232" s="153"/>
      <c r="H232" s="153"/>
      <c r="I232" s="153"/>
      <c r="J232" s="153"/>
      <c r="K232" s="153"/>
      <c r="L232" s="154"/>
      <c r="M232" s="154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ht="13.5" customHeight="1">
      <c r="A233" s="153"/>
      <c r="B233" s="153"/>
      <c r="C233" s="153"/>
      <c r="D233" s="154"/>
      <c r="E233" s="154"/>
      <c r="F233" s="153"/>
      <c r="G233" s="153"/>
      <c r="H233" s="153"/>
      <c r="I233" s="153"/>
      <c r="J233" s="153"/>
      <c r="K233" s="153"/>
      <c r="L233" s="154"/>
      <c r="M233" s="154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ht="13.5" customHeight="1">
      <c r="A234" s="153"/>
      <c r="B234" s="153"/>
      <c r="C234" s="153"/>
      <c r="D234" s="154"/>
      <c r="E234" s="154"/>
      <c r="F234" s="153"/>
      <c r="G234" s="153"/>
      <c r="H234" s="153"/>
      <c r="I234" s="153"/>
      <c r="J234" s="153"/>
      <c r="K234" s="153"/>
      <c r="L234" s="154"/>
      <c r="M234" s="154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ht="13.5" customHeight="1">
      <c r="A235" s="153"/>
      <c r="B235" s="153"/>
      <c r="C235" s="153"/>
      <c r="D235" s="154"/>
      <c r="E235" s="154"/>
      <c r="F235" s="153"/>
      <c r="G235" s="153"/>
      <c r="H235" s="153"/>
      <c r="I235" s="153"/>
      <c r="J235" s="153"/>
      <c r="K235" s="153"/>
      <c r="L235" s="154"/>
      <c r="M235" s="154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ht="13.5" customHeight="1">
      <c r="A236" s="153"/>
      <c r="B236" s="153"/>
      <c r="C236" s="153"/>
      <c r="D236" s="154"/>
      <c r="E236" s="154"/>
      <c r="F236" s="153"/>
      <c r="G236" s="153"/>
      <c r="H236" s="153"/>
      <c r="I236" s="153"/>
      <c r="J236" s="153"/>
      <c r="K236" s="153"/>
      <c r="L236" s="154"/>
      <c r="M236" s="154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ht="13.5" customHeight="1">
      <c r="A237" s="153"/>
      <c r="B237" s="153"/>
      <c r="C237" s="153"/>
      <c r="D237" s="154"/>
      <c r="E237" s="154"/>
      <c r="F237" s="153"/>
      <c r="G237" s="153"/>
      <c r="H237" s="153"/>
      <c r="I237" s="153"/>
      <c r="J237" s="153"/>
      <c r="K237" s="153"/>
      <c r="L237" s="154"/>
      <c r="M237" s="154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ht="13.5" customHeight="1">
      <c r="A238" s="153"/>
      <c r="B238" s="153"/>
      <c r="C238" s="153"/>
      <c r="D238" s="154"/>
      <c r="E238" s="154"/>
      <c r="F238" s="153"/>
      <c r="G238" s="153"/>
      <c r="H238" s="153"/>
      <c r="I238" s="153"/>
      <c r="J238" s="153"/>
      <c r="K238" s="153"/>
      <c r="L238" s="154"/>
      <c r="M238" s="154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ht="13.5" customHeight="1">
      <c r="A239" s="153"/>
      <c r="B239" s="153"/>
      <c r="C239" s="153"/>
      <c r="D239" s="154"/>
      <c r="E239" s="154"/>
      <c r="F239" s="153"/>
      <c r="G239" s="153"/>
      <c r="H239" s="153"/>
      <c r="I239" s="153"/>
      <c r="J239" s="153"/>
      <c r="K239" s="153"/>
      <c r="L239" s="154"/>
      <c r="M239" s="154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ht="13.5" customHeight="1">
      <c r="A240" s="153"/>
      <c r="B240" s="153"/>
      <c r="C240" s="153"/>
      <c r="D240" s="154"/>
      <c r="E240" s="154"/>
      <c r="F240" s="153"/>
      <c r="G240" s="153"/>
      <c r="H240" s="153"/>
      <c r="I240" s="153"/>
      <c r="J240" s="153"/>
      <c r="K240" s="153"/>
      <c r="L240" s="154"/>
      <c r="M240" s="154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ht="13.5" customHeight="1">
      <c r="A241" s="153"/>
      <c r="B241" s="153"/>
      <c r="C241" s="153"/>
      <c r="D241" s="154"/>
      <c r="E241" s="154"/>
      <c r="F241" s="153"/>
      <c r="G241" s="153"/>
      <c r="H241" s="153"/>
      <c r="I241" s="153"/>
      <c r="J241" s="153"/>
      <c r="K241" s="153"/>
      <c r="L241" s="154"/>
      <c r="M241" s="154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ht="13.5" customHeight="1">
      <c r="A242" s="153"/>
      <c r="B242" s="153"/>
      <c r="C242" s="153"/>
      <c r="D242" s="154"/>
      <c r="E242" s="154"/>
      <c r="F242" s="153"/>
      <c r="G242" s="153"/>
      <c r="H242" s="153"/>
      <c r="I242" s="153"/>
      <c r="J242" s="153"/>
      <c r="K242" s="153"/>
      <c r="L242" s="154"/>
      <c r="M242" s="154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ht="13.5" customHeight="1">
      <c r="A243" s="153"/>
      <c r="B243" s="153"/>
      <c r="C243" s="153"/>
      <c r="D243" s="154"/>
      <c r="E243" s="154"/>
      <c r="F243" s="153"/>
      <c r="G243" s="153"/>
      <c r="H243" s="153"/>
      <c r="I243" s="153"/>
      <c r="J243" s="153"/>
      <c r="K243" s="153"/>
      <c r="L243" s="154"/>
      <c r="M243" s="154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ht="13.5" customHeight="1">
      <c r="A244" s="153"/>
      <c r="B244" s="153"/>
      <c r="C244" s="153"/>
      <c r="D244" s="154"/>
      <c r="E244" s="154"/>
      <c r="F244" s="153"/>
      <c r="G244" s="153"/>
      <c r="H244" s="153"/>
      <c r="I244" s="153"/>
      <c r="J244" s="153"/>
      <c r="K244" s="153"/>
      <c r="L244" s="154"/>
      <c r="M244" s="154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ht="13.5" customHeight="1">
      <c r="A245" s="153"/>
      <c r="B245" s="153"/>
      <c r="C245" s="153"/>
      <c r="D245" s="154"/>
      <c r="E245" s="154"/>
      <c r="F245" s="153"/>
      <c r="G245" s="153"/>
      <c r="H245" s="153"/>
      <c r="I245" s="153"/>
      <c r="J245" s="153"/>
      <c r="K245" s="153"/>
      <c r="L245" s="154"/>
      <c r="M245" s="154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ht="13.5" customHeight="1">
      <c r="A246" s="153"/>
      <c r="B246" s="153"/>
      <c r="C246" s="153"/>
      <c r="D246" s="154"/>
      <c r="E246" s="154"/>
      <c r="F246" s="153"/>
      <c r="G246" s="153"/>
      <c r="H246" s="153"/>
      <c r="I246" s="153"/>
      <c r="J246" s="153"/>
      <c r="K246" s="153"/>
      <c r="L246" s="154"/>
      <c r="M246" s="154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ht="13.5" customHeight="1">
      <c r="A247" s="153"/>
      <c r="B247" s="153"/>
      <c r="C247" s="153"/>
      <c r="D247" s="154"/>
      <c r="E247" s="154"/>
      <c r="F247" s="153"/>
      <c r="G247" s="153"/>
      <c r="H247" s="153"/>
      <c r="I247" s="153"/>
      <c r="J247" s="153"/>
      <c r="K247" s="153"/>
      <c r="L247" s="154"/>
      <c r="M247" s="154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ht="13.5" customHeight="1">
      <c r="A248" s="153"/>
      <c r="B248" s="153"/>
      <c r="C248" s="153"/>
      <c r="D248" s="154"/>
      <c r="E248" s="154"/>
      <c r="F248" s="153"/>
      <c r="G248" s="153"/>
      <c r="H248" s="153"/>
      <c r="I248" s="153"/>
      <c r="J248" s="153"/>
      <c r="K248" s="153"/>
      <c r="L248" s="154"/>
      <c r="M248" s="154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ht="13.5" customHeight="1">
      <c r="A249" s="153"/>
      <c r="B249" s="153"/>
      <c r="C249" s="153"/>
      <c r="D249" s="154"/>
      <c r="E249" s="154"/>
      <c r="F249" s="153"/>
      <c r="G249" s="153"/>
      <c r="H249" s="153"/>
      <c r="I249" s="153"/>
      <c r="J249" s="153"/>
      <c r="K249" s="153"/>
      <c r="L249" s="154"/>
      <c r="M249" s="154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ht="13.5" customHeight="1">
      <c r="A250" s="153"/>
      <c r="B250" s="153"/>
      <c r="C250" s="153"/>
      <c r="D250" s="154"/>
      <c r="E250" s="154"/>
      <c r="F250" s="153"/>
      <c r="G250" s="153"/>
      <c r="H250" s="153"/>
      <c r="I250" s="153"/>
      <c r="J250" s="153"/>
      <c r="K250" s="153"/>
      <c r="L250" s="154"/>
      <c r="M250" s="154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ht="13.5" customHeight="1">
      <c r="A251" s="153"/>
      <c r="B251" s="153"/>
      <c r="C251" s="153"/>
      <c r="D251" s="154"/>
      <c r="E251" s="154"/>
      <c r="F251" s="153"/>
      <c r="G251" s="153"/>
      <c r="H251" s="153"/>
      <c r="I251" s="153"/>
      <c r="J251" s="153"/>
      <c r="K251" s="153"/>
      <c r="L251" s="154"/>
      <c r="M251" s="154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ht="13.5" customHeight="1">
      <c r="A252" s="153"/>
      <c r="B252" s="153"/>
      <c r="C252" s="153"/>
      <c r="D252" s="154"/>
      <c r="E252" s="154"/>
      <c r="F252" s="153"/>
      <c r="G252" s="153"/>
      <c r="H252" s="153"/>
      <c r="I252" s="153"/>
      <c r="J252" s="153"/>
      <c r="K252" s="153"/>
      <c r="L252" s="154"/>
      <c r="M252" s="154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ht="13.5" customHeight="1">
      <c r="A253" s="153"/>
      <c r="B253" s="153"/>
      <c r="C253" s="153"/>
      <c r="D253" s="154"/>
      <c r="E253" s="154"/>
      <c r="F253" s="153"/>
      <c r="G253" s="153"/>
      <c r="H253" s="153"/>
      <c r="I253" s="153"/>
      <c r="J253" s="153"/>
      <c r="K253" s="153"/>
      <c r="L253" s="154"/>
      <c r="M253" s="154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ht="13.5" customHeight="1">
      <c r="A254" s="153"/>
      <c r="B254" s="153"/>
      <c r="C254" s="153"/>
      <c r="D254" s="154"/>
      <c r="E254" s="154"/>
      <c r="F254" s="153"/>
      <c r="G254" s="153"/>
      <c r="H254" s="153"/>
      <c r="I254" s="153"/>
      <c r="J254" s="153"/>
      <c r="K254" s="153"/>
      <c r="L254" s="154"/>
      <c r="M254" s="154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ht="13.5" customHeight="1">
      <c r="A255" s="153"/>
      <c r="B255" s="153"/>
      <c r="C255" s="153"/>
      <c r="D255" s="154"/>
      <c r="E255" s="154"/>
      <c r="F255" s="153"/>
      <c r="G255" s="153"/>
      <c r="H255" s="153"/>
      <c r="I255" s="153"/>
      <c r="J255" s="153"/>
      <c r="K255" s="153"/>
      <c r="L255" s="154"/>
      <c r="M255" s="154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ht="13.5" customHeight="1">
      <c r="A256" s="153"/>
      <c r="B256" s="153"/>
      <c r="C256" s="153"/>
      <c r="D256" s="154"/>
      <c r="E256" s="154"/>
      <c r="F256" s="153"/>
      <c r="G256" s="153"/>
      <c r="H256" s="153"/>
      <c r="I256" s="153"/>
      <c r="J256" s="153"/>
      <c r="K256" s="153"/>
      <c r="L256" s="154"/>
      <c r="M256" s="154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ht="13.5" customHeight="1">
      <c r="A257" s="153"/>
      <c r="B257" s="153"/>
      <c r="C257" s="153"/>
      <c r="D257" s="154"/>
      <c r="E257" s="154"/>
      <c r="F257" s="153"/>
      <c r="G257" s="153"/>
      <c r="H257" s="153"/>
      <c r="I257" s="153"/>
      <c r="J257" s="153"/>
      <c r="K257" s="153"/>
      <c r="L257" s="154"/>
      <c r="M257" s="154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ht="13.5" customHeight="1">
      <c r="A258" s="153"/>
      <c r="B258" s="153"/>
      <c r="C258" s="153"/>
      <c r="D258" s="154"/>
      <c r="E258" s="154"/>
      <c r="F258" s="153"/>
      <c r="G258" s="153"/>
      <c r="H258" s="153"/>
      <c r="I258" s="153"/>
      <c r="J258" s="153"/>
      <c r="K258" s="153"/>
      <c r="L258" s="154"/>
      <c r="M258" s="154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ht="13.5" customHeight="1">
      <c r="A259" s="153"/>
      <c r="B259" s="153"/>
      <c r="C259" s="153"/>
      <c r="D259" s="154"/>
      <c r="E259" s="154"/>
      <c r="F259" s="153"/>
      <c r="G259" s="153"/>
      <c r="H259" s="153"/>
      <c r="I259" s="153"/>
      <c r="J259" s="153"/>
      <c r="K259" s="153"/>
      <c r="L259" s="154"/>
      <c r="M259" s="154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ht="13.5" customHeight="1">
      <c r="A260" s="153"/>
      <c r="B260" s="153"/>
      <c r="C260" s="153"/>
      <c r="D260" s="154"/>
      <c r="E260" s="154"/>
      <c r="F260" s="153"/>
      <c r="G260" s="153"/>
      <c r="H260" s="153"/>
      <c r="I260" s="153"/>
      <c r="J260" s="153"/>
      <c r="K260" s="153"/>
      <c r="L260" s="154"/>
      <c r="M260" s="154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ht="13.5" customHeight="1">
      <c r="A261" s="153"/>
      <c r="B261" s="153"/>
      <c r="C261" s="153"/>
      <c r="D261" s="154"/>
      <c r="E261" s="154"/>
      <c r="F261" s="153"/>
      <c r="G261" s="153"/>
      <c r="H261" s="153"/>
      <c r="I261" s="153"/>
      <c r="J261" s="153"/>
      <c r="K261" s="153"/>
      <c r="L261" s="154"/>
      <c r="M261" s="154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ht="13.5" customHeight="1">
      <c r="A262" s="153"/>
      <c r="B262" s="153"/>
      <c r="C262" s="153"/>
      <c r="D262" s="154"/>
      <c r="E262" s="154"/>
      <c r="F262" s="153"/>
      <c r="G262" s="153"/>
      <c r="H262" s="153"/>
      <c r="I262" s="153"/>
      <c r="J262" s="153"/>
      <c r="K262" s="153"/>
      <c r="L262" s="154"/>
      <c r="M262" s="154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ht="13.5" customHeight="1">
      <c r="A263" s="153"/>
      <c r="B263" s="153"/>
      <c r="C263" s="153"/>
      <c r="D263" s="154"/>
      <c r="E263" s="154"/>
      <c r="F263" s="153"/>
      <c r="G263" s="153"/>
      <c r="H263" s="153"/>
      <c r="I263" s="153"/>
      <c r="J263" s="153"/>
      <c r="K263" s="153"/>
      <c r="L263" s="154"/>
      <c r="M263" s="154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ht="13.5" customHeight="1">
      <c r="A264" s="153"/>
      <c r="B264" s="153"/>
      <c r="C264" s="153"/>
      <c r="D264" s="154"/>
      <c r="E264" s="154"/>
      <c r="F264" s="153"/>
      <c r="G264" s="153"/>
      <c r="H264" s="153"/>
      <c r="I264" s="153"/>
      <c r="J264" s="153"/>
      <c r="K264" s="153"/>
      <c r="L264" s="154"/>
      <c r="M264" s="154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ht="13.5" customHeight="1">
      <c r="A265" s="153"/>
      <c r="B265" s="153"/>
      <c r="C265" s="153"/>
      <c r="D265" s="154"/>
      <c r="E265" s="154"/>
      <c r="F265" s="153"/>
      <c r="G265" s="153"/>
      <c r="H265" s="153"/>
      <c r="I265" s="153"/>
      <c r="J265" s="153"/>
      <c r="K265" s="153"/>
      <c r="L265" s="154"/>
      <c r="M265" s="154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ht="13.5" customHeight="1">
      <c r="A266" s="153"/>
      <c r="B266" s="153"/>
      <c r="C266" s="153"/>
      <c r="D266" s="154"/>
      <c r="E266" s="154"/>
      <c r="F266" s="153"/>
      <c r="G266" s="153"/>
      <c r="H266" s="153"/>
      <c r="I266" s="153"/>
      <c r="J266" s="153"/>
      <c r="K266" s="153"/>
      <c r="L266" s="154"/>
      <c r="M266" s="154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ht="13.5" customHeight="1">
      <c r="A267" s="153"/>
      <c r="B267" s="153"/>
      <c r="C267" s="153"/>
      <c r="D267" s="154"/>
      <c r="E267" s="154"/>
      <c r="F267" s="153"/>
      <c r="G267" s="153"/>
      <c r="H267" s="153"/>
      <c r="I267" s="153"/>
      <c r="J267" s="153"/>
      <c r="K267" s="153"/>
      <c r="L267" s="154"/>
      <c r="M267" s="154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 ht="13.5" customHeight="1">
      <c r="A268" s="153"/>
      <c r="B268" s="153"/>
      <c r="C268" s="153"/>
      <c r="D268" s="154"/>
      <c r="E268" s="154"/>
      <c r="F268" s="153"/>
      <c r="G268" s="153"/>
      <c r="H268" s="153"/>
      <c r="I268" s="153"/>
      <c r="J268" s="153"/>
      <c r="K268" s="153"/>
      <c r="L268" s="154"/>
      <c r="M268" s="154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 ht="13.5" customHeight="1">
      <c r="A269" s="153"/>
      <c r="B269" s="153"/>
      <c r="C269" s="153"/>
      <c r="D269" s="154"/>
      <c r="E269" s="154"/>
      <c r="F269" s="153"/>
      <c r="G269" s="153"/>
      <c r="H269" s="153"/>
      <c r="I269" s="153"/>
      <c r="J269" s="153"/>
      <c r="K269" s="153"/>
      <c r="L269" s="154"/>
      <c r="M269" s="154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 ht="13.5" customHeight="1">
      <c r="A270" s="153"/>
      <c r="B270" s="153"/>
      <c r="C270" s="153"/>
      <c r="D270" s="154"/>
      <c r="E270" s="154"/>
      <c r="F270" s="153"/>
      <c r="G270" s="153"/>
      <c r="H270" s="153"/>
      <c r="I270" s="153"/>
      <c r="J270" s="153"/>
      <c r="K270" s="153"/>
      <c r="L270" s="154"/>
      <c r="M270" s="154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 ht="13.5" customHeight="1">
      <c r="A271" s="153"/>
      <c r="B271" s="153"/>
      <c r="C271" s="153"/>
      <c r="D271" s="154"/>
      <c r="E271" s="154"/>
      <c r="F271" s="153"/>
      <c r="G271" s="153"/>
      <c r="H271" s="153"/>
      <c r="I271" s="153"/>
      <c r="J271" s="153"/>
      <c r="K271" s="153"/>
      <c r="L271" s="154"/>
      <c r="M271" s="154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 ht="13.5" customHeight="1">
      <c r="A272" s="153"/>
      <c r="B272" s="153"/>
      <c r="C272" s="153"/>
      <c r="D272" s="154"/>
      <c r="E272" s="154"/>
      <c r="F272" s="153"/>
      <c r="G272" s="153"/>
      <c r="H272" s="153"/>
      <c r="I272" s="153"/>
      <c r="J272" s="153"/>
      <c r="K272" s="153"/>
      <c r="L272" s="154"/>
      <c r="M272" s="154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 ht="13.5" customHeight="1">
      <c r="A273" s="153"/>
      <c r="B273" s="153"/>
      <c r="C273" s="153"/>
      <c r="D273" s="154"/>
      <c r="E273" s="154"/>
      <c r="F273" s="153"/>
      <c r="G273" s="153"/>
      <c r="H273" s="153"/>
      <c r="I273" s="153"/>
      <c r="J273" s="153"/>
      <c r="K273" s="153"/>
      <c r="L273" s="154"/>
      <c r="M273" s="154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 ht="13.5" customHeight="1">
      <c r="A274" s="153"/>
      <c r="B274" s="153"/>
      <c r="C274" s="153"/>
      <c r="D274" s="154"/>
      <c r="E274" s="154"/>
      <c r="F274" s="153"/>
      <c r="G274" s="153"/>
      <c r="H274" s="153"/>
      <c r="I274" s="153"/>
      <c r="J274" s="153"/>
      <c r="K274" s="153"/>
      <c r="L274" s="154"/>
      <c r="M274" s="154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 ht="13.5" customHeight="1">
      <c r="A275" s="153"/>
      <c r="B275" s="153"/>
      <c r="C275" s="153"/>
      <c r="D275" s="154"/>
      <c r="E275" s="154"/>
      <c r="F275" s="153"/>
      <c r="G275" s="153"/>
      <c r="H275" s="153"/>
      <c r="I275" s="153"/>
      <c r="J275" s="153"/>
      <c r="K275" s="153"/>
      <c r="L275" s="154"/>
      <c r="M275" s="154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 ht="13.5" customHeight="1">
      <c r="A276" s="153"/>
      <c r="B276" s="153"/>
      <c r="C276" s="153"/>
      <c r="D276" s="154"/>
      <c r="E276" s="154"/>
      <c r="F276" s="153"/>
      <c r="G276" s="153"/>
      <c r="H276" s="153"/>
      <c r="I276" s="153"/>
      <c r="J276" s="153"/>
      <c r="K276" s="153"/>
      <c r="L276" s="154"/>
      <c r="M276" s="154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 ht="13.5" customHeight="1">
      <c r="A277" s="153"/>
      <c r="B277" s="153"/>
      <c r="C277" s="153"/>
      <c r="D277" s="154"/>
      <c r="E277" s="154"/>
      <c r="F277" s="153"/>
      <c r="G277" s="153"/>
      <c r="H277" s="153"/>
      <c r="I277" s="153"/>
      <c r="J277" s="153"/>
      <c r="K277" s="153"/>
      <c r="L277" s="154"/>
      <c r="M277" s="154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 ht="13.5" customHeight="1">
      <c r="A278" s="153"/>
      <c r="B278" s="153"/>
      <c r="C278" s="153"/>
      <c r="D278" s="154"/>
      <c r="E278" s="154"/>
      <c r="F278" s="153"/>
      <c r="G278" s="153"/>
      <c r="H278" s="153"/>
      <c r="I278" s="153"/>
      <c r="J278" s="153"/>
      <c r="K278" s="153"/>
      <c r="L278" s="154"/>
      <c r="M278" s="154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 ht="13.5" customHeight="1">
      <c r="A279" s="153"/>
      <c r="B279" s="153"/>
      <c r="C279" s="153"/>
      <c r="D279" s="154"/>
      <c r="E279" s="154"/>
      <c r="F279" s="153"/>
      <c r="G279" s="153"/>
      <c r="H279" s="153"/>
      <c r="I279" s="153"/>
      <c r="J279" s="153"/>
      <c r="K279" s="153"/>
      <c r="L279" s="154"/>
      <c r="M279" s="154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 ht="13.5" customHeight="1">
      <c r="A280" s="153"/>
      <c r="B280" s="153"/>
      <c r="C280" s="153"/>
      <c r="D280" s="154"/>
      <c r="E280" s="154"/>
      <c r="F280" s="153"/>
      <c r="G280" s="153"/>
      <c r="H280" s="153"/>
      <c r="I280" s="153"/>
      <c r="J280" s="153"/>
      <c r="K280" s="153"/>
      <c r="L280" s="154"/>
      <c r="M280" s="154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 ht="13.5" customHeight="1">
      <c r="A281" s="153"/>
      <c r="B281" s="153"/>
      <c r="C281" s="153"/>
      <c r="D281" s="154"/>
      <c r="E281" s="154"/>
      <c r="F281" s="153"/>
      <c r="G281" s="153"/>
      <c r="H281" s="153"/>
      <c r="I281" s="153"/>
      <c r="J281" s="153"/>
      <c r="K281" s="153"/>
      <c r="L281" s="154"/>
      <c r="M281" s="154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 ht="13.5" customHeight="1">
      <c r="A282" s="153"/>
      <c r="B282" s="153"/>
      <c r="C282" s="153"/>
      <c r="D282" s="154"/>
      <c r="E282" s="154"/>
      <c r="F282" s="153"/>
      <c r="G282" s="153"/>
      <c r="H282" s="153"/>
      <c r="I282" s="153"/>
      <c r="J282" s="153"/>
      <c r="K282" s="153"/>
      <c r="L282" s="154"/>
      <c r="M282" s="154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 ht="13.5" customHeight="1">
      <c r="A283" s="153"/>
      <c r="B283" s="153"/>
      <c r="C283" s="153"/>
      <c r="D283" s="154"/>
      <c r="E283" s="154"/>
      <c r="F283" s="153"/>
      <c r="G283" s="153"/>
      <c r="H283" s="153"/>
      <c r="I283" s="153"/>
      <c r="J283" s="153"/>
      <c r="K283" s="153"/>
      <c r="L283" s="154"/>
      <c r="M283" s="154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 ht="13.5" customHeight="1">
      <c r="A284" s="153"/>
      <c r="B284" s="153"/>
      <c r="C284" s="153"/>
      <c r="D284" s="154"/>
      <c r="E284" s="154"/>
      <c r="F284" s="153"/>
      <c r="G284" s="153"/>
      <c r="H284" s="153"/>
      <c r="I284" s="153"/>
      <c r="J284" s="153"/>
      <c r="K284" s="153"/>
      <c r="L284" s="154"/>
      <c r="M284" s="154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 ht="13.5" customHeight="1">
      <c r="A285" s="153"/>
      <c r="B285" s="153"/>
      <c r="C285" s="153"/>
      <c r="D285" s="154"/>
      <c r="E285" s="154"/>
      <c r="F285" s="153"/>
      <c r="G285" s="153"/>
      <c r="H285" s="153"/>
      <c r="I285" s="153"/>
      <c r="J285" s="153"/>
      <c r="K285" s="153"/>
      <c r="L285" s="154"/>
      <c r="M285" s="154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 ht="13.5" customHeight="1">
      <c r="A286" s="153"/>
      <c r="B286" s="153"/>
      <c r="C286" s="153"/>
      <c r="D286" s="154"/>
      <c r="E286" s="154"/>
      <c r="F286" s="153"/>
      <c r="G286" s="153"/>
      <c r="H286" s="153"/>
      <c r="I286" s="153"/>
      <c r="J286" s="153"/>
      <c r="K286" s="153"/>
      <c r="L286" s="154"/>
      <c r="M286" s="154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 ht="13.5" customHeight="1">
      <c r="A287" s="153"/>
      <c r="B287" s="153"/>
      <c r="C287" s="153"/>
      <c r="D287" s="154"/>
      <c r="E287" s="154"/>
      <c r="F287" s="153"/>
      <c r="G287" s="153"/>
      <c r="H287" s="153"/>
      <c r="I287" s="153"/>
      <c r="J287" s="153"/>
      <c r="K287" s="153"/>
      <c r="L287" s="154"/>
      <c r="M287" s="154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 ht="13.5" customHeight="1">
      <c r="A288" s="153"/>
      <c r="B288" s="153"/>
      <c r="C288" s="153"/>
      <c r="D288" s="154"/>
      <c r="E288" s="154"/>
      <c r="F288" s="153"/>
      <c r="G288" s="153"/>
      <c r="H288" s="153"/>
      <c r="I288" s="153"/>
      <c r="J288" s="153"/>
      <c r="K288" s="153"/>
      <c r="L288" s="154"/>
      <c r="M288" s="154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 ht="13.5" customHeight="1">
      <c r="A289" s="153"/>
      <c r="B289" s="153"/>
      <c r="C289" s="153"/>
      <c r="D289" s="154"/>
      <c r="E289" s="154"/>
      <c r="F289" s="153"/>
      <c r="G289" s="153"/>
      <c r="H289" s="153"/>
      <c r="I289" s="153"/>
      <c r="J289" s="153"/>
      <c r="K289" s="153"/>
      <c r="L289" s="154"/>
      <c r="M289" s="154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 ht="13.5" customHeight="1">
      <c r="A290" s="153"/>
      <c r="B290" s="153"/>
      <c r="C290" s="153"/>
      <c r="D290" s="154"/>
      <c r="E290" s="154"/>
      <c r="F290" s="153"/>
      <c r="G290" s="153"/>
      <c r="H290" s="153"/>
      <c r="I290" s="153"/>
      <c r="J290" s="153"/>
      <c r="K290" s="153"/>
      <c r="L290" s="154"/>
      <c r="M290" s="154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 ht="13.5" customHeight="1">
      <c r="A291" s="153"/>
      <c r="B291" s="153"/>
      <c r="C291" s="153"/>
      <c r="D291" s="154"/>
      <c r="E291" s="154"/>
      <c r="F291" s="153"/>
      <c r="G291" s="153"/>
      <c r="H291" s="153"/>
      <c r="I291" s="153"/>
      <c r="J291" s="153"/>
      <c r="K291" s="153"/>
      <c r="L291" s="154"/>
      <c r="M291" s="154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 ht="13.5" customHeight="1">
      <c r="A292" s="153"/>
      <c r="B292" s="153"/>
      <c r="C292" s="153"/>
      <c r="D292" s="154"/>
      <c r="E292" s="154"/>
      <c r="F292" s="153"/>
      <c r="G292" s="153"/>
      <c r="H292" s="153"/>
      <c r="I292" s="153"/>
      <c r="J292" s="153"/>
      <c r="K292" s="153"/>
      <c r="L292" s="154"/>
      <c r="M292" s="154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 ht="13.5" customHeight="1">
      <c r="A293" s="153"/>
      <c r="B293" s="153"/>
      <c r="C293" s="153"/>
      <c r="D293" s="154"/>
      <c r="E293" s="154"/>
      <c r="F293" s="153"/>
      <c r="G293" s="153"/>
      <c r="H293" s="153"/>
      <c r="I293" s="153"/>
      <c r="J293" s="153"/>
      <c r="K293" s="153"/>
      <c r="L293" s="154"/>
      <c r="M293" s="154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 ht="13.5" customHeight="1">
      <c r="A294" s="153"/>
      <c r="B294" s="153"/>
      <c r="C294" s="153"/>
      <c r="D294" s="154"/>
      <c r="E294" s="154"/>
      <c r="F294" s="153"/>
      <c r="G294" s="153"/>
      <c r="H294" s="153"/>
      <c r="I294" s="153"/>
      <c r="J294" s="153"/>
      <c r="K294" s="153"/>
      <c r="L294" s="154"/>
      <c r="M294" s="154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 ht="13.5" customHeight="1">
      <c r="A295" s="153"/>
      <c r="B295" s="153"/>
      <c r="C295" s="153"/>
      <c r="D295" s="154"/>
      <c r="E295" s="154"/>
      <c r="F295" s="153"/>
      <c r="G295" s="153"/>
      <c r="H295" s="153"/>
      <c r="I295" s="153"/>
      <c r="J295" s="153"/>
      <c r="K295" s="153"/>
      <c r="L295" s="154"/>
      <c r="M295" s="154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 ht="13.5" customHeight="1">
      <c r="A296" s="153"/>
      <c r="B296" s="153"/>
      <c r="C296" s="153"/>
      <c r="D296" s="154"/>
      <c r="E296" s="154"/>
      <c r="F296" s="153"/>
      <c r="G296" s="153"/>
      <c r="H296" s="153"/>
      <c r="I296" s="153"/>
      <c r="J296" s="153"/>
      <c r="K296" s="153"/>
      <c r="L296" s="154"/>
      <c r="M296" s="154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 ht="13.5" customHeight="1">
      <c r="A297" s="153"/>
      <c r="B297" s="153"/>
      <c r="C297" s="153"/>
      <c r="D297" s="154"/>
      <c r="E297" s="154"/>
      <c r="F297" s="153"/>
      <c r="G297" s="153"/>
      <c r="H297" s="153"/>
      <c r="I297" s="153"/>
      <c r="J297" s="153"/>
      <c r="K297" s="153"/>
      <c r="L297" s="154"/>
      <c r="M297" s="154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 ht="13.5" customHeight="1">
      <c r="A298" s="153"/>
      <c r="B298" s="153"/>
      <c r="C298" s="153"/>
      <c r="D298" s="154"/>
      <c r="E298" s="154"/>
      <c r="F298" s="153"/>
      <c r="G298" s="153"/>
      <c r="H298" s="153"/>
      <c r="I298" s="153"/>
      <c r="J298" s="153"/>
      <c r="K298" s="153"/>
      <c r="L298" s="154"/>
      <c r="M298" s="154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 ht="13.5" customHeight="1">
      <c r="A299" s="153"/>
      <c r="B299" s="153"/>
      <c r="C299" s="153"/>
      <c r="D299" s="154"/>
      <c r="E299" s="154"/>
      <c r="F299" s="153"/>
      <c r="G299" s="153"/>
      <c r="H299" s="153"/>
      <c r="I299" s="153"/>
      <c r="J299" s="153"/>
      <c r="K299" s="153"/>
      <c r="L299" s="154"/>
      <c r="M299" s="154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 ht="13.5" customHeight="1">
      <c r="A300" s="153"/>
      <c r="B300" s="153"/>
      <c r="C300" s="153"/>
      <c r="D300" s="154"/>
      <c r="E300" s="154"/>
      <c r="F300" s="153"/>
      <c r="G300" s="153"/>
      <c r="H300" s="153"/>
      <c r="I300" s="153"/>
      <c r="J300" s="153"/>
      <c r="K300" s="153"/>
      <c r="L300" s="154"/>
      <c r="M300" s="154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 ht="13.5" customHeight="1">
      <c r="A301" s="153"/>
      <c r="B301" s="153"/>
      <c r="C301" s="153"/>
      <c r="D301" s="154"/>
      <c r="E301" s="154"/>
      <c r="F301" s="153"/>
      <c r="G301" s="153"/>
      <c r="H301" s="153"/>
      <c r="I301" s="153"/>
      <c r="J301" s="153"/>
      <c r="K301" s="153"/>
      <c r="L301" s="154"/>
      <c r="M301" s="154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 ht="13.5" customHeight="1">
      <c r="A302" s="153"/>
      <c r="B302" s="153"/>
      <c r="C302" s="153"/>
      <c r="D302" s="154"/>
      <c r="E302" s="154"/>
      <c r="F302" s="153"/>
      <c r="G302" s="153"/>
      <c r="H302" s="153"/>
      <c r="I302" s="153"/>
      <c r="J302" s="153"/>
      <c r="K302" s="153"/>
      <c r="L302" s="154"/>
      <c r="M302" s="154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 ht="13.5" customHeight="1">
      <c r="A303" s="153"/>
      <c r="B303" s="153"/>
      <c r="C303" s="153"/>
      <c r="D303" s="154"/>
      <c r="E303" s="154"/>
      <c r="F303" s="153"/>
      <c r="G303" s="153"/>
      <c r="H303" s="153"/>
      <c r="I303" s="153"/>
      <c r="J303" s="153"/>
      <c r="K303" s="153"/>
      <c r="L303" s="154"/>
      <c r="M303" s="154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ht="13.5" customHeight="1">
      <c r="A304" s="153"/>
      <c r="B304" s="153"/>
      <c r="C304" s="153"/>
      <c r="D304" s="154"/>
      <c r="E304" s="154"/>
      <c r="F304" s="153"/>
      <c r="G304" s="153"/>
      <c r="H304" s="153"/>
      <c r="I304" s="153"/>
      <c r="J304" s="153"/>
      <c r="K304" s="153"/>
      <c r="L304" s="154"/>
      <c r="M304" s="154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ht="13.5" customHeight="1">
      <c r="A305" s="153"/>
      <c r="B305" s="153"/>
      <c r="C305" s="153"/>
      <c r="D305" s="154"/>
      <c r="E305" s="154"/>
      <c r="F305" s="153"/>
      <c r="G305" s="153"/>
      <c r="H305" s="153"/>
      <c r="I305" s="153"/>
      <c r="J305" s="153"/>
      <c r="K305" s="153"/>
      <c r="L305" s="154"/>
      <c r="M305" s="154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ht="13.5" customHeight="1">
      <c r="A306" s="153"/>
      <c r="B306" s="153"/>
      <c r="C306" s="153"/>
      <c r="D306" s="154"/>
      <c r="E306" s="154"/>
      <c r="F306" s="153"/>
      <c r="G306" s="153"/>
      <c r="H306" s="153"/>
      <c r="I306" s="153"/>
      <c r="J306" s="153"/>
      <c r="K306" s="153"/>
      <c r="L306" s="154"/>
      <c r="M306" s="154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ht="13.5" customHeight="1">
      <c r="A307" s="153"/>
      <c r="B307" s="153"/>
      <c r="C307" s="153"/>
      <c r="D307" s="154"/>
      <c r="E307" s="154"/>
      <c r="F307" s="153"/>
      <c r="G307" s="153"/>
      <c r="H307" s="153"/>
      <c r="I307" s="153"/>
      <c r="J307" s="153"/>
      <c r="K307" s="153"/>
      <c r="L307" s="154"/>
      <c r="M307" s="154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ht="13.5" customHeight="1">
      <c r="A308" s="153"/>
      <c r="B308" s="153"/>
      <c r="C308" s="153"/>
      <c r="D308" s="154"/>
      <c r="E308" s="154"/>
      <c r="F308" s="153"/>
      <c r="G308" s="153"/>
      <c r="H308" s="153"/>
      <c r="I308" s="153"/>
      <c r="J308" s="153"/>
      <c r="K308" s="153"/>
      <c r="L308" s="154"/>
      <c r="M308" s="154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ht="13.5" customHeight="1">
      <c r="A309" s="153"/>
      <c r="B309" s="153"/>
      <c r="C309" s="153"/>
      <c r="D309" s="154"/>
      <c r="E309" s="154"/>
      <c r="F309" s="153"/>
      <c r="G309" s="153"/>
      <c r="H309" s="153"/>
      <c r="I309" s="153"/>
      <c r="J309" s="153"/>
      <c r="K309" s="153"/>
      <c r="L309" s="154"/>
      <c r="M309" s="154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ht="13.5" customHeight="1">
      <c r="A310" s="153"/>
      <c r="B310" s="153"/>
      <c r="C310" s="153"/>
      <c r="D310" s="154"/>
      <c r="E310" s="154"/>
      <c r="F310" s="153"/>
      <c r="G310" s="153"/>
      <c r="H310" s="153"/>
      <c r="I310" s="153"/>
      <c r="J310" s="153"/>
      <c r="K310" s="153"/>
      <c r="L310" s="154"/>
      <c r="M310" s="154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ht="13.5" customHeight="1">
      <c r="A311" s="153"/>
      <c r="B311" s="153"/>
      <c r="C311" s="153"/>
      <c r="D311" s="154"/>
      <c r="E311" s="154"/>
      <c r="F311" s="153"/>
      <c r="G311" s="153"/>
      <c r="H311" s="153"/>
      <c r="I311" s="153"/>
      <c r="J311" s="153"/>
      <c r="K311" s="153"/>
      <c r="L311" s="154"/>
      <c r="M311" s="154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ht="13.5" customHeight="1">
      <c r="A312" s="153"/>
      <c r="B312" s="153"/>
      <c r="C312" s="153"/>
      <c r="D312" s="154"/>
      <c r="E312" s="154"/>
      <c r="F312" s="153"/>
      <c r="G312" s="153"/>
      <c r="H312" s="153"/>
      <c r="I312" s="153"/>
      <c r="J312" s="153"/>
      <c r="K312" s="153"/>
      <c r="L312" s="154"/>
      <c r="M312" s="154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ht="13.5" customHeight="1">
      <c r="A313" s="153"/>
      <c r="B313" s="153"/>
      <c r="C313" s="153"/>
      <c r="D313" s="154"/>
      <c r="E313" s="154"/>
      <c r="F313" s="153"/>
      <c r="G313" s="153"/>
      <c r="H313" s="153"/>
      <c r="I313" s="153"/>
      <c r="J313" s="153"/>
      <c r="K313" s="153"/>
      <c r="L313" s="154"/>
      <c r="M313" s="154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ht="13.5" customHeight="1">
      <c r="A314" s="153"/>
      <c r="B314" s="153"/>
      <c r="C314" s="153"/>
      <c r="D314" s="154"/>
      <c r="E314" s="154"/>
      <c r="F314" s="153"/>
      <c r="G314" s="153"/>
      <c r="H314" s="153"/>
      <c r="I314" s="153"/>
      <c r="J314" s="153"/>
      <c r="K314" s="153"/>
      <c r="L314" s="154"/>
      <c r="M314" s="154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ht="13.5" customHeight="1">
      <c r="A315" s="153"/>
      <c r="B315" s="153"/>
      <c r="C315" s="153"/>
      <c r="D315" s="154"/>
      <c r="E315" s="154"/>
      <c r="F315" s="153"/>
      <c r="G315" s="153"/>
      <c r="H315" s="153"/>
      <c r="I315" s="153"/>
      <c r="J315" s="153"/>
      <c r="K315" s="153"/>
      <c r="L315" s="154"/>
      <c r="M315" s="154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ht="13.5" customHeight="1">
      <c r="A316" s="153"/>
      <c r="B316" s="153"/>
      <c r="C316" s="153"/>
      <c r="D316" s="154"/>
      <c r="E316" s="154"/>
      <c r="F316" s="153"/>
      <c r="G316" s="153"/>
      <c r="H316" s="153"/>
      <c r="I316" s="153"/>
      <c r="J316" s="153"/>
      <c r="K316" s="153"/>
      <c r="L316" s="154"/>
      <c r="M316" s="154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ht="13.5" customHeight="1">
      <c r="A317" s="153"/>
      <c r="B317" s="153"/>
      <c r="C317" s="153"/>
      <c r="D317" s="154"/>
      <c r="E317" s="154"/>
      <c r="F317" s="153"/>
      <c r="G317" s="153"/>
      <c r="H317" s="153"/>
      <c r="I317" s="153"/>
      <c r="J317" s="153"/>
      <c r="K317" s="153"/>
      <c r="L317" s="154"/>
      <c r="M317" s="154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ht="13.5" customHeight="1">
      <c r="A318" s="153"/>
      <c r="B318" s="153"/>
      <c r="C318" s="153"/>
      <c r="D318" s="154"/>
      <c r="E318" s="154"/>
      <c r="F318" s="153"/>
      <c r="G318" s="153"/>
      <c r="H318" s="153"/>
      <c r="I318" s="153"/>
      <c r="J318" s="153"/>
      <c r="K318" s="153"/>
      <c r="L318" s="154"/>
      <c r="M318" s="154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ht="13.5" customHeight="1">
      <c r="A319" s="153"/>
      <c r="B319" s="153"/>
      <c r="C319" s="153"/>
      <c r="D319" s="154"/>
      <c r="E319" s="154"/>
      <c r="F319" s="153"/>
      <c r="G319" s="153"/>
      <c r="H319" s="153"/>
      <c r="I319" s="153"/>
      <c r="J319" s="153"/>
      <c r="K319" s="153"/>
      <c r="L319" s="154"/>
      <c r="M319" s="154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ht="13.5" customHeight="1">
      <c r="A320" s="153"/>
      <c r="B320" s="153"/>
      <c r="C320" s="153"/>
      <c r="D320" s="154"/>
      <c r="E320" s="154"/>
      <c r="F320" s="153"/>
      <c r="G320" s="153"/>
      <c r="H320" s="153"/>
      <c r="I320" s="153"/>
      <c r="J320" s="153"/>
      <c r="K320" s="153"/>
      <c r="L320" s="154"/>
      <c r="M320" s="154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ht="13.5" customHeight="1">
      <c r="A321" s="153"/>
      <c r="B321" s="153"/>
      <c r="C321" s="153"/>
      <c r="D321" s="154"/>
      <c r="E321" s="154"/>
      <c r="F321" s="153"/>
      <c r="G321" s="153"/>
      <c r="H321" s="153"/>
      <c r="I321" s="153"/>
      <c r="J321" s="153"/>
      <c r="K321" s="153"/>
      <c r="L321" s="154"/>
      <c r="M321" s="154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ht="13.5" customHeight="1">
      <c r="A322" s="153"/>
      <c r="B322" s="153"/>
      <c r="C322" s="153"/>
      <c r="D322" s="154"/>
      <c r="E322" s="154"/>
      <c r="F322" s="153"/>
      <c r="G322" s="153"/>
      <c r="H322" s="153"/>
      <c r="I322" s="153"/>
      <c r="J322" s="153"/>
      <c r="K322" s="153"/>
      <c r="L322" s="154"/>
      <c r="M322" s="154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ht="13.5" customHeight="1">
      <c r="A323" s="153"/>
      <c r="B323" s="153"/>
      <c r="C323" s="153"/>
      <c r="D323" s="154"/>
      <c r="E323" s="154"/>
      <c r="F323" s="153"/>
      <c r="G323" s="153"/>
      <c r="H323" s="153"/>
      <c r="I323" s="153"/>
      <c r="J323" s="153"/>
      <c r="K323" s="153"/>
      <c r="L323" s="154"/>
      <c r="M323" s="154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ht="13.5" customHeight="1">
      <c r="A324" s="153"/>
      <c r="B324" s="153"/>
      <c r="C324" s="153"/>
      <c r="D324" s="154"/>
      <c r="E324" s="154"/>
      <c r="F324" s="153"/>
      <c r="G324" s="153"/>
      <c r="H324" s="153"/>
      <c r="I324" s="153"/>
      <c r="J324" s="153"/>
      <c r="K324" s="153"/>
      <c r="L324" s="154"/>
      <c r="M324" s="154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ht="13.5" customHeight="1">
      <c r="A325" s="153"/>
      <c r="B325" s="153"/>
      <c r="C325" s="153"/>
      <c r="D325" s="154"/>
      <c r="E325" s="154"/>
      <c r="F325" s="153"/>
      <c r="G325" s="153"/>
      <c r="H325" s="153"/>
      <c r="I325" s="153"/>
      <c r="J325" s="153"/>
      <c r="K325" s="153"/>
      <c r="L325" s="154"/>
      <c r="M325" s="154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ht="13.5" customHeight="1">
      <c r="A326" s="153"/>
      <c r="B326" s="153"/>
      <c r="C326" s="153"/>
      <c r="D326" s="154"/>
      <c r="E326" s="154"/>
      <c r="F326" s="153"/>
      <c r="G326" s="153"/>
      <c r="H326" s="153"/>
      <c r="I326" s="153"/>
      <c r="J326" s="153"/>
      <c r="K326" s="153"/>
      <c r="L326" s="154"/>
      <c r="M326" s="154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ht="13.5" customHeight="1">
      <c r="A327" s="153"/>
      <c r="B327" s="153"/>
      <c r="C327" s="153"/>
      <c r="D327" s="154"/>
      <c r="E327" s="154"/>
      <c r="F327" s="153"/>
      <c r="G327" s="153"/>
      <c r="H327" s="153"/>
      <c r="I327" s="153"/>
      <c r="J327" s="153"/>
      <c r="K327" s="153"/>
      <c r="L327" s="154"/>
      <c r="M327" s="154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ht="13.5" customHeight="1">
      <c r="A328" s="153"/>
      <c r="B328" s="153"/>
      <c r="C328" s="153"/>
      <c r="D328" s="154"/>
      <c r="E328" s="154"/>
      <c r="F328" s="153"/>
      <c r="G328" s="153"/>
      <c r="H328" s="153"/>
      <c r="I328" s="153"/>
      <c r="J328" s="153"/>
      <c r="K328" s="153"/>
      <c r="L328" s="154"/>
      <c r="M328" s="154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ht="13.5" customHeight="1">
      <c r="A329" s="153"/>
      <c r="B329" s="153"/>
      <c r="C329" s="153"/>
      <c r="D329" s="154"/>
      <c r="E329" s="154"/>
      <c r="F329" s="153"/>
      <c r="G329" s="153"/>
      <c r="H329" s="153"/>
      <c r="I329" s="153"/>
      <c r="J329" s="153"/>
      <c r="K329" s="153"/>
      <c r="L329" s="154"/>
      <c r="M329" s="154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ht="13.5" customHeight="1">
      <c r="A330" s="153"/>
      <c r="B330" s="153"/>
      <c r="C330" s="153"/>
      <c r="D330" s="154"/>
      <c r="E330" s="154"/>
      <c r="F330" s="153"/>
      <c r="G330" s="153"/>
      <c r="H330" s="153"/>
      <c r="I330" s="153"/>
      <c r="J330" s="153"/>
      <c r="K330" s="153"/>
      <c r="L330" s="154"/>
      <c r="M330" s="154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ht="13.5" customHeight="1">
      <c r="A331" s="153"/>
      <c r="B331" s="153"/>
      <c r="C331" s="153"/>
      <c r="D331" s="154"/>
      <c r="E331" s="154"/>
      <c r="F331" s="153"/>
      <c r="G331" s="153"/>
      <c r="H331" s="153"/>
      <c r="I331" s="153"/>
      <c r="J331" s="153"/>
      <c r="K331" s="153"/>
      <c r="L331" s="154"/>
      <c r="M331" s="154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ht="13.5" customHeight="1">
      <c r="A332" s="153"/>
      <c r="B332" s="153"/>
      <c r="C332" s="153"/>
      <c r="D332" s="154"/>
      <c r="E332" s="154"/>
      <c r="F332" s="153"/>
      <c r="G332" s="153"/>
      <c r="H332" s="153"/>
      <c r="I332" s="153"/>
      <c r="J332" s="153"/>
      <c r="K332" s="153"/>
      <c r="L332" s="154"/>
      <c r="M332" s="154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ht="13.5" customHeight="1">
      <c r="A333" s="153"/>
      <c r="B333" s="153"/>
      <c r="C333" s="153"/>
      <c r="D333" s="154"/>
      <c r="E333" s="154"/>
      <c r="F333" s="153"/>
      <c r="G333" s="153"/>
      <c r="H333" s="153"/>
      <c r="I333" s="153"/>
      <c r="J333" s="153"/>
      <c r="K333" s="153"/>
      <c r="L333" s="154"/>
      <c r="M333" s="154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ht="13.5" customHeight="1">
      <c r="A334" s="153"/>
      <c r="B334" s="153"/>
      <c r="C334" s="153"/>
      <c r="D334" s="154"/>
      <c r="E334" s="154"/>
      <c r="F334" s="153"/>
      <c r="G334" s="153"/>
      <c r="H334" s="153"/>
      <c r="I334" s="153"/>
      <c r="J334" s="153"/>
      <c r="K334" s="153"/>
      <c r="L334" s="154"/>
      <c r="M334" s="154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ht="13.5" customHeight="1">
      <c r="A335" s="153"/>
      <c r="B335" s="153"/>
      <c r="C335" s="153"/>
      <c r="D335" s="154"/>
      <c r="E335" s="154"/>
      <c r="F335" s="153"/>
      <c r="G335" s="153"/>
      <c r="H335" s="153"/>
      <c r="I335" s="153"/>
      <c r="J335" s="153"/>
      <c r="K335" s="153"/>
      <c r="L335" s="154"/>
      <c r="M335" s="154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ht="13.5" customHeight="1">
      <c r="A336" s="153"/>
      <c r="B336" s="153"/>
      <c r="C336" s="153"/>
      <c r="D336" s="154"/>
      <c r="E336" s="154"/>
      <c r="F336" s="153"/>
      <c r="G336" s="153"/>
      <c r="H336" s="153"/>
      <c r="I336" s="153"/>
      <c r="J336" s="153"/>
      <c r="K336" s="153"/>
      <c r="L336" s="154"/>
      <c r="M336" s="154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ht="13.5" customHeight="1">
      <c r="A337" s="153"/>
      <c r="B337" s="153"/>
      <c r="C337" s="153"/>
      <c r="D337" s="154"/>
      <c r="E337" s="154"/>
      <c r="F337" s="153"/>
      <c r="G337" s="153"/>
      <c r="H337" s="153"/>
      <c r="I337" s="153"/>
      <c r="J337" s="153"/>
      <c r="K337" s="153"/>
      <c r="L337" s="154"/>
      <c r="M337" s="154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ht="13.5" customHeight="1">
      <c r="A338" s="153"/>
      <c r="B338" s="153"/>
      <c r="C338" s="153"/>
      <c r="D338" s="154"/>
      <c r="E338" s="154"/>
      <c r="F338" s="153"/>
      <c r="G338" s="153"/>
      <c r="H338" s="153"/>
      <c r="I338" s="153"/>
      <c r="J338" s="153"/>
      <c r="K338" s="153"/>
      <c r="L338" s="154"/>
      <c r="M338" s="154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ht="13.5" customHeight="1">
      <c r="A339" s="153"/>
      <c r="B339" s="153"/>
      <c r="C339" s="153"/>
      <c r="D339" s="154"/>
      <c r="E339" s="154"/>
      <c r="F339" s="153"/>
      <c r="G339" s="153"/>
      <c r="H339" s="153"/>
      <c r="I339" s="153"/>
      <c r="J339" s="153"/>
      <c r="K339" s="153"/>
      <c r="L339" s="154"/>
      <c r="M339" s="154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ht="13.5" customHeight="1">
      <c r="A340" s="153"/>
      <c r="B340" s="153"/>
      <c r="C340" s="153"/>
      <c r="D340" s="154"/>
      <c r="E340" s="154"/>
      <c r="F340" s="153"/>
      <c r="G340" s="153"/>
      <c r="H340" s="153"/>
      <c r="I340" s="153"/>
      <c r="J340" s="153"/>
      <c r="K340" s="153"/>
      <c r="L340" s="154"/>
      <c r="M340" s="154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ht="13.5" customHeight="1">
      <c r="A341" s="153"/>
      <c r="B341" s="153"/>
      <c r="C341" s="153"/>
      <c r="D341" s="154"/>
      <c r="E341" s="154"/>
      <c r="F341" s="153"/>
      <c r="G341" s="153"/>
      <c r="H341" s="153"/>
      <c r="I341" s="153"/>
      <c r="J341" s="153"/>
      <c r="K341" s="153"/>
      <c r="L341" s="154"/>
      <c r="M341" s="154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ht="13.5" customHeight="1">
      <c r="A342" s="153"/>
      <c r="B342" s="153"/>
      <c r="C342" s="153"/>
      <c r="D342" s="154"/>
      <c r="E342" s="154"/>
      <c r="F342" s="153"/>
      <c r="G342" s="153"/>
      <c r="H342" s="153"/>
      <c r="I342" s="153"/>
      <c r="J342" s="153"/>
      <c r="K342" s="153"/>
      <c r="L342" s="154"/>
      <c r="M342" s="154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ht="13.5" customHeight="1">
      <c r="A343" s="153"/>
      <c r="B343" s="153"/>
      <c r="C343" s="153"/>
      <c r="D343" s="154"/>
      <c r="E343" s="154"/>
      <c r="F343" s="153"/>
      <c r="G343" s="153"/>
      <c r="H343" s="153"/>
      <c r="I343" s="153"/>
      <c r="J343" s="153"/>
      <c r="K343" s="153"/>
      <c r="L343" s="154"/>
      <c r="M343" s="154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ht="13.5" customHeight="1">
      <c r="A344" s="153"/>
      <c r="B344" s="153"/>
      <c r="C344" s="153"/>
      <c r="D344" s="154"/>
      <c r="E344" s="154"/>
      <c r="F344" s="153"/>
      <c r="G344" s="153"/>
      <c r="H344" s="153"/>
      <c r="I344" s="153"/>
      <c r="J344" s="153"/>
      <c r="K344" s="153"/>
      <c r="L344" s="154"/>
      <c r="M344" s="154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ht="13.5" customHeight="1">
      <c r="A345" s="153"/>
      <c r="B345" s="153"/>
      <c r="C345" s="153"/>
      <c r="D345" s="154"/>
      <c r="E345" s="154"/>
      <c r="F345" s="153"/>
      <c r="G345" s="153"/>
      <c r="H345" s="153"/>
      <c r="I345" s="153"/>
      <c r="J345" s="153"/>
      <c r="K345" s="153"/>
      <c r="L345" s="154"/>
      <c r="M345" s="154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ht="13.5" customHeight="1">
      <c r="A346" s="153"/>
      <c r="B346" s="153"/>
      <c r="C346" s="153"/>
      <c r="D346" s="154"/>
      <c r="E346" s="154"/>
      <c r="F346" s="153"/>
      <c r="G346" s="153"/>
      <c r="H346" s="153"/>
      <c r="I346" s="153"/>
      <c r="J346" s="153"/>
      <c r="K346" s="153"/>
      <c r="L346" s="154"/>
      <c r="M346" s="154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ht="13.5" customHeight="1">
      <c r="A347" s="153"/>
      <c r="B347" s="153"/>
      <c r="C347" s="153"/>
      <c r="D347" s="154"/>
      <c r="E347" s="154"/>
      <c r="F347" s="153"/>
      <c r="G347" s="153"/>
      <c r="H347" s="153"/>
      <c r="I347" s="153"/>
      <c r="J347" s="153"/>
      <c r="K347" s="153"/>
      <c r="L347" s="154"/>
      <c r="M347" s="154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ht="13.5" customHeight="1">
      <c r="A348" s="153"/>
      <c r="B348" s="153"/>
      <c r="C348" s="153"/>
      <c r="D348" s="154"/>
      <c r="E348" s="154"/>
      <c r="F348" s="153"/>
      <c r="G348" s="153"/>
      <c r="H348" s="153"/>
      <c r="I348" s="153"/>
      <c r="J348" s="153"/>
      <c r="K348" s="153"/>
      <c r="L348" s="154"/>
      <c r="M348" s="154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ht="13.5" customHeight="1">
      <c r="A349" s="153"/>
      <c r="B349" s="153"/>
      <c r="C349" s="153"/>
      <c r="D349" s="154"/>
      <c r="E349" s="154"/>
      <c r="F349" s="153"/>
      <c r="G349" s="153"/>
      <c r="H349" s="153"/>
      <c r="I349" s="153"/>
      <c r="J349" s="153"/>
      <c r="K349" s="153"/>
      <c r="L349" s="154"/>
      <c r="M349" s="154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ht="13.5" customHeight="1">
      <c r="A350" s="153"/>
      <c r="B350" s="153"/>
      <c r="C350" s="153"/>
      <c r="D350" s="154"/>
      <c r="E350" s="154"/>
      <c r="F350" s="153"/>
      <c r="G350" s="153"/>
      <c r="H350" s="153"/>
      <c r="I350" s="153"/>
      <c r="J350" s="153"/>
      <c r="K350" s="153"/>
      <c r="L350" s="154"/>
      <c r="M350" s="154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ht="13.5" customHeight="1">
      <c r="A351" s="153"/>
      <c r="B351" s="153"/>
      <c r="C351" s="153"/>
      <c r="D351" s="154"/>
      <c r="E351" s="154"/>
      <c r="F351" s="153"/>
      <c r="G351" s="153"/>
      <c r="H351" s="153"/>
      <c r="I351" s="153"/>
      <c r="J351" s="153"/>
      <c r="K351" s="153"/>
      <c r="L351" s="154"/>
      <c r="M351" s="154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ht="13.5" customHeight="1">
      <c r="A352" s="153"/>
      <c r="B352" s="153"/>
      <c r="C352" s="153"/>
      <c r="D352" s="154"/>
      <c r="E352" s="154"/>
      <c r="F352" s="153"/>
      <c r="G352" s="153"/>
      <c r="H352" s="153"/>
      <c r="I352" s="153"/>
      <c r="J352" s="153"/>
      <c r="K352" s="153"/>
      <c r="L352" s="154"/>
      <c r="M352" s="154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ht="13.5" customHeight="1">
      <c r="A353" s="153"/>
      <c r="B353" s="153"/>
      <c r="C353" s="153"/>
      <c r="D353" s="154"/>
      <c r="E353" s="154"/>
      <c r="F353" s="153"/>
      <c r="G353" s="153"/>
      <c r="H353" s="153"/>
      <c r="I353" s="153"/>
      <c r="J353" s="153"/>
      <c r="K353" s="153"/>
      <c r="L353" s="154"/>
      <c r="M353" s="154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ht="13.5" customHeight="1">
      <c r="A354" s="153"/>
      <c r="B354" s="153"/>
      <c r="C354" s="153"/>
      <c r="D354" s="154"/>
      <c r="E354" s="154"/>
      <c r="F354" s="153"/>
      <c r="G354" s="153"/>
      <c r="H354" s="153"/>
      <c r="I354" s="153"/>
      <c r="J354" s="153"/>
      <c r="K354" s="153"/>
      <c r="L354" s="154"/>
      <c r="M354" s="154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ht="13.5" customHeight="1">
      <c r="A355" s="153"/>
      <c r="B355" s="153"/>
      <c r="C355" s="153"/>
      <c r="D355" s="154"/>
      <c r="E355" s="154"/>
      <c r="F355" s="153"/>
      <c r="G355" s="153"/>
      <c r="H355" s="153"/>
      <c r="I355" s="153"/>
      <c r="J355" s="153"/>
      <c r="K355" s="153"/>
      <c r="L355" s="154"/>
      <c r="M355" s="154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ht="13.5" customHeight="1">
      <c r="A356" s="153"/>
      <c r="B356" s="153"/>
      <c r="C356" s="153"/>
      <c r="D356" s="154"/>
      <c r="E356" s="154"/>
      <c r="F356" s="153"/>
      <c r="G356" s="153"/>
      <c r="H356" s="153"/>
      <c r="I356" s="153"/>
      <c r="J356" s="153"/>
      <c r="K356" s="153"/>
      <c r="L356" s="154"/>
      <c r="M356" s="154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ht="13.5" customHeight="1">
      <c r="A357" s="153"/>
      <c r="B357" s="153"/>
      <c r="C357" s="153"/>
      <c r="D357" s="154"/>
      <c r="E357" s="154"/>
      <c r="F357" s="153"/>
      <c r="G357" s="153"/>
      <c r="H357" s="153"/>
      <c r="I357" s="153"/>
      <c r="J357" s="153"/>
      <c r="K357" s="153"/>
      <c r="L357" s="154"/>
      <c r="M357" s="154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ht="13.5" customHeight="1">
      <c r="A358" s="153"/>
      <c r="B358" s="153"/>
      <c r="C358" s="153"/>
      <c r="D358" s="154"/>
      <c r="E358" s="154"/>
      <c r="F358" s="153"/>
      <c r="G358" s="153"/>
      <c r="H358" s="153"/>
      <c r="I358" s="153"/>
      <c r="J358" s="153"/>
      <c r="K358" s="153"/>
      <c r="L358" s="154"/>
      <c r="M358" s="154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ht="13.5" customHeight="1">
      <c r="A359" s="153"/>
      <c r="B359" s="153"/>
      <c r="C359" s="153"/>
      <c r="D359" s="154"/>
      <c r="E359" s="154"/>
      <c r="F359" s="153"/>
      <c r="G359" s="153"/>
      <c r="H359" s="153"/>
      <c r="I359" s="153"/>
      <c r="J359" s="153"/>
      <c r="K359" s="153"/>
      <c r="L359" s="154"/>
      <c r="M359" s="154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ht="13.5" customHeight="1">
      <c r="A360" s="153"/>
      <c r="B360" s="153"/>
      <c r="C360" s="153"/>
      <c r="D360" s="154"/>
      <c r="E360" s="154"/>
      <c r="F360" s="153"/>
      <c r="G360" s="153"/>
      <c r="H360" s="153"/>
      <c r="I360" s="153"/>
      <c r="J360" s="153"/>
      <c r="K360" s="153"/>
      <c r="L360" s="154"/>
      <c r="M360" s="154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ht="13.5" customHeight="1">
      <c r="A361" s="153"/>
      <c r="B361" s="153"/>
      <c r="C361" s="153"/>
      <c r="D361" s="154"/>
      <c r="E361" s="154"/>
      <c r="F361" s="153"/>
      <c r="G361" s="153"/>
      <c r="H361" s="153"/>
      <c r="I361" s="153"/>
      <c r="J361" s="153"/>
      <c r="K361" s="153"/>
      <c r="L361" s="154"/>
      <c r="M361" s="154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ht="13.5" customHeight="1">
      <c r="A362" s="153"/>
      <c r="B362" s="153"/>
      <c r="C362" s="153"/>
      <c r="D362" s="154"/>
      <c r="E362" s="154"/>
      <c r="F362" s="153"/>
      <c r="G362" s="153"/>
      <c r="H362" s="153"/>
      <c r="I362" s="153"/>
      <c r="J362" s="153"/>
      <c r="K362" s="153"/>
      <c r="L362" s="154"/>
      <c r="M362" s="154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ht="13.5" customHeight="1">
      <c r="A363" s="153"/>
      <c r="B363" s="153"/>
      <c r="C363" s="153"/>
      <c r="D363" s="154"/>
      <c r="E363" s="154"/>
      <c r="F363" s="153"/>
      <c r="G363" s="153"/>
      <c r="H363" s="153"/>
      <c r="I363" s="153"/>
      <c r="J363" s="153"/>
      <c r="K363" s="153"/>
      <c r="L363" s="154"/>
      <c r="M363" s="154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ht="13.5" customHeight="1">
      <c r="A364" s="153"/>
      <c r="B364" s="153"/>
      <c r="C364" s="153"/>
      <c r="D364" s="154"/>
      <c r="E364" s="154"/>
      <c r="F364" s="153"/>
      <c r="G364" s="153"/>
      <c r="H364" s="153"/>
      <c r="I364" s="153"/>
      <c r="J364" s="153"/>
      <c r="K364" s="153"/>
      <c r="L364" s="154"/>
      <c r="M364" s="154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ht="13.5" customHeight="1">
      <c r="A365" s="153"/>
      <c r="B365" s="153"/>
      <c r="C365" s="153"/>
      <c r="D365" s="154"/>
      <c r="E365" s="154"/>
      <c r="F365" s="153"/>
      <c r="G365" s="153"/>
      <c r="H365" s="153"/>
      <c r="I365" s="153"/>
      <c r="J365" s="153"/>
      <c r="K365" s="153"/>
      <c r="L365" s="154"/>
      <c r="M365" s="154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ht="13.5" customHeight="1">
      <c r="A366" s="153"/>
      <c r="B366" s="153"/>
      <c r="C366" s="153"/>
      <c r="D366" s="154"/>
      <c r="E366" s="154"/>
      <c r="F366" s="153"/>
      <c r="G366" s="153"/>
      <c r="H366" s="153"/>
      <c r="I366" s="153"/>
      <c r="J366" s="153"/>
      <c r="K366" s="153"/>
      <c r="L366" s="154"/>
      <c r="M366" s="154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ht="13.5" customHeight="1">
      <c r="A367" s="153"/>
      <c r="B367" s="153"/>
      <c r="C367" s="153"/>
      <c r="D367" s="154"/>
      <c r="E367" s="154"/>
      <c r="F367" s="153"/>
      <c r="G367" s="153"/>
      <c r="H367" s="153"/>
      <c r="I367" s="153"/>
      <c r="J367" s="153"/>
      <c r="K367" s="153"/>
      <c r="L367" s="154"/>
      <c r="M367" s="154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ht="13.5" customHeight="1">
      <c r="A368" s="153"/>
      <c r="B368" s="153"/>
      <c r="C368" s="153"/>
      <c r="D368" s="154"/>
      <c r="E368" s="154"/>
      <c r="F368" s="153"/>
      <c r="G368" s="153"/>
      <c r="H368" s="153"/>
      <c r="I368" s="153"/>
      <c r="J368" s="153"/>
      <c r="K368" s="153"/>
      <c r="L368" s="154"/>
      <c r="M368" s="154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ht="13.5" customHeight="1">
      <c r="A369" s="153"/>
      <c r="B369" s="153"/>
      <c r="C369" s="153"/>
      <c r="D369" s="154"/>
      <c r="E369" s="154"/>
      <c r="F369" s="153"/>
      <c r="G369" s="153"/>
      <c r="H369" s="153"/>
      <c r="I369" s="153"/>
      <c r="J369" s="153"/>
      <c r="K369" s="153"/>
      <c r="L369" s="154"/>
      <c r="M369" s="154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ht="13.5" customHeight="1">
      <c r="A370" s="153"/>
      <c r="B370" s="153"/>
      <c r="C370" s="153"/>
      <c r="D370" s="154"/>
      <c r="E370" s="154"/>
      <c r="F370" s="153"/>
      <c r="G370" s="153"/>
      <c r="H370" s="153"/>
      <c r="I370" s="153"/>
      <c r="J370" s="153"/>
      <c r="K370" s="153"/>
      <c r="L370" s="154"/>
      <c r="M370" s="154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ht="13.5" customHeight="1">
      <c r="A371" s="153"/>
      <c r="B371" s="153"/>
      <c r="C371" s="153"/>
      <c r="D371" s="154"/>
      <c r="E371" s="154"/>
      <c r="F371" s="153"/>
      <c r="G371" s="153"/>
      <c r="H371" s="153"/>
      <c r="I371" s="153"/>
      <c r="J371" s="153"/>
      <c r="K371" s="153"/>
      <c r="L371" s="154"/>
      <c r="M371" s="154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ht="13.5" customHeight="1">
      <c r="A372" s="153"/>
      <c r="B372" s="153"/>
      <c r="C372" s="153"/>
      <c r="D372" s="154"/>
      <c r="E372" s="154"/>
      <c r="F372" s="153"/>
      <c r="G372" s="153"/>
      <c r="H372" s="153"/>
      <c r="I372" s="153"/>
      <c r="J372" s="153"/>
      <c r="K372" s="153"/>
      <c r="L372" s="154"/>
      <c r="M372" s="154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ht="13.5" customHeight="1">
      <c r="A373" s="153"/>
      <c r="B373" s="153"/>
      <c r="C373" s="153"/>
      <c r="D373" s="154"/>
      <c r="E373" s="154"/>
      <c r="F373" s="153"/>
      <c r="G373" s="153"/>
      <c r="H373" s="153"/>
      <c r="I373" s="153"/>
      <c r="J373" s="153"/>
      <c r="K373" s="153"/>
      <c r="L373" s="154"/>
      <c r="M373" s="154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ht="13.5" customHeight="1">
      <c r="A374" s="153"/>
      <c r="B374" s="153"/>
      <c r="C374" s="153"/>
      <c r="D374" s="154"/>
      <c r="E374" s="154"/>
      <c r="F374" s="153"/>
      <c r="G374" s="153"/>
      <c r="H374" s="153"/>
      <c r="I374" s="153"/>
      <c r="J374" s="153"/>
      <c r="K374" s="153"/>
      <c r="L374" s="154"/>
      <c r="M374" s="154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ht="13.5" customHeight="1">
      <c r="A375" s="153"/>
      <c r="B375" s="153"/>
      <c r="C375" s="153"/>
      <c r="D375" s="154"/>
      <c r="E375" s="154"/>
      <c r="F375" s="153"/>
      <c r="G375" s="153"/>
      <c r="H375" s="153"/>
      <c r="I375" s="153"/>
      <c r="J375" s="153"/>
      <c r="K375" s="153"/>
      <c r="L375" s="154"/>
      <c r="M375" s="154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ht="13.5" customHeight="1">
      <c r="A376" s="153"/>
      <c r="B376" s="153"/>
      <c r="C376" s="153"/>
      <c r="D376" s="154"/>
      <c r="E376" s="154"/>
      <c r="F376" s="153"/>
      <c r="G376" s="153"/>
      <c r="H376" s="153"/>
      <c r="I376" s="153"/>
      <c r="J376" s="153"/>
      <c r="K376" s="153"/>
      <c r="L376" s="154"/>
      <c r="M376" s="154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ht="13.5" customHeight="1">
      <c r="A377" s="153"/>
      <c r="B377" s="153"/>
      <c r="C377" s="153"/>
      <c r="D377" s="154"/>
      <c r="E377" s="154"/>
      <c r="F377" s="153"/>
      <c r="G377" s="153"/>
      <c r="H377" s="153"/>
      <c r="I377" s="153"/>
      <c r="J377" s="153"/>
      <c r="K377" s="153"/>
      <c r="L377" s="154"/>
      <c r="M377" s="154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ht="13.5" customHeight="1">
      <c r="A378" s="153"/>
      <c r="B378" s="153"/>
      <c r="C378" s="153"/>
      <c r="D378" s="154"/>
      <c r="E378" s="154"/>
      <c r="F378" s="153"/>
      <c r="G378" s="153"/>
      <c r="H378" s="153"/>
      <c r="I378" s="153"/>
      <c r="J378" s="153"/>
      <c r="K378" s="153"/>
      <c r="L378" s="154"/>
      <c r="M378" s="154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ht="13.5" customHeight="1">
      <c r="A379" s="153"/>
      <c r="B379" s="153"/>
      <c r="C379" s="153"/>
      <c r="D379" s="154"/>
      <c r="E379" s="154"/>
      <c r="F379" s="153"/>
      <c r="G379" s="153"/>
      <c r="H379" s="153"/>
      <c r="I379" s="153"/>
      <c r="J379" s="153"/>
      <c r="K379" s="153"/>
      <c r="L379" s="154"/>
      <c r="M379" s="154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ht="13.5" customHeight="1">
      <c r="A380" s="153"/>
      <c r="B380" s="153"/>
      <c r="C380" s="153"/>
      <c r="D380" s="154"/>
      <c r="E380" s="154"/>
      <c r="F380" s="153"/>
      <c r="G380" s="153"/>
      <c r="H380" s="153"/>
      <c r="I380" s="153"/>
      <c r="J380" s="153"/>
      <c r="K380" s="153"/>
      <c r="L380" s="154"/>
      <c r="M380" s="154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ht="13.5" customHeight="1">
      <c r="A381" s="153"/>
      <c r="B381" s="153"/>
      <c r="C381" s="153"/>
      <c r="D381" s="154"/>
      <c r="E381" s="154"/>
      <c r="F381" s="153"/>
      <c r="G381" s="153"/>
      <c r="H381" s="153"/>
      <c r="I381" s="153"/>
      <c r="J381" s="153"/>
      <c r="K381" s="153"/>
      <c r="L381" s="154"/>
      <c r="M381" s="154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ht="13.5" customHeight="1">
      <c r="A382" s="153"/>
      <c r="B382" s="153"/>
      <c r="C382" s="153"/>
      <c r="D382" s="154"/>
      <c r="E382" s="154"/>
      <c r="F382" s="153"/>
      <c r="G382" s="153"/>
      <c r="H382" s="153"/>
      <c r="I382" s="153"/>
      <c r="J382" s="153"/>
      <c r="K382" s="153"/>
      <c r="L382" s="154"/>
      <c r="M382" s="154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ht="13.5" customHeight="1">
      <c r="A383" s="153"/>
      <c r="B383" s="153"/>
      <c r="C383" s="153"/>
      <c r="D383" s="154"/>
      <c r="E383" s="154"/>
      <c r="F383" s="153"/>
      <c r="G383" s="153"/>
      <c r="H383" s="153"/>
      <c r="I383" s="153"/>
      <c r="J383" s="153"/>
      <c r="K383" s="153"/>
      <c r="L383" s="154"/>
      <c r="M383" s="154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ht="13.5" customHeight="1">
      <c r="A384" s="153"/>
      <c r="B384" s="153"/>
      <c r="C384" s="153"/>
      <c r="D384" s="154"/>
      <c r="E384" s="154"/>
      <c r="F384" s="153"/>
      <c r="G384" s="153"/>
      <c r="H384" s="153"/>
      <c r="I384" s="153"/>
      <c r="J384" s="153"/>
      <c r="K384" s="153"/>
      <c r="L384" s="154"/>
      <c r="M384" s="154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ht="13.5" customHeight="1">
      <c r="A385" s="153"/>
      <c r="B385" s="153"/>
      <c r="C385" s="153"/>
      <c r="D385" s="154"/>
      <c r="E385" s="154"/>
      <c r="F385" s="153"/>
      <c r="G385" s="153"/>
      <c r="H385" s="153"/>
      <c r="I385" s="153"/>
      <c r="J385" s="153"/>
      <c r="K385" s="153"/>
      <c r="L385" s="154"/>
      <c r="M385" s="154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ht="13.5" customHeight="1">
      <c r="A386" s="153"/>
      <c r="B386" s="153"/>
      <c r="C386" s="153"/>
      <c r="D386" s="154"/>
      <c r="E386" s="154"/>
      <c r="F386" s="153"/>
      <c r="G386" s="153"/>
      <c r="H386" s="153"/>
      <c r="I386" s="153"/>
      <c r="J386" s="153"/>
      <c r="K386" s="153"/>
      <c r="L386" s="154"/>
      <c r="M386" s="154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ht="13.5" customHeight="1">
      <c r="A387" s="153"/>
      <c r="B387" s="153"/>
      <c r="C387" s="153"/>
      <c r="D387" s="154"/>
      <c r="E387" s="154"/>
      <c r="F387" s="153"/>
      <c r="G387" s="153"/>
      <c r="H387" s="153"/>
      <c r="I387" s="153"/>
      <c r="J387" s="153"/>
      <c r="K387" s="153"/>
      <c r="L387" s="154"/>
      <c r="M387" s="154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ht="13.5" customHeight="1">
      <c r="A388" s="153"/>
      <c r="B388" s="153"/>
      <c r="C388" s="153"/>
      <c r="D388" s="154"/>
      <c r="E388" s="154"/>
      <c r="F388" s="153"/>
      <c r="G388" s="153"/>
      <c r="H388" s="153"/>
      <c r="I388" s="153"/>
      <c r="J388" s="153"/>
      <c r="K388" s="153"/>
      <c r="L388" s="154"/>
      <c r="M388" s="154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ht="13.5" customHeight="1">
      <c r="A389" s="153"/>
      <c r="B389" s="153"/>
      <c r="C389" s="153"/>
      <c r="D389" s="154"/>
      <c r="E389" s="154"/>
      <c r="F389" s="153"/>
      <c r="G389" s="153"/>
      <c r="H389" s="153"/>
      <c r="I389" s="153"/>
      <c r="J389" s="153"/>
      <c r="K389" s="153"/>
      <c r="L389" s="154"/>
      <c r="M389" s="154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ht="13.5" customHeight="1">
      <c r="A390" s="153"/>
      <c r="B390" s="153"/>
      <c r="C390" s="153"/>
      <c r="D390" s="154"/>
      <c r="E390" s="154"/>
      <c r="F390" s="153"/>
      <c r="G390" s="153"/>
      <c r="H390" s="153"/>
      <c r="I390" s="153"/>
      <c r="J390" s="153"/>
      <c r="K390" s="153"/>
      <c r="L390" s="154"/>
      <c r="M390" s="154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ht="13.5" customHeight="1">
      <c r="A391" s="153"/>
      <c r="B391" s="153"/>
      <c r="C391" s="153"/>
      <c r="D391" s="154"/>
      <c r="E391" s="154"/>
      <c r="F391" s="153"/>
      <c r="G391" s="153"/>
      <c r="H391" s="153"/>
      <c r="I391" s="153"/>
      <c r="J391" s="153"/>
      <c r="K391" s="153"/>
      <c r="L391" s="154"/>
      <c r="M391" s="154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ht="13.5" customHeight="1">
      <c r="A392" s="153"/>
      <c r="B392" s="153"/>
      <c r="C392" s="153"/>
      <c r="D392" s="154"/>
      <c r="E392" s="154"/>
      <c r="F392" s="153"/>
      <c r="G392" s="153"/>
      <c r="H392" s="153"/>
      <c r="I392" s="153"/>
      <c r="J392" s="153"/>
      <c r="K392" s="153"/>
      <c r="L392" s="154"/>
      <c r="M392" s="154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ht="13.5" customHeight="1">
      <c r="A393" s="153"/>
      <c r="B393" s="153"/>
      <c r="C393" s="153"/>
      <c r="D393" s="154"/>
      <c r="E393" s="154"/>
      <c r="F393" s="153"/>
      <c r="G393" s="153"/>
      <c r="H393" s="153"/>
      <c r="I393" s="153"/>
      <c r="J393" s="153"/>
      <c r="K393" s="153"/>
      <c r="L393" s="154"/>
      <c r="M393" s="154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ht="13.5" customHeight="1">
      <c r="A394" s="153"/>
      <c r="B394" s="153"/>
      <c r="C394" s="153"/>
      <c r="D394" s="154"/>
      <c r="E394" s="154"/>
      <c r="F394" s="153"/>
      <c r="G394" s="153"/>
      <c r="H394" s="153"/>
      <c r="I394" s="153"/>
      <c r="J394" s="153"/>
      <c r="K394" s="153"/>
      <c r="L394" s="154"/>
      <c r="M394" s="154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ht="13.5" customHeight="1">
      <c r="A395" s="153"/>
      <c r="B395" s="153"/>
      <c r="C395" s="153"/>
      <c r="D395" s="154"/>
      <c r="E395" s="154"/>
      <c r="F395" s="153"/>
      <c r="G395" s="153"/>
      <c r="H395" s="153"/>
      <c r="I395" s="153"/>
      <c r="J395" s="153"/>
      <c r="K395" s="153"/>
      <c r="L395" s="154"/>
      <c r="M395" s="154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ht="13.5" customHeight="1">
      <c r="A396" s="153"/>
      <c r="B396" s="153"/>
      <c r="C396" s="153"/>
      <c r="D396" s="154"/>
      <c r="E396" s="154"/>
      <c r="F396" s="153"/>
      <c r="G396" s="153"/>
      <c r="H396" s="153"/>
      <c r="I396" s="153"/>
      <c r="J396" s="153"/>
      <c r="K396" s="153"/>
      <c r="L396" s="154"/>
      <c r="M396" s="154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ht="13.5" customHeight="1">
      <c r="A397" s="153"/>
      <c r="B397" s="153"/>
      <c r="C397" s="153"/>
      <c r="D397" s="154"/>
      <c r="E397" s="154"/>
      <c r="F397" s="153"/>
      <c r="G397" s="153"/>
      <c r="H397" s="153"/>
      <c r="I397" s="153"/>
      <c r="J397" s="153"/>
      <c r="K397" s="153"/>
      <c r="L397" s="154"/>
      <c r="M397" s="154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ht="13.5" customHeight="1">
      <c r="A398" s="153"/>
      <c r="B398" s="153"/>
      <c r="C398" s="153"/>
      <c r="D398" s="154"/>
      <c r="E398" s="154"/>
      <c r="F398" s="153"/>
      <c r="G398" s="153"/>
      <c r="H398" s="153"/>
      <c r="I398" s="153"/>
      <c r="J398" s="153"/>
      <c r="K398" s="153"/>
      <c r="L398" s="154"/>
      <c r="M398" s="154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ht="13.5" customHeight="1">
      <c r="A399" s="153"/>
      <c r="B399" s="153"/>
      <c r="C399" s="153"/>
      <c r="D399" s="154"/>
      <c r="E399" s="154"/>
      <c r="F399" s="153"/>
      <c r="G399" s="153"/>
      <c r="H399" s="153"/>
      <c r="I399" s="153"/>
      <c r="J399" s="153"/>
      <c r="K399" s="153"/>
      <c r="L399" s="154"/>
      <c r="M399" s="154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ht="13.5" customHeight="1">
      <c r="A400" s="153"/>
      <c r="B400" s="153"/>
      <c r="C400" s="153"/>
      <c r="D400" s="154"/>
      <c r="E400" s="154"/>
      <c r="F400" s="153"/>
      <c r="G400" s="153"/>
      <c r="H400" s="153"/>
      <c r="I400" s="153"/>
      <c r="J400" s="153"/>
      <c r="K400" s="153"/>
      <c r="L400" s="154"/>
      <c r="M400" s="154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ht="13.5" customHeight="1">
      <c r="A401" s="153"/>
      <c r="B401" s="153"/>
      <c r="C401" s="153"/>
      <c r="D401" s="154"/>
      <c r="E401" s="154"/>
      <c r="F401" s="153"/>
      <c r="G401" s="153"/>
      <c r="H401" s="153"/>
      <c r="I401" s="153"/>
      <c r="J401" s="153"/>
      <c r="K401" s="153"/>
      <c r="L401" s="154"/>
      <c r="M401" s="154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ht="13.5" customHeight="1">
      <c r="A402" s="153"/>
      <c r="B402" s="153"/>
      <c r="C402" s="153"/>
      <c r="D402" s="154"/>
      <c r="E402" s="154"/>
      <c r="F402" s="153"/>
      <c r="G402" s="153"/>
      <c r="H402" s="153"/>
      <c r="I402" s="153"/>
      <c r="J402" s="153"/>
      <c r="K402" s="153"/>
      <c r="L402" s="154"/>
      <c r="M402" s="154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ht="13.5" customHeight="1">
      <c r="A403" s="153"/>
      <c r="B403" s="153"/>
      <c r="C403" s="153"/>
      <c r="D403" s="154"/>
      <c r="E403" s="154"/>
      <c r="F403" s="153"/>
      <c r="G403" s="153"/>
      <c r="H403" s="153"/>
      <c r="I403" s="153"/>
      <c r="J403" s="153"/>
      <c r="K403" s="153"/>
      <c r="L403" s="154"/>
      <c r="M403" s="154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ht="13.5" customHeight="1">
      <c r="A404" s="153"/>
      <c r="B404" s="153"/>
      <c r="C404" s="153"/>
      <c r="D404" s="154"/>
      <c r="E404" s="154"/>
      <c r="F404" s="153"/>
      <c r="G404" s="153"/>
      <c r="H404" s="153"/>
      <c r="I404" s="153"/>
      <c r="J404" s="153"/>
      <c r="K404" s="153"/>
      <c r="L404" s="154"/>
      <c r="M404" s="154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ht="13.5" customHeight="1">
      <c r="A405" s="153"/>
      <c r="B405" s="153"/>
      <c r="C405" s="153"/>
      <c r="D405" s="154"/>
      <c r="E405" s="154"/>
      <c r="F405" s="153"/>
      <c r="G405" s="153"/>
      <c r="H405" s="153"/>
      <c r="I405" s="153"/>
      <c r="J405" s="153"/>
      <c r="K405" s="153"/>
      <c r="L405" s="154"/>
      <c r="M405" s="154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ht="13.5" customHeight="1">
      <c r="A406" s="153"/>
      <c r="B406" s="153"/>
      <c r="C406" s="153"/>
      <c r="D406" s="154"/>
      <c r="E406" s="154"/>
      <c r="F406" s="153"/>
      <c r="G406" s="153"/>
      <c r="H406" s="153"/>
      <c r="I406" s="153"/>
      <c r="J406" s="153"/>
      <c r="K406" s="153"/>
      <c r="L406" s="154"/>
      <c r="M406" s="154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ht="13.5" customHeight="1">
      <c r="A407" s="153"/>
      <c r="B407" s="153"/>
      <c r="C407" s="153"/>
      <c r="D407" s="154"/>
      <c r="E407" s="154"/>
      <c r="F407" s="153"/>
      <c r="G407" s="153"/>
      <c r="H407" s="153"/>
      <c r="I407" s="153"/>
      <c r="J407" s="153"/>
      <c r="K407" s="153"/>
      <c r="L407" s="154"/>
      <c r="M407" s="154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ht="13.5" customHeight="1">
      <c r="A408" s="153"/>
      <c r="B408" s="153"/>
      <c r="C408" s="153"/>
      <c r="D408" s="154"/>
      <c r="E408" s="154"/>
      <c r="F408" s="153"/>
      <c r="G408" s="153"/>
      <c r="H408" s="153"/>
      <c r="I408" s="153"/>
      <c r="J408" s="153"/>
      <c r="K408" s="153"/>
      <c r="L408" s="154"/>
      <c r="M408" s="154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ht="13.5" customHeight="1">
      <c r="A409" s="153"/>
      <c r="B409" s="153"/>
      <c r="C409" s="153"/>
      <c r="D409" s="154"/>
      <c r="E409" s="154"/>
      <c r="F409" s="153"/>
      <c r="G409" s="153"/>
      <c r="H409" s="153"/>
      <c r="I409" s="153"/>
      <c r="J409" s="153"/>
      <c r="K409" s="153"/>
      <c r="L409" s="154"/>
      <c r="M409" s="154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ht="13.5" customHeight="1">
      <c r="A410" s="153"/>
      <c r="B410" s="153"/>
      <c r="C410" s="153"/>
      <c r="D410" s="154"/>
      <c r="E410" s="154"/>
      <c r="F410" s="153"/>
      <c r="G410" s="153"/>
      <c r="H410" s="153"/>
      <c r="I410" s="153"/>
      <c r="J410" s="153"/>
      <c r="K410" s="153"/>
      <c r="L410" s="154"/>
      <c r="M410" s="154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ht="13.5" customHeight="1">
      <c r="A411" s="153"/>
      <c r="B411" s="153"/>
      <c r="C411" s="153"/>
      <c r="D411" s="154"/>
      <c r="E411" s="154"/>
      <c r="F411" s="153"/>
      <c r="G411" s="153"/>
      <c r="H411" s="153"/>
      <c r="I411" s="153"/>
      <c r="J411" s="153"/>
      <c r="K411" s="153"/>
      <c r="L411" s="154"/>
      <c r="M411" s="154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ht="13.5" customHeight="1">
      <c r="A412" s="153"/>
      <c r="B412" s="153"/>
      <c r="C412" s="153"/>
      <c r="D412" s="154"/>
      <c r="E412" s="154"/>
      <c r="F412" s="153"/>
      <c r="G412" s="153"/>
      <c r="H412" s="153"/>
      <c r="I412" s="153"/>
      <c r="J412" s="153"/>
      <c r="K412" s="153"/>
      <c r="L412" s="154"/>
      <c r="M412" s="154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ht="13.5" customHeight="1">
      <c r="A413" s="153"/>
      <c r="B413" s="153"/>
      <c r="C413" s="153"/>
      <c r="D413" s="154"/>
      <c r="E413" s="154"/>
      <c r="F413" s="153"/>
      <c r="G413" s="153"/>
      <c r="H413" s="153"/>
      <c r="I413" s="153"/>
      <c r="J413" s="153"/>
      <c r="K413" s="153"/>
      <c r="L413" s="154"/>
      <c r="M413" s="154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ht="13.5" customHeight="1">
      <c r="A414" s="153"/>
      <c r="B414" s="153"/>
      <c r="C414" s="153"/>
      <c r="D414" s="154"/>
      <c r="E414" s="154"/>
      <c r="F414" s="153"/>
      <c r="G414" s="153"/>
      <c r="H414" s="153"/>
      <c r="I414" s="153"/>
      <c r="J414" s="153"/>
      <c r="K414" s="153"/>
      <c r="L414" s="154"/>
      <c r="M414" s="154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ht="13.5" customHeight="1">
      <c r="A415" s="153"/>
      <c r="B415" s="153"/>
      <c r="C415" s="153"/>
      <c r="D415" s="154"/>
      <c r="E415" s="154"/>
      <c r="F415" s="153"/>
      <c r="G415" s="153"/>
      <c r="H415" s="153"/>
      <c r="I415" s="153"/>
      <c r="J415" s="153"/>
      <c r="K415" s="153"/>
      <c r="L415" s="154"/>
      <c r="M415" s="154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ht="13.5" customHeight="1">
      <c r="A416" s="153"/>
      <c r="B416" s="153"/>
      <c r="C416" s="153"/>
      <c r="D416" s="154"/>
      <c r="E416" s="154"/>
      <c r="F416" s="153"/>
      <c r="G416" s="153"/>
      <c r="H416" s="153"/>
      <c r="I416" s="153"/>
      <c r="J416" s="153"/>
      <c r="K416" s="153"/>
      <c r="L416" s="154"/>
      <c r="M416" s="154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ht="13.5" customHeight="1">
      <c r="A417" s="153"/>
      <c r="B417" s="153"/>
      <c r="C417" s="153"/>
      <c r="D417" s="154"/>
      <c r="E417" s="154"/>
      <c r="F417" s="153"/>
      <c r="G417" s="153"/>
      <c r="H417" s="153"/>
      <c r="I417" s="153"/>
      <c r="J417" s="153"/>
      <c r="K417" s="153"/>
      <c r="L417" s="154"/>
      <c r="M417" s="154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ht="13.5" customHeight="1">
      <c r="A418" s="153"/>
      <c r="B418" s="153"/>
      <c r="C418" s="153"/>
      <c r="D418" s="154"/>
      <c r="E418" s="154"/>
      <c r="F418" s="153"/>
      <c r="G418" s="153"/>
      <c r="H418" s="153"/>
      <c r="I418" s="153"/>
      <c r="J418" s="153"/>
      <c r="K418" s="153"/>
      <c r="L418" s="154"/>
      <c r="M418" s="154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ht="13.5" customHeight="1">
      <c r="A419" s="153"/>
      <c r="B419" s="153"/>
      <c r="C419" s="153"/>
      <c r="D419" s="154"/>
      <c r="E419" s="154"/>
      <c r="F419" s="153"/>
      <c r="G419" s="153"/>
      <c r="H419" s="153"/>
      <c r="I419" s="153"/>
      <c r="J419" s="153"/>
      <c r="K419" s="153"/>
      <c r="L419" s="154"/>
      <c r="M419" s="154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ht="13.5" customHeight="1">
      <c r="A420" s="153"/>
      <c r="B420" s="153"/>
      <c r="C420" s="153"/>
      <c r="D420" s="154"/>
      <c r="E420" s="154"/>
      <c r="F420" s="153"/>
      <c r="G420" s="153"/>
      <c r="H420" s="153"/>
      <c r="I420" s="153"/>
      <c r="J420" s="153"/>
      <c r="K420" s="153"/>
      <c r="L420" s="154"/>
      <c r="M420" s="154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ht="13.5" customHeight="1">
      <c r="A421" s="153"/>
      <c r="B421" s="153"/>
      <c r="C421" s="153"/>
      <c r="D421" s="154"/>
      <c r="E421" s="154"/>
      <c r="F421" s="153"/>
      <c r="G421" s="153"/>
      <c r="H421" s="153"/>
      <c r="I421" s="153"/>
      <c r="J421" s="153"/>
      <c r="K421" s="153"/>
      <c r="L421" s="154"/>
      <c r="M421" s="154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ht="13.5" customHeight="1">
      <c r="A422" s="153"/>
      <c r="B422" s="153"/>
      <c r="C422" s="153"/>
      <c r="D422" s="154"/>
      <c r="E422" s="154"/>
      <c r="F422" s="153"/>
      <c r="G422" s="153"/>
      <c r="H422" s="153"/>
      <c r="I422" s="153"/>
      <c r="J422" s="153"/>
      <c r="K422" s="153"/>
      <c r="L422" s="154"/>
      <c r="M422" s="154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ht="13.5" customHeight="1">
      <c r="A423" s="153"/>
      <c r="B423" s="153"/>
      <c r="C423" s="153"/>
      <c r="D423" s="154"/>
      <c r="E423" s="154"/>
      <c r="F423" s="153"/>
      <c r="G423" s="153"/>
      <c r="H423" s="153"/>
      <c r="I423" s="153"/>
      <c r="J423" s="153"/>
      <c r="K423" s="153"/>
      <c r="L423" s="154"/>
      <c r="M423" s="154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ht="13.5" customHeight="1">
      <c r="A424" s="153"/>
      <c r="B424" s="153"/>
      <c r="C424" s="153"/>
      <c r="D424" s="154"/>
      <c r="E424" s="154"/>
      <c r="F424" s="153"/>
      <c r="G424" s="153"/>
      <c r="H424" s="153"/>
      <c r="I424" s="153"/>
      <c r="J424" s="153"/>
      <c r="K424" s="153"/>
      <c r="L424" s="154"/>
      <c r="M424" s="154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ht="13.5" customHeight="1">
      <c r="A425" s="153"/>
      <c r="B425" s="153"/>
      <c r="C425" s="153"/>
      <c r="D425" s="154"/>
      <c r="E425" s="154"/>
      <c r="F425" s="153"/>
      <c r="G425" s="153"/>
      <c r="H425" s="153"/>
      <c r="I425" s="153"/>
      <c r="J425" s="153"/>
      <c r="K425" s="153"/>
      <c r="L425" s="154"/>
      <c r="M425" s="154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ht="13.5" customHeight="1">
      <c r="A426" s="153"/>
      <c r="B426" s="153"/>
      <c r="C426" s="153"/>
      <c r="D426" s="154"/>
      <c r="E426" s="154"/>
      <c r="F426" s="153"/>
      <c r="G426" s="153"/>
      <c r="H426" s="153"/>
      <c r="I426" s="153"/>
      <c r="J426" s="153"/>
      <c r="K426" s="153"/>
      <c r="L426" s="154"/>
      <c r="M426" s="154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ht="13.5" customHeight="1">
      <c r="A427" s="153"/>
      <c r="B427" s="153"/>
      <c r="C427" s="153"/>
      <c r="D427" s="154"/>
      <c r="E427" s="154"/>
      <c r="F427" s="153"/>
      <c r="G427" s="153"/>
      <c r="H427" s="153"/>
      <c r="I427" s="153"/>
      <c r="J427" s="153"/>
      <c r="K427" s="153"/>
      <c r="L427" s="154"/>
      <c r="M427" s="154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ht="13.5" customHeight="1">
      <c r="A428" s="153"/>
      <c r="B428" s="153"/>
      <c r="C428" s="153"/>
      <c r="D428" s="154"/>
      <c r="E428" s="154"/>
      <c r="F428" s="153"/>
      <c r="G428" s="153"/>
      <c r="H428" s="153"/>
      <c r="I428" s="153"/>
      <c r="J428" s="153"/>
      <c r="K428" s="153"/>
      <c r="L428" s="154"/>
      <c r="M428" s="154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ht="13.5" customHeight="1">
      <c r="A429" s="153"/>
      <c r="B429" s="153"/>
      <c r="C429" s="153"/>
      <c r="D429" s="154"/>
      <c r="E429" s="154"/>
      <c r="F429" s="153"/>
      <c r="G429" s="153"/>
      <c r="H429" s="153"/>
      <c r="I429" s="153"/>
      <c r="J429" s="153"/>
      <c r="K429" s="153"/>
      <c r="L429" s="154"/>
      <c r="M429" s="154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ht="13.5" customHeight="1">
      <c r="A430" s="153"/>
      <c r="B430" s="153"/>
      <c r="C430" s="153"/>
      <c r="D430" s="154"/>
      <c r="E430" s="154"/>
      <c r="F430" s="153"/>
      <c r="G430" s="153"/>
      <c r="H430" s="153"/>
      <c r="I430" s="153"/>
      <c r="J430" s="153"/>
      <c r="K430" s="153"/>
      <c r="L430" s="154"/>
      <c r="M430" s="154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ht="13.5" customHeight="1">
      <c r="A431" s="153"/>
      <c r="B431" s="153"/>
      <c r="C431" s="153"/>
      <c r="D431" s="154"/>
      <c r="E431" s="154"/>
      <c r="F431" s="153"/>
      <c r="G431" s="153"/>
      <c r="H431" s="153"/>
      <c r="I431" s="153"/>
      <c r="J431" s="153"/>
      <c r="K431" s="153"/>
      <c r="L431" s="154"/>
      <c r="M431" s="154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ht="13.5" customHeight="1">
      <c r="A432" s="153"/>
      <c r="B432" s="153"/>
      <c r="C432" s="153"/>
      <c r="D432" s="154"/>
      <c r="E432" s="154"/>
      <c r="F432" s="153"/>
      <c r="G432" s="153"/>
      <c r="H432" s="153"/>
      <c r="I432" s="153"/>
      <c r="J432" s="153"/>
      <c r="K432" s="153"/>
      <c r="L432" s="154"/>
      <c r="M432" s="154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ht="13.5" customHeight="1">
      <c r="A433" s="153"/>
      <c r="B433" s="153"/>
      <c r="C433" s="153"/>
      <c r="D433" s="154"/>
      <c r="E433" s="154"/>
      <c r="F433" s="153"/>
      <c r="G433" s="153"/>
      <c r="H433" s="153"/>
      <c r="I433" s="153"/>
      <c r="J433" s="153"/>
      <c r="K433" s="153"/>
      <c r="L433" s="154"/>
      <c r="M433" s="154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ht="13.5" customHeight="1">
      <c r="A434" s="153"/>
      <c r="B434" s="153"/>
      <c r="C434" s="153"/>
      <c r="D434" s="154"/>
      <c r="E434" s="154"/>
      <c r="F434" s="153"/>
      <c r="G434" s="153"/>
      <c r="H434" s="153"/>
      <c r="I434" s="153"/>
      <c r="J434" s="153"/>
      <c r="K434" s="153"/>
      <c r="L434" s="154"/>
      <c r="M434" s="154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ht="13.5" customHeight="1">
      <c r="A435" s="153"/>
      <c r="B435" s="153"/>
      <c r="C435" s="153"/>
      <c r="D435" s="154"/>
      <c r="E435" s="154"/>
      <c r="F435" s="153"/>
      <c r="G435" s="153"/>
      <c r="H435" s="153"/>
      <c r="I435" s="153"/>
      <c r="J435" s="153"/>
      <c r="K435" s="153"/>
      <c r="L435" s="154"/>
      <c r="M435" s="154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ht="13.5" customHeight="1">
      <c r="A436" s="153"/>
      <c r="B436" s="153"/>
      <c r="C436" s="153"/>
      <c r="D436" s="154"/>
      <c r="E436" s="154"/>
      <c r="F436" s="153"/>
      <c r="G436" s="153"/>
      <c r="H436" s="153"/>
      <c r="I436" s="153"/>
      <c r="J436" s="153"/>
      <c r="K436" s="153"/>
      <c r="L436" s="154"/>
      <c r="M436" s="154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ht="13.5" customHeight="1">
      <c r="A437" s="153"/>
      <c r="B437" s="153"/>
      <c r="C437" s="153"/>
      <c r="D437" s="154"/>
      <c r="E437" s="154"/>
      <c r="F437" s="153"/>
      <c r="G437" s="153"/>
      <c r="H437" s="153"/>
      <c r="I437" s="153"/>
      <c r="J437" s="153"/>
      <c r="K437" s="153"/>
      <c r="L437" s="154"/>
      <c r="M437" s="154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ht="13.5" customHeight="1">
      <c r="A438" s="153"/>
      <c r="B438" s="153"/>
      <c r="C438" s="153"/>
      <c r="D438" s="154"/>
      <c r="E438" s="154"/>
      <c r="F438" s="153"/>
      <c r="G438" s="153"/>
      <c r="H438" s="153"/>
      <c r="I438" s="153"/>
      <c r="J438" s="153"/>
      <c r="K438" s="153"/>
      <c r="L438" s="154"/>
      <c r="M438" s="154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ht="13.5" customHeight="1">
      <c r="A439" s="153"/>
      <c r="B439" s="153"/>
      <c r="C439" s="153"/>
      <c r="D439" s="154"/>
      <c r="E439" s="154"/>
      <c r="F439" s="153"/>
      <c r="G439" s="153"/>
      <c r="H439" s="153"/>
      <c r="I439" s="153"/>
      <c r="J439" s="153"/>
      <c r="K439" s="153"/>
      <c r="L439" s="154"/>
      <c r="M439" s="154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ht="13.5" customHeight="1">
      <c r="A440" s="153"/>
      <c r="B440" s="153"/>
      <c r="C440" s="153"/>
      <c r="D440" s="154"/>
      <c r="E440" s="154"/>
      <c r="F440" s="153"/>
      <c r="G440" s="153"/>
      <c r="H440" s="153"/>
      <c r="I440" s="153"/>
      <c r="J440" s="153"/>
      <c r="K440" s="153"/>
      <c r="L440" s="154"/>
      <c r="M440" s="154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ht="13.5" customHeight="1">
      <c r="A441" s="153"/>
      <c r="B441" s="153"/>
      <c r="C441" s="153"/>
      <c r="D441" s="154"/>
      <c r="E441" s="154"/>
      <c r="F441" s="153"/>
      <c r="G441" s="153"/>
      <c r="H441" s="153"/>
      <c r="I441" s="153"/>
      <c r="J441" s="153"/>
      <c r="K441" s="153"/>
      <c r="L441" s="154"/>
      <c r="M441" s="154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ht="13.5" customHeight="1">
      <c r="A442" s="153"/>
      <c r="B442" s="153"/>
      <c r="C442" s="153"/>
      <c r="D442" s="154"/>
      <c r="E442" s="154"/>
      <c r="F442" s="153"/>
      <c r="G442" s="153"/>
      <c r="H442" s="153"/>
      <c r="I442" s="153"/>
      <c r="J442" s="153"/>
      <c r="K442" s="153"/>
      <c r="L442" s="154"/>
      <c r="M442" s="154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ht="13.5" customHeight="1">
      <c r="A443" s="153"/>
      <c r="B443" s="153"/>
      <c r="C443" s="153"/>
      <c r="D443" s="154"/>
      <c r="E443" s="154"/>
      <c r="F443" s="153"/>
      <c r="G443" s="153"/>
      <c r="H443" s="153"/>
      <c r="I443" s="153"/>
      <c r="J443" s="153"/>
      <c r="K443" s="153"/>
      <c r="L443" s="154"/>
      <c r="M443" s="154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ht="13.5" customHeight="1">
      <c r="A444" s="153"/>
      <c r="B444" s="153"/>
      <c r="C444" s="153"/>
      <c r="D444" s="154"/>
      <c r="E444" s="154"/>
      <c r="F444" s="153"/>
      <c r="G444" s="153"/>
      <c r="H444" s="153"/>
      <c r="I444" s="153"/>
      <c r="J444" s="153"/>
      <c r="K444" s="153"/>
      <c r="L444" s="154"/>
      <c r="M444" s="154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ht="13.5" customHeight="1">
      <c r="A445" s="153"/>
      <c r="B445" s="153"/>
      <c r="C445" s="153"/>
      <c r="D445" s="154"/>
      <c r="E445" s="154"/>
      <c r="F445" s="153"/>
      <c r="G445" s="153"/>
      <c r="H445" s="153"/>
      <c r="I445" s="153"/>
      <c r="J445" s="153"/>
      <c r="K445" s="153"/>
      <c r="L445" s="154"/>
      <c r="M445" s="154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ht="13.5" customHeight="1">
      <c r="A446" s="153"/>
      <c r="B446" s="153"/>
      <c r="C446" s="153"/>
      <c r="D446" s="154"/>
      <c r="E446" s="154"/>
      <c r="F446" s="153"/>
      <c r="G446" s="153"/>
      <c r="H446" s="153"/>
      <c r="I446" s="153"/>
      <c r="J446" s="153"/>
      <c r="K446" s="153"/>
      <c r="L446" s="154"/>
      <c r="M446" s="154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ht="13.5" customHeight="1">
      <c r="A447" s="153"/>
      <c r="B447" s="153"/>
      <c r="C447" s="153"/>
      <c r="D447" s="154"/>
      <c r="E447" s="154"/>
      <c r="F447" s="153"/>
      <c r="G447" s="153"/>
      <c r="H447" s="153"/>
      <c r="I447" s="153"/>
      <c r="J447" s="153"/>
      <c r="K447" s="153"/>
      <c r="L447" s="154"/>
      <c r="M447" s="154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ht="13.5" customHeight="1">
      <c r="A448" s="153"/>
      <c r="B448" s="153"/>
      <c r="C448" s="153"/>
      <c r="D448" s="154"/>
      <c r="E448" s="154"/>
      <c r="F448" s="153"/>
      <c r="G448" s="153"/>
      <c r="H448" s="153"/>
      <c r="I448" s="153"/>
      <c r="J448" s="153"/>
      <c r="K448" s="153"/>
      <c r="L448" s="154"/>
      <c r="M448" s="154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ht="13.5" customHeight="1">
      <c r="A449" s="153"/>
      <c r="B449" s="153"/>
      <c r="C449" s="153"/>
      <c r="D449" s="154"/>
      <c r="E449" s="154"/>
      <c r="F449" s="153"/>
      <c r="G449" s="153"/>
      <c r="H449" s="153"/>
      <c r="I449" s="153"/>
      <c r="J449" s="153"/>
      <c r="K449" s="153"/>
      <c r="L449" s="154"/>
      <c r="M449" s="154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ht="13.5" customHeight="1">
      <c r="A450" s="153"/>
      <c r="B450" s="153"/>
      <c r="C450" s="153"/>
      <c r="D450" s="154"/>
      <c r="E450" s="154"/>
      <c r="F450" s="153"/>
      <c r="G450" s="153"/>
      <c r="H450" s="153"/>
      <c r="I450" s="153"/>
      <c r="J450" s="153"/>
      <c r="K450" s="153"/>
      <c r="L450" s="154"/>
      <c r="M450" s="154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ht="13.5" customHeight="1">
      <c r="A451" s="153"/>
      <c r="B451" s="153"/>
      <c r="C451" s="153"/>
      <c r="D451" s="154"/>
      <c r="E451" s="154"/>
      <c r="F451" s="153"/>
      <c r="G451" s="153"/>
      <c r="H451" s="153"/>
      <c r="I451" s="153"/>
      <c r="J451" s="153"/>
      <c r="K451" s="153"/>
      <c r="L451" s="154"/>
      <c r="M451" s="154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ht="13.5" customHeight="1">
      <c r="A452" s="153"/>
      <c r="B452" s="153"/>
      <c r="C452" s="153"/>
      <c r="D452" s="154"/>
      <c r="E452" s="154"/>
      <c r="F452" s="153"/>
      <c r="G452" s="153"/>
      <c r="H452" s="153"/>
      <c r="I452" s="153"/>
      <c r="J452" s="153"/>
      <c r="K452" s="153"/>
      <c r="L452" s="154"/>
      <c r="M452" s="154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ht="13.5" customHeight="1">
      <c r="A453" s="153"/>
      <c r="B453" s="153"/>
      <c r="C453" s="153"/>
      <c r="D453" s="154"/>
      <c r="E453" s="154"/>
      <c r="F453" s="153"/>
      <c r="G453" s="153"/>
      <c r="H453" s="153"/>
      <c r="I453" s="153"/>
      <c r="J453" s="153"/>
      <c r="K453" s="153"/>
      <c r="L453" s="154"/>
      <c r="M453" s="154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ht="13.5" customHeight="1">
      <c r="A454" s="153"/>
      <c r="B454" s="153"/>
      <c r="C454" s="153"/>
      <c r="D454" s="154"/>
      <c r="E454" s="154"/>
      <c r="F454" s="153"/>
      <c r="G454" s="153"/>
      <c r="H454" s="153"/>
      <c r="I454" s="153"/>
      <c r="J454" s="153"/>
      <c r="K454" s="153"/>
      <c r="L454" s="154"/>
      <c r="M454" s="154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ht="13.5" customHeight="1">
      <c r="A455" s="153"/>
      <c r="B455" s="153"/>
      <c r="C455" s="153"/>
      <c r="D455" s="154"/>
      <c r="E455" s="154"/>
      <c r="F455" s="153"/>
      <c r="G455" s="153"/>
      <c r="H455" s="153"/>
      <c r="I455" s="153"/>
      <c r="J455" s="153"/>
      <c r="K455" s="153"/>
      <c r="L455" s="154"/>
      <c r="M455" s="154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ht="13.5" customHeight="1">
      <c r="A456" s="153"/>
      <c r="B456" s="153"/>
      <c r="C456" s="153"/>
      <c r="D456" s="154"/>
      <c r="E456" s="154"/>
      <c r="F456" s="153"/>
      <c r="G456" s="153"/>
      <c r="H456" s="153"/>
      <c r="I456" s="153"/>
      <c r="J456" s="153"/>
      <c r="K456" s="153"/>
      <c r="L456" s="154"/>
      <c r="M456" s="154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ht="13.5" customHeight="1">
      <c r="A457" s="153"/>
      <c r="B457" s="153"/>
      <c r="C457" s="153"/>
      <c r="D457" s="154"/>
      <c r="E457" s="154"/>
      <c r="F457" s="153"/>
      <c r="G457" s="153"/>
      <c r="H457" s="153"/>
      <c r="I457" s="153"/>
      <c r="J457" s="153"/>
      <c r="K457" s="153"/>
      <c r="L457" s="154"/>
      <c r="M457" s="154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ht="13.5" customHeight="1">
      <c r="A458" s="153"/>
      <c r="B458" s="153"/>
      <c r="C458" s="153"/>
      <c r="D458" s="154"/>
      <c r="E458" s="154"/>
      <c r="F458" s="153"/>
      <c r="G458" s="153"/>
      <c r="H458" s="153"/>
      <c r="I458" s="153"/>
      <c r="J458" s="153"/>
      <c r="K458" s="153"/>
      <c r="L458" s="154"/>
      <c r="M458" s="154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ht="13.5" customHeight="1">
      <c r="A459" s="153"/>
      <c r="B459" s="153"/>
      <c r="C459" s="153"/>
      <c r="D459" s="154"/>
      <c r="E459" s="154"/>
      <c r="F459" s="153"/>
      <c r="G459" s="153"/>
      <c r="H459" s="153"/>
      <c r="I459" s="153"/>
      <c r="J459" s="153"/>
      <c r="K459" s="153"/>
      <c r="L459" s="154"/>
      <c r="M459" s="154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ht="13.5" customHeight="1">
      <c r="A460" s="153"/>
      <c r="B460" s="153"/>
      <c r="C460" s="153"/>
      <c r="D460" s="154"/>
      <c r="E460" s="154"/>
      <c r="F460" s="153"/>
      <c r="G460" s="153"/>
      <c r="H460" s="153"/>
      <c r="I460" s="153"/>
      <c r="J460" s="153"/>
      <c r="K460" s="153"/>
      <c r="L460" s="154"/>
      <c r="M460" s="154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ht="13.5" customHeight="1">
      <c r="A461" s="153"/>
      <c r="B461" s="153"/>
      <c r="C461" s="153"/>
      <c r="D461" s="154"/>
      <c r="E461" s="154"/>
      <c r="F461" s="153"/>
      <c r="G461" s="153"/>
      <c r="H461" s="153"/>
      <c r="I461" s="153"/>
      <c r="J461" s="153"/>
      <c r="K461" s="153"/>
      <c r="L461" s="154"/>
      <c r="M461" s="154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ht="13.5" customHeight="1">
      <c r="A462" s="153"/>
      <c r="B462" s="153"/>
      <c r="C462" s="153"/>
      <c r="D462" s="154"/>
      <c r="E462" s="154"/>
      <c r="F462" s="153"/>
      <c r="G462" s="153"/>
      <c r="H462" s="153"/>
      <c r="I462" s="153"/>
      <c r="J462" s="153"/>
      <c r="K462" s="153"/>
      <c r="L462" s="154"/>
      <c r="M462" s="154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ht="13.5" customHeight="1">
      <c r="A463" s="153"/>
      <c r="B463" s="153"/>
      <c r="C463" s="153"/>
      <c r="D463" s="154"/>
      <c r="E463" s="154"/>
      <c r="F463" s="153"/>
      <c r="G463" s="153"/>
      <c r="H463" s="153"/>
      <c r="I463" s="153"/>
      <c r="J463" s="153"/>
      <c r="K463" s="153"/>
      <c r="L463" s="154"/>
      <c r="M463" s="154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ht="13.5" customHeight="1">
      <c r="A464" s="153"/>
      <c r="B464" s="153"/>
      <c r="C464" s="153"/>
      <c r="D464" s="154"/>
      <c r="E464" s="154"/>
      <c r="F464" s="153"/>
      <c r="G464" s="153"/>
      <c r="H464" s="153"/>
      <c r="I464" s="153"/>
      <c r="J464" s="153"/>
      <c r="K464" s="153"/>
      <c r="L464" s="154"/>
      <c r="M464" s="154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ht="13.5" customHeight="1">
      <c r="A465" s="153"/>
      <c r="B465" s="153"/>
      <c r="C465" s="153"/>
      <c r="D465" s="154"/>
      <c r="E465" s="154"/>
      <c r="F465" s="153"/>
      <c r="G465" s="153"/>
      <c r="H465" s="153"/>
      <c r="I465" s="153"/>
      <c r="J465" s="153"/>
      <c r="K465" s="153"/>
      <c r="L465" s="154"/>
      <c r="M465" s="154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ht="13.5" customHeight="1">
      <c r="A466" s="153"/>
      <c r="B466" s="153"/>
      <c r="C466" s="153"/>
      <c r="D466" s="154"/>
      <c r="E466" s="154"/>
      <c r="F466" s="153"/>
      <c r="G466" s="153"/>
      <c r="H466" s="153"/>
      <c r="I466" s="153"/>
      <c r="J466" s="153"/>
      <c r="K466" s="153"/>
      <c r="L466" s="154"/>
      <c r="M466" s="154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ht="13.5" customHeight="1">
      <c r="A467" s="153"/>
      <c r="B467" s="153"/>
      <c r="C467" s="153"/>
      <c r="D467" s="154"/>
      <c r="E467" s="154"/>
      <c r="F467" s="153"/>
      <c r="G467" s="153"/>
      <c r="H467" s="153"/>
      <c r="I467" s="153"/>
      <c r="J467" s="153"/>
      <c r="K467" s="153"/>
      <c r="L467" s="154"/>
      <c r="M467" s="154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ht="13.5" customHeight="1">
      <c r="A468" s="153"/>
      <c r="B468" s="153"/>
      <c r="C468" s="153"/>
      <c r="D468" s="154"/>
      <c r="E468" s="154"/>
      <c r="F468" s="153"/>
      <c r="G468" s="153"/>
      <c r="H468" s="153"/>
      <c r="I468" s="153"/>
      <c r="J468" s="153"/>
      <c r="K468" s="153"/>
      <c r="L468" s="154"/>
      <c r="M468" s="154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ht="13.5" customHeight="1">
      <c r="A469" s="153"/>
      <c r="B469" s="153"/>
      <c r="C469" s="153"/>
      <c r="D469" s="154"/>
      <c r="E469" s="154"/>
      <c r="F469" s="153"/>
      <c r="G469" s="153"/>
      <c r="H469" s="153"/>
      <c r="I469" s="153"/>
      <c r="J469" s="153"/>
      <c r="K469" s="153"/>
      <c r="L469" s="154"/>
      <c r="M469" s="154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ht="13.5" customHeight="1">
      <c r="A470" s="153"/>
      <c r="B470" s="153"/>
      <c r="C470" s="153"/>
      <c r="D470" s="154"/>
      <c r="E470" s="154"/>
      <c r="F470" s="153"/>
      <c r="G470" s="153"/>
      <c r="H470" s="153"/>
      <c r="I470" s="153"/>
      <c r="J470" s="153"/>
      <c r="K470" s="153"/>
      <c r="L470" s="154"/>
      <c r="M470" s="154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ht="13.5" customHeight="1">
      <c r="A471" s="153"/>
      <c r="B471" s="153"/>
      <c r="C471" s="153"/>
      <c r="D471" s="154"/>
      <c r="E471" s="154"/>
      <c r="F471" s="153"/>
      <c r="G471" s="153"/>
      <c r="H471" s="153"/>
      <c r="I471" s="153"/>
      <c r="J471" s="153"/>
      <c r="K471" s="153"/>
      <c r="L471" s="154"/>
      <c r="M471" s="154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ht="13.5" customHeight="1">
      <c r="A472" s="153"/>
      <c r="B472" s="153"/>
      <c r="C472" s="153"/>
      <c r="D472" s="154"/>
      <c r="E472" s="154"/>
      <c r="F472" s="153"/>
      <c r="G472" s="153"/>
      <c r="H472" s="153"/>
      <c r="I472" s="153"/>
      <c r="J472" s="153"/>
      <c r="K472" s="153"/>
      <c r="L472" s="154"/>
      <c r="M472" s="154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ht="13.5" customHeight="1">
      <c r="A473" s="153"/>
      <c r="B473" s="153"/>
      <c r="C473" s="153"/>
      <c r="D473" s="154"/>
      <c r="E473" s="154"/>
      <c r="F473" s="153"/>
      <c r="G473" s="153"/>
      <c r="H473" s="153"/>
      <c r="I473" s="153"/>
      <c r="J473" s="153"/>
      <c r="K473" s="153"/>
      <c r="L473" s="154"/>
      <c r="M473" s="154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ht="13.5" customHeight="1">
      <c r="A474" s="153"/>
      <c r="B474" s="153"/>
      <c r="C474" s="153"/>
      <c r="D474" s="154"/>
      <c r="E474" s="154"/>
      <c r="F474" s="153"/>
      <c r="G474" s="153"/>
      <c r="H474" s="153"/>
      <c r="I474" s="153"/>
      <c r="J474" s="153"/>
      <c r="K474" s="153"/>
      <c r="L474" s="154"/>
      <c r="M474" s="154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ht="13.5" customHeight="1">
      <c r="A475" s="153"/>
      <c r="B475" s="153"/>
      <c r="C475" s="153"/>
      <c r="D475" s="154"/>
      <c r="E475" s="154"/>
      <c r="F475" s="153"/>
      <c r="G475" s="153"/>
      <c r="H475" s="153"/>
      <c r="I475" s="153"/>
      <c r="J475" s="153"/>
      <c r="K475" s="153"/>
      <c r="L475" s="154"/>
      <c r="M475" s="154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ht="13.5" customHeight="1">
      <c r="A476" s="153"/>
      <c r="B476" s="153"/>
      <c r="C476" s="153"/>
      <c r="D476" s="154"/>
      <c r="E476" s="154"/>
      <c r="F476" s="153"/>
      <c r="G476" s="153"/>
      <c r="H476" s="153"/>
      <c r="I476" s="153"/>
      <c r="J476" s="153"/>
      <c r="K476" s="153"/>
      <c r="L476" s="154"/>
      <c r="M476" s="154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ht="13.5" customHeight="1">
      <c r="A477" s="153"/>
      <c r="B477" s="153"/>
      <c r="C477" s="153"/>
      <c r="D477" s="154"/>
      <c r="E477" s="154"/>
      <c r="F477" s="153"/>
      <c r="G477" s="153"/>
      <c r="H477" s="153"/>
      <c r="I477" s="153"/>
      <c r="J477" s="153"/>
      <c r="K477" s="153"/>
      <c r="L477" s="154"/>
      <c r="M477" s="154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ht="13.5" customHeight="1">
      <c r="A478" s="153"/>
      <c r="B478" s="153"/>
      <c r="C478" s="153"/>
      <c r="D478" s="154"/>
      <c r="E478" s="154"/>
      <c r="F478" s="153"/>
      <c r="G478" s="153"/>
      <c r="H478" s="153"/>
      <c r="I478" s="153"/>
      <c r="J478" s="153"/>
      <c r="K478" s="153"/>
      <c r="L478" s="154"/>
      <c r="M478" s="154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ht="13.5" customHeight="1">
      <c r="A479" s="153"/>
      <c r="B479" s="153"/>
      <c r="C479" s="153"/>
      <c r="D479" s="154"/>
      <c r="E479" s="154"/>
      <c r="F479" s="153"/>
      <c r="G479" s="153"/>
      <c r="H479" s="153"/>
      <c r="I479" s="153"/>
      <c r="J479" s="153"/>
      <c r="K479" s="153"/>
      <c r="L479" s="154"/>
      <c r="M479" s="154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ht="13.5" customHeight="1">
      <c r="A480" s="153"/>
      <c r="B480" s="153"/>
      <c r="C480" s="153"/>
      <c r="D480" s="154"/>
      <c r="E480" s="154"/>
      <c r="F480" s="153"/>
      <c r="G480" s="153"/>
      <c r="H480" s="153"/>
      <c r="I480" s="153"/>
      <c r="J480" s="153"/>
      <c r="K480" s="153"/>
      <c r="L480" s="154"/>
      <c r="M480" s="154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ht="13.5" customHeight="1">
      <c r="A481" s="153"/>
      <c r="B481" s="153"/>
      <c r="C481" s="153"/>
      <c r="D481" s="154"/>
      <c r="E481" s="154"/>
      <c r="F481" s="153"/>
      <c r="G481" s="153"/>
      <c r="H481" s="153"/>
      <c r="I481" s="153"/>
      <c r="J481" s="153"/>
      <c r="K481" s="153"/>
      <c r="L481" s="154"/>
      <c r="M481" s="154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ht="13.5" customHeight="1">
      <c r="A482" s="153"/>
      <c r="B482" s="153"/>
      <c r="C482" s="153"/>
      <c r="D482" s="154"/>
      <c r="E482" s="154"/>
      <c r="F482" s="153"/>
      <c r="G482" s="153"/>
      <c r="H482" s="153"/>
      <c r="I482" s="153"/>
      <c r="J482" s="153"/>
      <c r="K482" s="153"/>
      <c r="L482" s="154"/>
      <c r="M482" s="154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ht="13.5" customHeight="1">
      <c r="A483" s="153"/>
      <c r="B483" s="153"/>
      <c r="C483" s="153"/>
      <c r="D483" s="154"/>
      <c r="E483" s="154"/>
      <c r="F483" s="153"/>
      <c r="G483" s="153"/>
      <c r="H483" s="153"/>
      <c r="I483" s="153"/>
      <c r="J483" s="153"/>
      <c r="K483" s="153"/>
      <c r="L483" s="154"/>
      <c r="M483" s="154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ht="13.5" customHeight="1">
      <c r="A484" s="153"/>
      <c r="B484" s="153"/>
      <c r="C484" s="153"/>
      <c r="D484" s="154"/>
      <c r="E484" s="154"/>
      <c r="F484" s="153"/>
      <c r="G484" s="153"/>
      <c r="H484" s="153"/>
      <c r="I484" s="153"/>
      <c r="J484" s="153"/>
      <c r="K484" s="153"/>
      <c r="L484" s="154"/>
      <c r="M484" s="154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ht="13.5" customHeight="1">
      <c r="A485" s="153"/>
      <c r="B485" s="153"/>
      <c r="C485" s="153"/>
      <c r="D485" s="154"/>
      <c r="E485" s="154"/>
      <c r="F485" s="153"/>
      <c r="G485" s="153"/>
      <c r="H485" s="153"/>
      <c r="I485" s="153"/>
      <c r="J485" s="153"/>
      <c r="K485" s="153"/>
      <c r="L485" s="154"/>
      <c r="M485" s="154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ht="13.5" customHeight="1">
      <c r="A486" s="153"/>
      <c r="B486" s="153"/>
      <c r="C486" s="153"/>
      <c r="D486" s="154"/>
      <c r="E486" s="154"/>
      <c r="F486" s="153"/>
      <c r="G486" s="153"/>
      <c r="H486" s="153"/>
      <c r="I486" s="153"/>
      <c r="J486" s="153"/>
      <c r="K486" s="153"/>
      <c r="L486" s="154"/>
      <c r="M486" s="154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ht="13.5" customHeight="1">
      <c r="A487" s="153"/>
      <c r="B487" s="153"/>
      <c r="C487" s="153"/>
      <c r="D487" s="154"/>
      <c r="E487" s="154"/>
      <c r="F487" s="153"/>
      <c r="G487" s="153"/>
      <c r="H487" s="153"/>
      <c r="I487" s="153"/>
      <c r="J487" s="153"/>
      <c r="K487" s="153"/>
      <c r="L487" s="154"/>
      <c r="M487" s="154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ht="13.5" customHeight="1">
      <c r="A488" s="153"/>
      <c r="B488" s="153"/>
      <c r="C488" s="153"/>
      <c r="D488" s="154"/>
      <c r="E488" s="154"/>
      <c r="F488" s="153"/>
      <c r="G488" s="153"/>
      <c r="H488" s="153"/>
      <c r="I488" s="153"/>
      <c r="J488" s="153"/>
      <c r="K488" s="153"/>
      <c r="L488" s="154"/>
      <c r="M488" s="154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ht="13.5" customHeight="1">
      <c r="A489" s="153"/>
      <c r="B489" s="153"/>
      <c r="C489" s="153"/>
      <c r="D489" s="154"/>
      <c r="E489" s="154"/>
      <c r="F489" s="153"/>
      <c r="G489" s="153"/>
      <c r="H489" s="153"/>
      <c r="I489" s="153"/>
      <c r="J489" s="153"/>
      <c r="K489" s="153"/>
      <c r="L489" s="154"/>
      <c r="M489" s="154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ht="13.5" customHeight="1">
      <c r="A490" s="153"/>
      <c r="B490" s="153"/>
      <c r="C490" s="153"/>
      <c r="D490" s="154"/>
      <c r="E490" s="154"/>
      <c r="F490" s="153"/>
      <c r="G490" s="153"/>
      <c r="H490" s="153"/>
      <c r="I490" s="153"/>
      <c r="J490" s="153"/>
      <c r="K490" s="153"/>
      <c r="L490" s="154"/>
      <c r="M490" s="154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ht="13.5" customHeight="1">
      <c r="A491" s="153"/>
      <c r="B491" s="153"/>
      <c r="C491" s="153"/>
      <c r="D491" s="154"/>
      <c r="E491" s="154"/>
      <c r="F491" s="153"/>
      <c r="G491" s="153"/>
      <c r="H491" s="153"/>
      <c r="I491" s="153"/>
      <c r="J491" s="153"/>
      <c r="K491" s="153"/>
      <c r="L491" s="154"/>
      <c r="M491" s="154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ht="13.5" customHeight="1">
      <c r="A492" s="153"/>
      <c r="B492" s="153"/>
      <c r="C492" s="153"/>
      <c r="D492" s="154"/>
      <c r="E492" s="154"/>
      <c r="F492" s="153"/>
      <c r="G492" s="153"/>
      <c r="H492" s="153"/>
      <c r="I492" s="153"/>
      <c r="J492" s="153"/>
      <c r="K492" s="153"/>
      <c r="L492" s="154"/>
      <c r="M492" s="154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ht="13.5" customHeight="1">
      <c r="A493" s="153"/>
      <c r="B493" s="153"/>
      <c r="C493" s="153"/>
      <c r="D493" s="154"/>
      <c r="E493" s="154"/>
      <c r="F493" s="153"/>
      <c r="G493" s="153"/>
      <c r="H493" s="153"/>
      <c r="I493" s="153"/>
      <c r="J493" s="153"/>
      <c r="K493" s="153"/>
      <c r="L493" s="154"/>
      <c r="M493" s="154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ht="13.5" customHeight="1">
      <c r="A494" s="153"/>
      <c r="B494" s="153"/>
      <c r="C494" s="153"/>
      <c r="D494" s="154"/>
      <c r="E494" s="154"/>
      <c r="F494" s="153"/>
      <c r="G494" s="153"/>
      <c r="H494" s="153"/>
      <c r="I494" s="153"/>
      <c r="J494" s="153"/>
      <c r="K494" s="153"/>
      <c r="L494" s="154"/>
      <c r="M494" s="154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ht="13.5" customHeight="1">
      <c r="A495" s="153"/>
      <c r="B495" s="153"/>
      <c r="C495" s="153"/>
      <c r="D495" s="154"/>
      <c r="E495" s="154"/>
      <c r="F495" s="153"/>
      <c r="G495" s="153"/>
      <c r="H495" s="153"/>
      <c r="I495" s="153"/>
      <c r="J495" s="153"/>
      <c r="K495" s="153"/>
      <c r="L495" s="154"/>
      <c r="M495" s="154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ht="13.5" customHeight="1">
      <c r="A496" s="153"/>
      <c r="B496" s="153"/>
      <c r="C496" s="153"/>
      <c r="D496" s="154"/>
      <c r="E496" s="154"/>
      <c r="F496" s="153"/>
      <c r="G496" s="153"/>
      <c r="H496" s="153"/>
      <c r="I496" s="153"/>
      <c r="J496" s="153"/>
      <c r="K496" s="153"/>
      <c r="L496" s="154"/>
      <c r="M496" s="154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ht="13.5" customHeight="1">
      <c r="A497" s="153"/>
      <c r="B497" s="153"/>
      <c r="C497" s="153"/>
      <c r="D497" s="154"/>
      <c r="E497" s="154"/>
      <c r="F497" s="153"/>
      <c r="G497" s="153"/>
      <c r="H497" s="153"/>
      <c r="I497" s="153"/>
      <c r="J497" s="153"/>
      <c r="K497" s="153"/>
      <c r="L497" s="154"/>
      <c r="M497" s="154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ht="13.5" customHeight="1">
      <c r="A498" s="153"/>
      <c r="B498" s="153"/>
      <c r="C498" s="153"/>
      <c r="D498" s="154"/>
      <c r="E498" s="154"/>
      <c r="F498" s="153"/>
      <c r="G498" s="153"/>
      <c r="H498" s="153"/>
      <c r="I498" s="153"/>
      <c r="J498" s="153"/>
      <c r="K498" s="153"/>
      <c r="L498" s="154"/>
      <c r="M498" s="154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ht="13.5" customHeight="1">
      <c r="A499" s="153"/>
      <c r="B499" s="153"/>
      <c r="C499" s="153"/>
      <c r="D499" s="154"/>
      <c r="E499" s="154"/>
      <c r="F499" s="153"/>
      <c r="G499" s="153"/>
      <c r="H499" s="153"/>
      <c r="I499" s="153"/>
      <c r="J499" s="153"/>
      <c r="K499" s="153"/>
      <c r="L499" s="154"/>
      <c r="M499" s="154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ht="13.5" customHeight="1">
      <c r="A500" s="153"/>
      <c r="B500" s="153"/>
      <c r="C500" s="153"/>
      <c r="D500" s="154"/>
      <c r="E500" s="154"/>
      <c r="F500" s="153"/>
      <c r="G500" s="153"/>
      <c r="H500" s="153"/>
      <c r="I500" s="153"/>
      <c r="J500" s="153"/>
      <c r="K500" s="153"/>
      <c r="L500" s="154"/>
      <c r="M500" s="154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ht="13.5" customHeight="1">
      <c r="A501" s="153"/>
      <c r="B501" s="153"/>
      <c r="C501" s="153"/>
      <c r="D501" s="154"/>
      <c r="E501" s="154"/>
      <c r="F501" s="153"/>
      <c r="G501" s="153"/>
      <c r="H501" s="153"/>
      <c r="I501" s="153"/>
      <c r="J501" s="153"/>
      <c r="K501" s="153"/>
      <c r="L501" s="154"/>
      <c r="M501" s="154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ht="13.5" customHeight="1">
      <c r="A502" s="153"/>
      <c r="B502" s="153"/>
      <c r="C502" s="153"/>
      <c r="D502" s="154"/>
      <c r="E502" s="154"/>
      <c r="F502" s="153"/>
      <c r="G502" s="153"/>
      <c r="H502" s="153"/>
      <c r="I502" s="153"/>
      <c r="J502" s="153"/>
      <c r="K502" s="153"/>
      <c r="L502" s="154"/>
      <c r="M502" s="154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ht="13.5" customHeight="1">
      <c r="A503" s="153"/>
      <c r="B503" s="153"/>
      <c r="C503" s="153"/>
      <c r="D503" s="154"/>
      <c r="E503" s="154"/>
      <c r="F503" s="153"/>
      <c r="G503" s="153"/>
      <c r="H503" s="153"/>
      <c r="I503" s="153"/>
      <c r="J503" s="153"/>
      <c r="K503" s="153"/>
      <c r="L503" s="154"/>
      <c r="M503" s="154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ht="13.5" customHeight="1">
      <c r="A504" s="153"/>
      <c r="B504" s="153"/>
      <c r="C504" s="153"/>
      <c r="D504" s="154"/>
      <c r="E504" s="154"/>
      <c r="F504" s="153"/>
      <c r="G504" s="153"/>
      <c r="H504" s="153"/>
      <c r="I504" s="153"/>
      <c r="J504" s="153"/>
      <c r="K504" s="153"/>
      <c r="L504" s="154"/>
      <c r="M504" s="154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ht="13.5" customHeight="1">
      <c r="A505" s="153"/>
      <c r="B505" s="153"/>
      <c r="C505" s="153"/>
      <c r="D505" s="154"/>
      <c r="E505" s="154"/>
      <c r="F505" s="153"/>
      <c r="G505" s="153"/>
      <c r="H505" s="153"/>
      <c r="I505" s="153"/>
      <c r="J505" s="153"/>
      <c r="K505" s="153"/>
      <c r="L505" s="154"/>
      <c r="M505" s="154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ht="13.5" customHeight="1">
      <c r="A506" s="153"/>
      <c r="B506" s="153"/>
      <c r="C506" s="153"/>
      <c r="D506" s="154"/>
      <c r="E506" s="154"/>
      <c r="F506" s="153"/>
      <c r="G506" s="153"/>
      <c r="H506" s="153"/>
      <c r="I506" s="153"/>
      <c r="J506" s="153"/>
      <c r="K506" s="153"/>
      <c r="L506" s="154"/>
      <c r="M506" s="154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ht="13.5" customHeight="1">
      <c r="A507" s="153"/>
      <c r="B507" s="153"/>
      <c r="C507" s="153"/>
      <c r="D507" s="154"/>
      <c r="E507" s="154"/>
      <c r="F507" s="153"/>
      <c r="G507" s="153"/>
      <c r="H507" s="153"/>
      <c r="I507" s="153"/>
      <c r="J507" s="153"/>
      <c r="K507" s="153"/>
      <c r="L507" s="154"/>
      <c r="M507" s="154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ht="13.5" customHeight="1">
      <c r="A508" s="153"/>
      <c r="B508" s="153"/>
      <c r="C508" s="153"/>
      <c r="D508" s="154"/>
      <c r="E508" s="154"/>
      <c r="F508" s="153"/>
      <c r="G508" s="153"/>
      <c r="H508" s="153"/>
      <c r="I508" s="153"/>
      <c r="J508" s="153"/>
      <c r="K508" s="153"/>
      <c r="L508" s="154"/>
      <c r="M508" s="154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ht="13.5" customHeight="1">
      <c r="A509" s="153"/>
      <c r="B509" s="153"/>
      <c r="C509" s="153"/>
      <c r="D509" s="154"/>
      <c r="E509" s="154"/>
      <c r="F509" s="153"/>
      <c r="G509" s="153"/>
      <c r="H509" s="153"/>
      <c r="I509" s="153"/>
      <c r="J509" s="153"/>
      <c r="K509" s="153"/>
      <c r="L509" s="154"/>
      <c r="M509" s="154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ht="13.5" customHeight="1">
      <c r="A510" s="153"/>
      <c r="B510" s="153"/>
      <c r="C510" s="153"/>
      <c r="D510" s="154"/>
      <c r="E510" s="154"/>
      <c r="F510" s="153"/>
      <c r="G510" s="153"/>
      <c r="H510" s="153"/>
      <c r="I510" s="153"/>
      <c r="J510" s="153"/>
      <c r="K510" s="153"/>
      <c r="L510" s="154"/>
      <c r="M510" s="154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ht="13.5" customHeight="1">
      <c r="A511" s="153"/>
      <c r="B511" s="153"/>
      <c r="C511" s="153"/>
      <c r="D511" s="154"/>
      <c r="E511" s="154"/>
      <c r="F511" s="153"/>
      <c r="G511" s="153"/>
      <c r="H511" s="153"/>
      <c r="I511" s="153"/>
      <c r="J511" s="153"/>
      <c r="K511" s="153"/>
      <c r="L511" s="154"/>
      <c r="M511" s="154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ht="13.5" customHeight="1">
      <c r="A512" s="153"/>
      <c r="B512" s="153"/>
      <c r="C512" s="153"/>
      <c r="D512" s="154"/>
      <c r="E512" s="154"/>
      <c r="F512" s="153"/>
      <c r="G512" s="153"/>
      <c r="H512" s="153"/>
      <c r="I512" s="153"/>
      <c r="J512" s="153"/>
      <c r="K512" s="153"/>
      <c r="L512" s="154"/>
      <c r="M512" s="154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ht="13.5" customHeight="1">
      <c r="A513" s="153"/>
      <c r="B513" s="153"/>
      <c r="C513" s="153"/>
      <c r="D513" s="154"/>
      <c r="E513" s="154"/>
      <c r="F513" s="153"/>
      <c r="G513" s="153"/>
      <c r="H513" s="153"/>
      <c r="I513" s="153"/>
      <c r="J513" s="153"/>
      <c r="K513" s="153"/>
      <c r="L513" s="154"/>
      <c r="M513" s="154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ht="13.5" customHeight="1">
      <c r="A514" s="153"/>
      <c r="B514" s="153"/>
      <c r="C514" s="153"/>
      <c r="D514" s="154"/>
      <c r="E514" s="154"/>
      <c r="F514" s="153"/>
      <c r="G514" s="153"/>
      <c r="H514" s="153"/>
      <c r="I514" s="153"/>
      <c r="J514" s="153"/>
      <c r="K514" s="153"/>
      <c r="L514" s="154"/>
      <c r="M514" s="154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ht="13.5" customHeight="1">
      <c r="A515" s="153"/>
      <c r="B515" s="153"/>
      <c r="C515" s="153"/>
      <c r="D515" s="154"/>
      <c r="E515" s="154"/>
      <c r="F515" s="153"/>
      <c r="G515" s="153"/>
      <c r="H515" s="153"/>
      <c r="I515" s="153"/>
      <c r="J515" s="153"/>
      <c r="K515" s="153"/>
      <c r="L515" s="154"/>
      <c r="M515" s="154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ht="13.5" customHeight="1">
      <c r="A516" s="153"/>
      <c r="B516" s="153"/>
      <c r="C516" s="153"/>
      <c r="D516" s="154"/>
      <c r="E516" s="154"/>
      <c r="F516" s="153"/>
      <c r="G516" s="153"/>
      <c r="H516" s="153"/>
      <c r="I516" s="153"/>
      <c r="J516" s="153"/>
      <c r="K516" s="153"/>
      <c r="L516" s="154"/>
      <c r="M516" s="154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ht="13.5" customHeight="1">
      <c r="A517" s="153"/>
      <c r="B517" s="153"/>
      <c r="C517" s="153"/>
      <c r="D517" s="154"/>
      <c r="E517" s="154"/>
      <c r="F517" s="153"/>
      <c r="G517" s="153"/>
      <c r="H517" s="153"/>
      <c r="I517" s="153"/>
      <c r="J517" s="153"/>
      <c r="K517" s="153"/>
      <c r="L517" s="154"/>
      <c r="M517" s="154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ht="13.5" customHeight="1">
      <c r="A518" s="153"/>
      <c r="B518" s="153"/>
      <c r="C518" s="153"/>
      <c r="D518" s="154"/>
      <c r="E518" s="154"/>
      <c r="F518" s="153"/>
      <c r="G518" s="153"/>
      <c r="H518" s="153"/>
      <c r="I518" s="153"/>
      <c r="J518" s="153"/>
      <c r="K518" s="153"/>
      <c r="L518" s="154"/>
      <c r="M518" s="154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ht="13.5" customHeight="1">
      <c r="A519" s="153"/>
      <c r="B519" s="153"/>
      <c r="C519" s="153"/>
      <c r="D519" s="154"/>
      <c r="E519" s="154"/>
      <c r="F519" s="153"/>
      <c r="G519" s="153"/>
      <c r="H519" s="153"/>
      <c r="I519" s="153"/>
      <c r="J519" s="153"/>
      <c r="K519" s="153"/>
      <c r="L519" s="154"/>
      <c r="M519" s="154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ht="13.5" customHeight="1">
      <c r="A520" s="153"/>
      <c r="B520" s="153"/>
      <c r="C520" s="153"/>
      <c r="D520" s="154"/>
      <c r="E520" s="154"/>
      <c r="F520" s="153"/>
      <c r="G520" s="153"/>
      <c r="H520" s="153"/>
      <c r="I520" s="153"/>
      <c r="J520" s="153"/>
      <c r="K520" s="153"/>
      <c r="L520" s="154"/>
      <c r="M520" s="154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ht="13.5" customHeight="1">
      <c r="A521" s="153"/>
      <c r="B521" s="153"/>
      <c r="C521" s="153"/>
      <c r="D521" s="154"/>
      <c r="E521" s="154"/>
      <c r="F521" s="153"/>
      <c r="G521" s="153"/>
      <c r="H521" s="153"/>
      <c r="I521" s="153"/>
      <c r="J521" s="153"/>
      <c r="K521" s="153"/>
      <c r="L521" s="154"/>
      <c r="M521" s="154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ht="13.5" customHeight="1">
      <c r="A522" s="153"/>
      <c r="B522" s="153"/>
      <c r="C522" s="153"/>
      <c r="D522" s="154"/>
      <c r="E522" s="154"/>
      <c r="F522" s="153"/>
      <c r="G522" s="153"/>
      <c r="H522" s="153"/>
      <c r="I522" s="153"/>
      <c r="J522" s="153"/>
      <c r="K522" s="153"/>
      <c r="L522" s="154"/>
      <c r="M522" s="154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ht="13.5" customHeight="1">
      <c r="A523" s="153"/>
      <c r="B523" s="153"/>
      <c r="C523" s="153"/>
      <c r="D523" s="154"/>
      <c r="E523" s="154"/>
      <c r="F523" s="153"/>
      <c r="G523" s="153"/>
      <c r="H523" s="153"/>
      <c r="I523" s="153"/>
      <c r="J523" s="153"/>
      <c r="K523" s="153"/>
      <c r="L523" s="154"/>
      <c r="M523" s="154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ht="13.5" customHeight="1">
      <c r="A524" s="153"/>
      <c r="B524" s="153"/>
      <c r="C524" s="153"/>
      <c r="D524" s="154"/>
      <c r="E524" s="154"/>
      <c r="F524" s="153"/>
      <c r="G524" s="153"/>
      <c r="H524" s="153"/>
      <c r="I524" s="153"/>
      <c r="J524" s="153"/>
      <c r="K524" s="153"/>
      <c r="L524" s="154"/>
      <c r="M524" s="154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ht="13.5" customHeight="1">
      <c r="A525" s="153"/>
      <c r="B525" s="153"/>
      <c r="C525" s="153"/>
      <c r="D525" s="154"/>
      <c r="E525" s="154"/>
      <c r="F525" s="153"/>
      <c r="G525" s="153"/>
      <c r="H525" s="153"/>
      <c r="I525" s="153"/>
      <c r="J525" s="153"/>
      <c r="K525" s="153"/>
      <c r="L525" s="154"/>
      <c r="M525" s="154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ht="13.5" customHeight="1">
      <c r="A526" s="153"/>
      <c r="B526" s="153"/>
      <c r="C526" s="153"/>
      <c r="D526" s="154"/>
      <c r="E526" s="154"/>
      <c r="F526" s="153"/>
      <c r="G526" s="153"/>
      <c r="H526" s="153"/>
      <c r="I526" s="153"/>
      <c r="J526" s="153"/>
      <c r="K526" s="153"/>
      <c r="L526" s="154"/>
      <c r="M526" s="154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ht="13.5" customHeight="1">
      <c r="A527" s="153"/>
      <c r="B527" s="153"/>
      <c r="C527" s="153"/>
      <c r="D527" s="154"/>
      <c r="E527" s="154"/>
      <c r="F527" s="153"/>
      <c r="G527" s="153"/>
      <c r="H527" s="153"/>
      <c r="I527" s="153"/>
      <c r="J527" s="153"/>
      <c r="K527" s="153"/>
      <c r="L527" s="154"/>
      <c r="M527" s="154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ht="13.5" customHeight="1">
      <c r="A528" s="153"/>
      <c r="B528" s="153"/>
      <c r="C528" s="153"/>
      <c r="D528" s="154"/>
      <c r="E528" s="154"/>
      <c r="F528" s="153"/>
      <c r="G528" s="153"/>
      <c r="H528" s="153"/>
      <c r="I528" s="153"/>
      <c r="J528" s="153"/>
      <c r="K528" s="153"/>
      <c r="L528" s="154"/>
      <c r="M528" s="154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ht="13.5" customHeight="1">
      <c r="A529" s="153"/>
      <c r="B529" s="153"/>
      <c r="C529" s="153"/>
      <c r="D529" s="154"/>
      <c r="E529" s="154"/>
      <c r="F529" s="153"/>
      <c r="G529" s="153"/>
      <c r="H529" s="153"/>
      <c r="I529" s="153"/>
      <c r="J529" s="153"/>
      <c r="K529" s="153"/>
      <c r="L529" s="154"/>
      <c r="M529" s="154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ht="13.5" customHeight="1">
      <c r="A530" s="153"/>
      <c r="B530" s="153"/>
      <c r="C530" s="153"/>
      <c r="D530" s="154"/>
      <c r="E530" s="154"/>
      <c r="F530" s="153"/>
      <c r="G530" s="153"/>
      <c r="H530" s="153"/>
      <c r="I530" s="153"/>
      <c r="J530" s="153"/>
      <c r="K530" s="153"/>
      <c r="L530" s="154"/>
      <c r="M530" s="154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ht="13.5" customHeight="1">
      <c r="A531" s="153"/>
      <c r="B531" s="153"/>
      <c r="C531" s="153"/>
      <c r="D531" s="154"/>
      <c r="E531" s="154"/>
      <c r="F531" s="153"/>
      <c r="G531" s="153"/>
      <c r="H531" s="153"/>
      <c r="I531" s="153"/>
      <c r="J531" s="153"/>
      <c r="K531" s="153"/>
      <c r="L531" s="154"/>
      <c r="M531" s="154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ht="13.5" customHeight="1">
      <c r="A532" s="153"/>
      <c r="B532" s="153"/>
      <c r="C532" s="153"/>
      <c r="D532" s="154"/>
      <c r="E532" s="154"/>
      <c r="F532" s="153"/>
      <c r="G532" s="153"/>
      <c r="H532" s="153"/>
      <c r="I532" s="153"/>
      <c r="J532" s="153"/>
      <c r="K532" s="153"/>
      <c r="L532" s="154"/>
      <c r="M532" s="154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ht="13.5" customHeight="1">
      <c r="A533" s="153"/>
      <c r="B533" s="153"/>
      <c r="C533" s="153"/>
      <c r="D533" s="154"/>
      <c r="E533" s="154"/>
      <c r="F533" s="153"/>
      <c r="G533" s="153"/>
      <c r="H533" s="153"/>
      <c r="I533" s="153"/>
      <c r="J533" s="153"/>
      <c r="K533" s="153"/>
      <c r="L533" s="154"/>
      <c r="M533" s="154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ht="13.5" customHeight="1">
      <c r="A534" s="153"/>
      <c r="B534" s="153"/>
      <c r="C534" s="153"/>
      <c r="D534" s="154"/>
      <c r="E534" s="154"/>
      <c r="F534" s="153"/>
      <c r="G534" s="153"/>
      <c r="H534" s="153"/>
      <c r="I534" s="153"/>
      <c r="J534" s="153"/>
      <c r="K534" s="153"/>
      <c r="L534" s="154"/>
      <c r="M534" s="154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ht="13.5" customHeight="1">
      <c r="A535" s="153"/>
      <c r="B535" s="153"/>
      <c r="C535" s="153"/>
      <c r="D535" s="154"/>
      <c r="E535" s="154"/>
      <c r="F535" s="153"/>
      <c r="G535" s="153"/>
      <c r="H535" s="153"/>
      <c r="I535" s="153"/>
      <c r="J535" s="153"/>
      <c r="K535" s="153"/>
      <c r="L535" s="154"/>
      <c r="M535" s="154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ht="13.5" customHeight="1">
      <c r="A536" s="153"/>
      <c r="B536" s="153"/>
      <c r="C536" s="153"/>
      <c r="D536" s="154"/>
      <c r="E536" s="154"/>
      <c r="F536" s="153"/>
      <c r="G536" s="153"/>
      <c r="H536" s="153"/>
      <c r="I536" s="153"/>
      <c r="J536" s="153"/>
      <c r="K536" s="153"/>
      <c r="L536" s="154"/>
      <c r="M536" s="154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ht="13.5" customHeight="1">
      <c r="A537" s="153"/>
      <c r="B537" s="153"/>
      <c r="C537" s="153"/>
      <c r="D537" s="154"/>
      <c r="E537" s="154"/>
      <c r="F537" s="153"/>
      <c r="G537" s="153"/>
      <c r="H537" s="153"/>
      <c r="I537" s="153"/>
      <c r="J537" s="153"/>
      <c r="K537" s="153"/>
      <c r="L537" s="154"/>
      <c r="M537" s="154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ht="13.5" customHeight="1">
      <c r="A538" s="153"/>
      <c r="B538" s="153"/>
      <c r="C538" s="153"/>
      <c r="D538" s="154"/>
      <c r="E538" s="154"/>
      <c r="F538" s="153"/>
      <c r="G538" s="153"/>
      <c r="H538" s="153"/>
      <c r="I538" s="153"/>
      <c r="J538" s="153"/>
      <c r="K538" s="153"/>
      <c r="L538" s="154"/>
      <c r="M538" s="154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ht="13.5" customHeight="1">
      <c r="A539" s="153"/>
      <c r="B539" s="153"/>
      <c r="C539" s="153"/>
      <c r="D539" s="154"/>
      <c r="E539" s="154"/>
      <c r="F539" s="153"/>
      <c r="G539" s="153"/>
      <c r="H539" s="153"/>
      <c r="I539" s="153"/>
      <c r="J539" s="153"/>
      <c r="K539" s="153"/>
      <c r="L539" s="154"/>
      <c r="M539" s="154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ht="13.5" customHeight="1">
      <c r="A540" s="153"/>
      <c r="B540" s="153"/>
      <c r="C540" s="153"/>
      <c r="D540" s="154"/>
      <c r="E540" s="154"/>
      <c r="F540" s="153"/>
      <c r="G540" s="153"/>
      <c r="H540" s="153"/>
      <c r="I540" s="153"/>
      <c r="J540" s="153"/>
      <c r="K540" s="153"/>
      <c r="L540" s="154"/>
      <c r="M540" s="154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ht="13.5" customHeight="1">
      <c r="A541" s="153"/>
      <c r="B541" s="153"/>
      <c r="C541" s="153"/>
      <c r="D541" s="154"/>
      <c r="E541" s="154"/>
      <c r="F541" s="153"/>
      <c r="G541" s="153"/>
      <c r="H541" s="153"/>
      <c r="I541" s="153"/>
      <c r="J541" s="153"/>
      <c r="K541" s="153"/>
      <c r="L541" s="154"/>
      <c r="M541" s="154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ht="13.5" customHeight="1">
      <c r="A542" s="153"/>
      <c r="B542" s="153"/>
      <c r="C542" s="153"/>
      <c r="D542" s="154"/>
      <c r="E542" s="154"/>
      <c r="F542" s="153"/>
      <c r="G542" s="153"/>
      <c r="H542" s="153"/>
      <c r="I542" s="153"/>
      <c r="J542" s="153"/>
      <c r="K542" s="153"/>
      <c r="L542" s="154"/>
      <c r="M542" s="154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ht="13.5" customHeight="1">
      <c r="A543" s="153"/>
      <c r="B543" s="153"/>
      <c r="C543" s="153"/>
      <c r="D543" s="154"/>
      <c r="E543" s="154"/>
      <c r="F543" s="153"/>
      <c r="G543" s="153"/>
      <c r="H543" s="153"/>
      <c r="I543" s="153"/>
      <c r="J543" s="153"/>
      <c r="K543" s="153"/>
      <c r="L543" s="154"/>
      <c r="M543" s="154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ht="13.5" customHeight="1">
      <c r="A544" s="153"/>
      <c r="B544" s="153"/>
      <c r="C544" s="153"/>
      <c r="D544" s="154"/>
      <c r="E544" s="154"/>
      <c r="F544" s="153"/>
      <c r="G544" s="153"/>
      <c r="H544" s="153"/>
      <c r="I544" s="153"/>
      <c r="J544" s="153"/>
      <c r="K544" s="153"/>
      <c r="L544" s="154"/>
      <c r="M544" s="154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ht="13.5" customHeight="1">
      <c r="A545" s="153"/>
      <c r="B545" s="153"/>
      <c r="C545" s="153"/>
      <c r="D545" s="154"/>
      <c r="E545" s="154"/>
      <c r="F545" s="153"/>
      <c r="G545" s="153"/>
      <c r="H545" s="153"/>
      <c r="I545" s="153"/>
      <c r="J545" s="153"/>
      <c r="K545" s="153"/>
      <c r="L545" s="154"/>
      <c r="M545" s="154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ht="13.5" customHeight="1">
      <c r="A546" s="153"/>
      <c r="B546" s="153"/>
      <c r="C546" s="153"/>
      <c r="D546" s="154"/>
      <c r="E546" s="154"/>
      <c r="F546" s="153"/>
      <c r="G546" s="153"/>
      <c r="H546" s="153"/>
      <c r="I546" s="153"/>
      <c r="J546" s="153"/>
      <c r="K546" s="153"/>
      <c r="L546" s="154"/>
      <c r="M546" s="154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ht="13.5" customHeight="1">
      <c r="A547" s="153"/>
      <c r="B547" s="153"/>
      <c r="C547" s="153"/>
      <c r="D547" s="154"/>
      <c r="E547" s="154"/>
      <c r="F547" s="153"/>
      <c r="G547" s="153"/>
      <c r="H547" s="153"/>
      <c r="I547" s="153"/>
      <c r="J547" s="153"/>
      <c r="K547" s="153"/>
      <c r="L547" s="154"/>
      <c r="M547" s="154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ht="13.5" customHeight="1">
      <c r="A548" s="153"/>
      <c r="B548" s="153"/>
      <c r="C548" s="153"/>
      <c r="D548" s="154"/>
      <c r="E548" s="154"/>
      <c r="F548" s="153"/>
      <c r="G548" s="153"/>
      <c r="H548" s="153"/>
      <c r="I548" s="153"/>
      <c r="J548" s="153"/>
      <c r="K548" s="153"/>
      <c r="L548" s="154"/>
      <c r="M548" s="154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ht="13.5" customHeight="1">
      <c r="A549" s="153"/>
      <c r="B549" s="153"/>
      <c r="C549" s="153"/>
      <c r="D549" s="154"/>
      <c r="E549" s="154"/>
      <c r="F549" s="153"/>
      <c r="G549" s="153"/>
      <c r="H549" s="153"/>
      <c r="I549" s="153"/>
      <c r="J549" s="153"/>
      <c r="K549" s="153"/>
      <c r="L549" s="154"/>
      <c r="M549" s="154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ht="13.5" customHeight="1">
      <c r="A550" s="153"/>
      <c r="B550" s="153"/>
      <c r="C550" s="153"/>
      <c r="D550" s="154"/>
      <c r="E550" s="154"/>
      <c r="F550" s="153"/>
      <c r="G550" s="153"/>
      <c r="H550" s="153"/>
      <c r="I550" s="153"/>
      <c r="J550" s="153"/>
      <c r="K550" s="153"/>
      <c r="L550" s="154"/>
      <c r="M550" s="154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ht="13.5" customHeight="1">
      <c r="A551" s="153"/>
      <c r="B551" s="153"/>
      <c r="C551" s="153"/>
      <c r="D551" s="154"/>
      <c r="E551" s="154"/>
      <c r="F551" s="153"/>
      <c r="G551" s="153"/>
      <c r="H551" s="153"/>
      <c r="I551" s="153"/>
      <c r="J551" s="153"/>
      <c r="K551" s="153"/>
      <c r="L551" s="154"/>
      <c r="M551" s="154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ht="13.5" customHeight="1">
      <c r="A552" s="153"/>
      <c r="B552" s="153"/>
      <c r="C552" s="153"/>
      <c r="D552" s="154"/>
      <c r="E552" s="154"/>
      <c r="F552" s="153"/>
      <c r="G552" s="153"/>
      <c r="H552" s="153"/>
      <c r="I552" s="153"/>
      <c r="J552" s="153"/>
      <c r="K552" s="153"/>
      <c r="L552" s="154"/>
      <c r="M552" s="154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ht="13.5" customHeight="1">
      <c r="A553" s="153"/>
      <c r="B553" s="153"/>
      <c r="C553" s="153"/>
      <c r="D553" s="154"/>
      <c r="E553" s="154"/>
      <c r="F553" s="153"/>
      <c r="G553" s="153"/>
      <c r="H553" s="153"/>
      <c r="I553" s="153"/>
      <c r="J553" s="153"/>
      <c r="K553" s="153"/>
      <c r="L553" s="154"/>
      <c r="M553" s="154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ht="13.5" customHeight="1">
      <c r="A554" s="153"/>
      <c r="B554" s="153"/>
      <c r="C554" s="153"/>
      <c r="D554" s="154"/>
      <c r="E554" s="154"/>
      <c r="F554" s="153"/>
      <c r="G554" s="153"/>
      <c r="H554" s="153"/>
      <c r="I554" s="153"/>
      <c r="J554" s="153"/>
      <c r="K554" s="153"/>
      <c r="L554" s="154"/>
      <c r="M554" s="154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ht="13.5" customHeight="1">
      <c r="A555" s="153"/>
      <c r="B555" s="153"/>
      <c r="C555" s="153"/>
      <c r="D555" s="154"/>
      <c r="E555" s="154"/>
      <c r="F555" s="153"/>
      <c r="G555" s="153"/>
      <c r="H555" s="153"/>
      <c r="I555" s="153"/>
      <c r="J555" s="153"/>
      <c r="K555" s="153"/>
      <c r="L555" s="154"/>
      <c r="M555" s="154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ht="13.5" customHeight="1">
      <c r="A556" s="153"/>
      <c r="B556" s="153"/>
      <c r="C556" s="153"/>
      <c r="D556" s="154"/>
      <c r="E556" s="154"/>
      <c r="F556" s="153"/>
      <c r="G556" s="153"/>
      <c r="H556" s="153"/>
      <c r="I556" s="153"/>
      <c r="J556" s="153"/>
      <c r="K556" s="153"/>
      <c r="L556" s="154"/>
      <c r="M556" s="154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ht="13.5" customHeight="1">
      <c r="A557" s="153"/>
      <c r="B557" s="153"/>
      <c r="C557" s="153"/>
      <c r="D557" s="154"/>
      <c r="E557" s="154"/>
      <c r="F557" s="153"/>
      <c r="G557" s="153"/>
      <c r="H557" s="153"/>
      <c r="I557" s="153"/>
      <c r="J557" s="153"/>
      <c r="K557" s="153"/>
      <c r="L557" s="154"/>
      <c r="M557" s="154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ht="13.5" customHeight="1">
      <c r="A558" s="153"/>
      <c r="B558" s="153"/>
      <c r="C558" s="153"/>
      <c r="D558" s="154"/>
      <c r="E558" s="154"/>
      <c r="F558" s="153"/>
      <c r="G558" s="153"/>
      <c r="H558" s="153"/>
      <c r="I558" s="153"/>
      <c r="J558" s="153"/>
      <c r="K558" s="153"/>
      <c r="L558" s="154"/>
      <c r="M558" s="154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ht="13.5" customHeight="1">
      <c r="A559" s="153"/>
      <c r="B559" s="153"/>
      <c r="C559" s="153"/>
      <c r="D559" s="154"/>
      <c r="E559" s="154"/>
      <c r="F559" s="153"/>
      <c r="G559" s="153"/>
      <c r="H559" s="153"/>
      <c r="I559" s="153"/>
      <c r="J559" s="153"/>
      <c r="K559" s="153"/>
      <c r="L559" s="154"/>
      <c r="M559" s="154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ht="13.5" customHeight="1">
      <c r="A560" s="153"/>
      <c r="B560" s="153"/>
      <c r="C560" s="153"/>
      <c r="D560" s="154"/>
      <c r="E560" s="154"/>
      <c r="F560" s="153"/>
      <c r="G560" s="153"/>
      <c r="H560" s="153"/>
      <c r="I560" s="153"/>
      <c r="J560" s="153"/>
      <c r="K560" s="153"/>
      <c r="L560" s="154"/>
      <c r="M560" s="154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ht="13.5" customHeight="1">
      <c r="A561" s="153"/>
      <c r="B561" s="153"/>
      <c r="C561" s="153"/>
      <c r="D561" s="154"/>
      <c r="E561" s="154"/>
      <c r="F561" s="153"/>
      <c r="G561" s="153"/>
      <c r="H561" s="153"/>
      <c r="I561" s="153"/>
      <c r="J561" s="153"/>
      <c r="K561" s="153"/>
      <c r="L561" s="154"/>
      <c r="M561" s="154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ht="13.5" customHeight="1">
      <c r="A562" s="153"/>
      <c r="B562" s="153"/>
      <c r="C562" s="153"/>
      <c r="D562" s="154"/>
      <c r="E562" s="154"/>
      <c r="F562" s="153"/>
      <c r="G562" s="153"/>
      <c r="H562" s="153"/>
      <c r="I562" s="153"/>
      <c r="J562" s="153"/>
      <c r="K562" s="153"/>
      <c r="L562" s="154"/>
      <c r="M562" s="154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ht="13.5" customHeight="1">
      <c r="A563" s="153"/>
      <c r="B563" s="153"/>
      <c r="C563" s="153"/>
      <c r="D563" s="154"/>
      <c r="E563" s="154"/>
      <c r="F563" s="153"/>
      <c r="G563" s="153"/>
      <c r="H563" s="153"/>
      <c r="I563" s="153"/>
      <c r="J563" s="153"/>
      <c r="K563" s="153"/>
      <c r="L563" s="154"/>
      <c r="M563" s="154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ht="13.5" customHeight="1">
      <c r="A564" s="153"/>
      <c r="B564" s="153"/>
      <c r="C564" s="153"/>
      <c r="D564" s="154"/>
      <c r="E564" s="154"/>
      <c r="F564" s="153"/>
      <c r="G564" s="153"/>
      <c r="H564" s="153"/>
      <c r="I564" s="153"/>
      <c r="J564" s="153"/>
      <c r="K564" s="153"/>
      <c r="L564" s="154"/>
      <c r="M564" s="154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ht="13.5" customHeight="1">
      <c r="A565" s="153"/>
      <c r="B565" s="153"/>
      <c r="C565" s="153"/>
      <c r="D565" s="154"/>
      <c r="E565" s="154"/>
      <c r="F565" s="153"/>
      <c r="G565" s="153"/>
      <c r="H565" s="153"/>
      <c r="I565" s="153"/>
      <c r="J565" s="153"/>
      <c r="K565" s="153"/>
      <c r="L565" s="154"/>
      <c r="M565" s="154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ht="13.5" customHeight="1">
      <c r="A566" s="153"/>
      <c r="B566" s="153"/>
      <c r="C566" s="153"/>
      <c r="D566" s="154"/>
      <c r="E566" s="154"/>
      <c r="F566" s="153"/>
      <c r="G566" s="153"/>
      <c r="H566" s="153"/>
      <c r="I566" s="153"/>
      <c r="J566" s="153"/>
      <c r="K566" s="153"/>
      <c r="L566" s="154"/>
      <c r="M566" s="154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ht="13.5" customHeight="1">
      <c r="A567" s="153"/>
      <c r="B567" s="153"/>
      <c r="C567" s="153"/>
      <c r="D567" s="154"/>
      <c r="E567" s="154"/>
      <c r="F567" s="153"/>
      <c r="G567" s="153"/>
      <c r="H567" s="153"/>
      <c r="I567" s="153"/>
      <c r="J567" s="153"/>
      <c r="K567" s="153"/>
      <c r="L567" s="154"/>
      <c r="M567" s="154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ht="13.5" customHeight="1">
      <c r="A568" s="153"/>
      <c r="B568" s="153"/>
      <c r="C568" s="153"/>
      <c r="D568" s="154"/>
      <c r="E568" s="154"/>
      <c r="F568" s="153"/>
      <c r="G568" s="153"/>
      <c r="H568" s="153"/>
      <c r="I568" s="153"/>
      <c r="J568" s="153"/>
      <c r="K568" s="153"/>
      <c r="L568" s="154"/>
      <c r="M568" s="154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ht="13.5" customHeight="1">
      <c r="A569" s="153"/>
      <c r="B569" s="153"/>
      <c r="C569" s="153"/>
      <c r="D569" s="154"/>
      <c r="E569" s="154"/>
      <c r="F569" s="153"/>
      <c r="G569" s="153"/>
      <c r="H569" s="153"/>
      <c r="I569" s="153"/>
      <c r="J569" s="153"/>
      <c r="K569" s="153"/>
      <c r="L569" s="154"/>
      <c r="M569" s="154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ht="13.5" customHeight="1">
      <c r="A570" s="153"/>
      <c r="B570" s="153"/>
      <c r="C570" s="153"/>
      <c r="D570" s="154"/>
      <c r="E570" s="154"/>
      <c r="F570" s="153"/>
      <c r="G570" s="153"/>
      <c r="H570" s="153"/>
      <c r="I570" s="153"/>
      <c r="J570" s="153"/>
      <c r="K570" s="153"/>
      <c r="L570" s="154"/>
      <c r="M570" s="154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ht="13.5" customHeight="1">
      <c r="A571" s="153"/>
      <c r="B571" s="153"/>
      <c r="C571" s="153"/>
      <c r="D571" s="154"/>
      <c r="E571" s="154"/>
      <c r="F571" s="153"/>
      <c r="G571" s="153"/>
      <c r="H571" s="153"/>
      <c r="I571" s="153"/>
      <c r="J571" s="153"/>
      <c r="K571" s="153"/>
      <c r="L571" s="154"/>
      <c r="M571" s="154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ht="13.5" customHeight="1">
      <c r="A572" s="153"/>
      <c r="B572" s="153"/>
      <c r="C572" s="153"/>
      <c r="D572" s="154"/>
      <c r="E572" s="154"/>
      <c r="F572" s="153"/>
      <c r="G572" s="153"/>
      <c r="H572" s="153"/>
      <c r="I572" s="153"/>
      <c r="J572" s="153"/>
      <c r="K572" s="153"/>
      <c r="L572" s="154"/>
      <c r="M572" s="154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ht="13.5" customHeight="1">
      <c r="A573" s="153"/>
      <c r="B573" s="153"/>
      <c r="C573" s="153"/>
      <c r="D573" s="154"/>
      <c r="E573" s="154"/>
      <c r="F573" s="153"/>
      <c r="G573" s="153"/>
      <c r="H573" s="153"/>
      <c r="I573" s="153"/>
      <c r="J573" s="153"/>
      <c r="K573" s="153"/>
      <c r="L573" s="154"/>
      <c r="M573" s="154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ht="13.5" customHeight="1">
      <c r="A574" s="153"/>
      <c r="B574" s="153"/>
      <c r="C574" s="153"/>
      <c r="D574" s="154"/>
      <c r="E574" s="154"/>
      <c r="F574" s="153"/>
      <c r="G574" s="153"/>
      <c r="H574" s="153"/>
      <c r="I574" s="153"/>
      <c r="J574" s="153"/>
      <c r="K574" s="153"/>
      <c r="L574" s="154"/>
      <c r="M574" s="154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ht="13.5" customHeight="1">
      <c r="A575" s="153"/>
      <c r="B575" s="153"/>
      <c r="C575" s="153"/>
      <c r="D575" s="154"/>
      <c r="E575" s="154"/>
      <c r="F575" s="153"/>
      <c r="G575" s="153"/>
      <c r="H575" s="153"/>
      <c r="I575" s="153"/>
      <c r="J575" s="153"/>
      <c r="K575" s="153"/>
      <c r="L575" s="154"/>
      <c r="M575" s="154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ht="13.5" customHeight="1">
      <c r="A576" s="153"/>
      <c r="B576" s="153"/>
      <c r="C576" s="153"/>
      <c r="D576" s="154"/>
      <c r="E576" s="154"/>
      <c r="F576" s="153"/>
      <c r="G576" s="153"/>
      <c r="H576" s="153"/>
      <c r="I576" s="153"/>
      <c r="J576" s="153"/>
      <c r="K576" s="153"/>
      <c r="L576" s="154"/>
      <c r="M576" s="154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ht="13.5" customHeight="1">
      <c r="A577" s="153"/>
      <c r="B577" s="153"/>
      <c r="C577" s="153"/>
      <c r="D577" s="154"/>
      <c r="E577" s="154"/>
      <c r="F577" s="153"/>
      <c r="G577" s="153"/>
      <c r="H577" s="153"/>
      <c r="I577" s="153"/>
      <c r="J577" s="153"/>
      <c r="K577" s="153"/>
      <c r="L577" s="154"/>
      <c r="M577" s="154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ht="13.5" customHeight="1">
      <c r="A578" s="153"/>
      <c r="B578" s="153"/>
      <c r="C578" s="153"/>
      <c r="D578" s="154"/>
      <c r="E578" s="154"/>
      <c r="F578" s="153"/>
      <c r="G578" s="153"/>
      <c r="H578" s="153"/>
      <c r="I578" s="153"/>
      <c r="J578" s="153"/>
      <c r="K578" s="153"/>
      <c r="L578" s="154"/>
      <c r="M578" s="154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ht="13.5" customHeight="1">
      <c r="A579" s="153"/>
      <c r="B579" s="153"/>
      <c r="C579" s="153"/>
      <c r="D579" s="154"/>
      <c r="E579" s="154"/>
      <c r="F579" s="153"/>
      <c r="G579" s="153"/>
      <c r="H579" s="153"/>
      <c r="I579" s="153"/>
      <c r="J579" s="153"/>
      <c r="K579" s="153"/>
      <c r="L579" s="154"/>
      <c r="M579" s="154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ht="13.5" customHeight="1">
      <c r="A580" s="153"/>
      <c r="B580" s="153"/>
      <c r="C580" s="153"/>
      <c r="D580" s="154"/>
      <c r="E580" s="154"/>
      <c r="F580" s="153"/>
      <c r="G580" s="153"/>
      <c r="H580" s="153"/>
      <c r="I580" s="153"/>
      <c r="J580" s="153"/>
      <c r="K580" s="153"/>
      <c r="L580" s="154"/>
      <c r="M580" s="154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ht="13.5" customHeight="1">
      <c r="A581" s="153"/>
      <c r="B581" s="153"/>
      <c r="C581" s="153"/>
      <c r="D581" s="154"/>
      <c r="E581" s="154"/>
      <c r="F581" s="153"/>
      <c r="G581" s="153"/>
      <c r="H581" s="153"/>
      <c r="I581" s="153"/>
      <c r="J581" s="153"/>
      <c r="K581" s="153"/>
      <c r="L581" s="154"/>
      <c r="M581" s="154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ht="13.5" customHeight="1">
      <c r="A582" s="153"/>
      <c r="B582" s="153"/>
      <c r="C582" s="153"/>
      <c r="D582" s="154"/>
      <c r="E582" s="154"/>
      <c r="F582" s="153"/>
      <c r="G582" s="153"/>
      <c r="H582" s="153"/>
      <c r="I582" s="153"/>
      <c r="J582" s="153"/>
      <c r="K582" s="153"/>
      <c r="L582" s="154"/>
      <c r="M582" s="154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ht="13.5" customHeight="1">
      <c r="A583" s="153"/>
      <c r="B583" s="153"/>
      <c r="C583" s="153"/>
      <c r="D583" s="154"/>
      <c r="E583" s="154"/>
      <c r="F583" s="153"/>
      <c r="G583" s="153"/>
      <c r="H583" s="153"/>
      <c r="I583" s="153"/>
      <c r="J583" s="153"/>
      <c r="K583" s="153"/>
      <c r="L583" s="154"/>
      <c r="M583" s="154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ht="13.5" customHeight="1">
      <c r="A584" s="153"/>
      <c r="B584" s="153"/>
      <c r="C584" s="153"/>
      <c r="D584" s="154"/>
      <c r="E584" s="154"/>
      <c r="F584" s="153"/>
      <c r="G584" s="153"/>
      <c r="H584" s="153"/>
      <c r="I584" s="153"/>
      <c r="J584" s="153"/>
      <c r="K584" s="153"/>
      <c r="L584" s="154"/>
      <c r="M584" s="154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ht="13.5" customHeight="1">
      <c r="A585" s="153"/>
      <c r="B585" s="153"/>
      <c r="C585" s="153"/>
      <c r="D585" s="154"/>
      <c r="E585" s="154"/>
      <c r="F585" s="153"/>
      <c r="G585" s="153"/>
      <c r="H585" s="153"/>
      <c r="I585" s="153"/>
      <c r="J585" s="153"/>
      <c r="K585" s="153"/>
      <c r="L585" s="154"/>
      <c r="M585" s="154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ht="13.5" customHeight="1">
      <c r="A586" s="153"/>
      <c r="B586" s="153"/>
      <c r="C586" s="153"/>
      <c r="D586" s="154"/>
      <c r="E586" s="154"/>
      <c r="F586" s="153"/>
      <c r="G586" s="153"/>
      <c r="H586" s="153"/>
      <c r="I586" s="153"/>
      <c r="J586" s="153"/>
      <c r="K586" s="153"/>
      <c r="L586" s="154"/>
      <c r="M586" s="154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ht="13.5" customHeight="1">
      <c r="A587" s="153"/>
      <c r="B587" s="153"/>
      <c r="C587" s="153"/>
      <c r="D587" s="154"/>
      <c r="E587" s="154"/>
      <c r="F587" s="153"/>
      <c r="G587" s="153"/>
      <c r="H587" s="153"/>
      <c r="I587" s="153"/>
      <c r="J587" s="153"/>
      <c r="K587" s="153"/>
      <c r="L587" s="154"/>
      <c r="M587" s="154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ht="13.5" customHeight="1">
      <c r="A588" s="153"/>
      <c r="B588" s="153"/>
      <c r="C588" s="153"/>
      <c r="D588" s="154"/>
      <c r="E588" s="154"/>
      <c r="F588" s="153"/>
      <c r="G588" s="153"/>
      <c r="H588" s="153"/>
      <c r="I588" s="153"/>
      <c r="J588" s="153"/>
      <c r="K588" s="153"/>
      <c r="L588" s="154"/>
      <c r="M588" s="154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ht="13.5" customHeight="1">
      <c r="A589" s="153"/>
      <c r="B589" s="153"/>
      <c r="C589" s="153"/>
      <c r="D589" s="154"/>
      <c r="E589" s="154"/>
      <c r="F589" s="153"/>
      <c r="G589" s="153"/>
      <c r="H589" s="153"/>
      <c r="I589" s="153"/>
      <c r="J589" s="153"/>
      <c r="K589" s="153"/>
      <c r="L589" s="154"/>
      <c r="M589" s="154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ht="13.5" customHeight="1">
      <c r="A590" s="153"/>
      <c r="B590" s="153"/>
      <c r="C590" s="153"/>
      <c r="D590" s="154"/>
      <c r="E590" s="154"/>
      <c r="F590" s="153"/>
      <c r="G590" s="153"/>
      <c r="H590" s="153"/>
      <c r="I590" s="153"/>
      <c r="J590" s="153"/>
      <c r="K590" s="153"/>
      <c r="L590" s="154"/>
      <c r="M590" s="154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ht="13.5" customHeight="1">
      <c r="A591" s="153"/>
      <c r="B591" s="153"/>
      <c r="C591" s="153"/>
      <c r="D591" s="154"/>
      <c r="E591" s="154"/>
      <c r="F591" s="153"/>
      <c r="G591" s="153"/>
      <c r="H591" s="153"/>
      <c r="I591" s="153"/>
      <c r="J591" s="153"/>
      <c r="K591" s="153"/>
      <c r="L591" s="154"/>
      <c r="M591" s="154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ht="13.5" customHeight="1">
      <c r="A592" s="153"/>
      <c r="B592" s="153"/>
      <c r="C592" s="153"/>
      <c r="D592" s="154"/>
      <c r="E592" s="154"/>
      <c r="F592" s="153"/>
      <c r="G592" s="153"/>
      <c r="H592" s="153"/>
      <c r="I592" s="153"/>
      <c r="J592" s="153"/>
      <c r="K592" s="153"/>
      <c r="L592" s="154"/>
      <c r="M592" s="154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ht="13.5" customHeight="1">
      <c r="A593" s="153"/>
      <c r="B593" s="153"/>
      <c r="C593" s="153"/>
      <c r="D593" s="154"/>
      <c r="E593" s="154"/>
      <c r="F593" s="153"/>
      <c r="G593" s="153"/>
      <c r="H593" s="153"/>
      <c r="I593" s="153"/>
      <c r="J593" s="153"/>
      <c r="K593" s="153"/>
      <c r="L593" s="154"/>
      <c r="M593" s="154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ht="13.5" customHeight="1">
      <c r="A594" s="153"/>
      <c r="B594" s="153"/>
      <c r="C594" s="153"/>
      <c r="D594" s="154"/>
      <c r="E594" s="154"/>
      <c r="F594" s="153"/>
      <c r="G594" s="153"/>
      <c r="H594" s="153"/>
      <c r="I594" s="153"/>
      <c r="J594" s="153"/>
      <c r="K594" s="153"/>
      <c r="L594" s="154"/>
      <c r="M594" s="154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ht="13.5" customHeight="1">
      <c r="A595" s="153"/>
      <c r="B595" s="153"/>
      <c r="C595" s="153"/>
      <c r="D595" s="154"/>
      <c r="E595" s="154"/>
      <c r="F595" s="153"/>
      <c r="G595" s="153"/>
      <c r="H595" s="153"/>
      <c r="I595" s="153"/>
      <c r="J595" s="153"/>
      <c r="K595" s="153"/>
      <c r="L595" s="154"/>
      <c r="M595" s="154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ht="13.5" customHeight="1">
      <c r="A596" s="153"/>
      <c r="B596" s="153"/>
      <c r="C596" s="153"/>
      <c r="D596" s="154"/>
      <c r="E596" s="154"/>
      <c r="F596" s="153"/>
      <c r="G596" s="153"/>
      <c r="H596" s="153"/>
      <c r="I596" s="153"/>
      <c r="J596" s="153"/>
      <c r="K596" s="153"/>
      <c r="L596" s="154"/>
      <c r="M596" s="154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ht="13.5" customHeight="1">
      <c r="A597" s="153"/>
      <c r="B597" s="153"/>
      <c r="C597" s="153"/>
      <c r="D597" s="154"/>
      <c r="E597" s="154"/>
      <c r="F597" s="153"/>
      <c r="G597" s="153"/>
      <c r="H597" s="153"/>
      <c r="I597" s="153"/>
      <c r="J597" s="153"/>
      <c r="K597" s="153"/>
      <c r="L597" s="154"/>
      <c r="M597" s="154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ht="13.5" customHeight="1">
      <c r="A598" s="153"/>
      <c r="B598" s="153"/>
      <c r="C598" s="153"/>
      <c r="D598" s="154"/>
      <c r="E598" s="154"/>
      <c r="F598" s="153"/>
      <c r="G598" s="153"/>
      <c r="H598" s="153"/>
      <c r="I598" s="153"/>
      <c r="J598" s="153"/>
      <c r="K598" s="153"/>
      <c r="L598" s="154"/>
      <c r="M598" s="154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ht="13.5" customHeight="1">
      <c r="A599" s="153"/>
      <c r="B599" s="153"/>
      <c r="C599" s="153"/>
      <c r="D599" s="154"/>
      <c r="E599" s="154"/>
      <c r="F599" s="153"/>
      <c r="G599" s="153"/>
      <c r="H599" s="153"/>
      <c r="I599" s="153"/>
      <c r="J599" s="153"/>
      <c r="K599" s="153"/>
      <c r="L599" s="154"/>
      <c r="M599" s="154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ht="13.5" customHeight="1">
      <c r="A600" s="153"/>
      <c r="B600" s="153"/>
      <c r="C600" s="153"/>
      <c r="D600" s="154"/>
      <c r="E600" s="154"/>
      <c r="F600" s="153"/>
      <c r="G600" s="153"/>
      <c r="H600" s="153"/>
      <c r="I600" s="153"/>
      <c r="J600" s="153"/>
      <c r="K600" s="153"/>
      <c r="L600" s="154"/>
      <c r="M600" s="154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ht="13.5" customHeight="1">
      <c r="A601" s="153"/>
      <c r="B601" s="153"/>
      <c r="C601" s="153"/>
      <c r="D601" s="154"/>
      <c r="E601" s="154"/>
      <c r="F601" s="153"/>
      <c r="G601" s="153"/>
      <c r="H601" s="153"/>
      <c r="I601" s="153"/>
      <c r="J601" s="153"/>
      <c r="K601" s="153"/>
      <c r="L601" s="154"/>
      <c r="M601" s="154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ht="13.5" customHeight="1">
      <c r="A602" s="153"/>
      <c r="B602" s="153"/>
      <c r="C602" s="153"/>
      <c r="D602" s="154"/>
      <c r="E602" s="154"/>
      <c r="F602" s="153"/>
      <c r="G602" s="153"/>
      <c r="H602" s="153"/>
      <c r="I602" s="153"/>
      <c r="J602" s="153"/>
      <c r="K602" s="153"/>
      <c r="L602" s="154"/>
      <c r="M602" s="154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ht="13.5" customHeight="1">
      <c r="A603" s="153"/>
      <c r="B603" s="153"/>
      <c r="C603" s="153"/>
      <c r="D603" s="154"/>
      <c r="E603" s="154"/>
      <c r="F603" s="153"/>
      <c r="G603" s="153"/>
      <c r="H603" s="153"/>
      <c r="I603" s="153"/>
      <c r="J603" s="153"/>
      <c r="K603" s="153"/>
      <c r="L603" s="154"/>
      <c r="M603" s="154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ht="13.5" customHeight="1">
      <c r="A604" s="153"/>
      <c r="B604" s="153"/>
      <c r="C604" s="153"/>
      <c r="D604" s="154"/>
      <c r="E604" s="154"/>
      <c r="F604" s="153"/>
      <c r="G604" s="153"/>
      <c r="H604" s="153"/>
      <c r="I604" s="153"/>
      <c r="J604" s="153"/>
      <c r="K604" s="153"/>
      <c r="L604" s="154"/>
      <c r="M604" s="154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ht="13.5" customHeight="1">
      <c r="A605" s="153"/>
      <c r="B605" s="153"/>
      <c r="C605" s="153"/>
      <c r="D605" s="154"/>
      <c r="E605" s="154"/>
      <c r="F605" s="153"/>
      <c r="G605" s="153"/>
      <c r="H605" s="153"/>
      <c r="I605" s="153"/>
      <c r="J605" s="153"/>
      <c r="K605" s="153"/>
      <c r="L605" s="154"/>
      <c r="M605" s="154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ht="13.5" customHeight="1">
      <c r="A606" s="153"/>
      <c r="B606" s="153"/>
      <c r="C606" s="153"/>
      <c r="D606" s="154"/>
      <c r="E606" s="154"/>
      <c r="F606" s="153"/>
      <c r="G606" s="153"/>
      <c r="H606" s="153"/>
      <c r="I606" s="153"/>
      <c r="J606" s="153"/>
      <c r="K606" s="153"/>
      <c r="L606" s="154"/>
      <c r="M606" s="154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ht="13.5" customHeight="1">
      <c r="A607" s="153"/>
      <c r="B607" s="153"/>
      <c r="C607" s="153"/>
      <c r="D607" s="154"/>
      <c r="E607" s="154"/>
      <c r="F607" s="153"/>
      <c r="G607" s="153"/>
      <c r="H607" s="153"/>
      <c r="I607" s="153"/>
      <c r="J607" s="153"/>
      <c r="K607" s="153"/>
      <c r="L607" s="154"/>
      <c r="M607" s="154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ht="13.5" customHeight="1">
      <c r="A608" s="153"/>
      <c r="B608" s="153"/>
      <c r="C608" s="153"/>
      <c r="D608" s="154"/>
      <c r="E608" s="154"/>
      <c r="F608" s="153"/>
      <c r="G608" s="153"/>
      <c r="H608" s="153"/>
      <c r="I608" s="153"/>
      <c r="J608" s="153"/>
      <c r="K608" s="153"/>
      <c r="L608" s="154"/>
      <c r="M608" s="154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ht="13.5" customHeight="1">
      <c r="A609" s="153"/>
      <c r="B609" s="153"/>
      <c r="C609" s="153"/>
      <c r="D609" s="154"/>
      <c r="E609" s="154"/>
      <c r="F609" s="153"/>
      <c r="G609" s="153"/>
      <c r="H609" s="153"/>
      <c r="I609" s="153"/>
      <c r="J609" s="153"/>
      <c r="K609" s="153"/>
      <c r="L609" s="154"/>
      <c r="M609" s="154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ht="13.5" customHeight="1">
      <c r="A610" s="153"/>
      <c r="B610" s="153"/>
      <c r="C610" s="153"/>
      <c r="D610" s="154"/>
      <c r="E610" s="154"/>
      <c r="F610" s="153"/>
      <c r="G610" s="153"/>
      <c r="H610" s="153"/>
      <c r="I610" s="153"/>
      <c r="J610" s="153"/>
      <c r="K610" s="153"/>
      <c r="L610" s="154"/>
      <c r="M610" s="154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ht="13.5" customHeight="1">
      <c r="A611" s="153"/>
      <c r="B611" s="153"/>
      <c r="C611" s="153"/>
      <c r="D611" s="154"/>
      <c r="E611" s="154"/>
      <c r="F611" s="153"/>
      <c r="G611" s="153"/>
      <c r="H611" s="153"/>
      <c r="I611" s="153"/>
      <c r="J611" s="153"/>
      <c r="K611" s="153"/>
      <c r="L611" s="154"/>
      <c r="M611" s="154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ht="13.5" customHeight="1">
      <c r="A612" s="153"/>
      <c r="B612" s="153"/>
      <c r="C612" s="153"/>
      <c r="D612" s="154"/>
      <c r="E612" s="154"/>
      <c r="F612" s="153"/>
      <c r="G612" s="153"/>
      <c r="H612" s="153"/>
      <c r="I612" s="153"/>
      <c r="J612" s="153"/>
      <c r="K612" s="153"/>
      <c r="L612" s="154"/>
      <c r="M612" s="154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ht="13.5" customHeight="1">
      <c r="A613" s="153"/>
      <c r="B613" s="153"/>
      <c r="C613" s="153"/>
      <c r="D613" s="154"/>
      <c r="E613" s="154"/>
      <c r="F613" s="153"/>
      <c r="G613" s="153"/>
      <c r="H613" s="153"/>
      <c r="I613" s="153"/>
      <c r="J613" s="153"/>
      <c r="K613" s="153"/>
      <c r="L613" s="154"/>
      <c r="M613" s="154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ht="13.5" customHeight="1">
      <c r="A614" s="153"/>
      <c r="B614" s="153"/>
      <c r="C614" s="153"/>
      <c r="D614" s="154"/>
      <c r="E614" s="154"/>
      <c r="F614" s="153"/>
      <c r="G614" s="153"/>
      <c r="H614" s="153"/>
      <c r="I614" s="153"/>
      <c r="J614" s="153"/>
      <c r="K614" s="153"/>
      <c r="L614" s="154"/>
      <c r="M614" s="154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ht="13.5" customHeight="1">
      <c r="A615" s="153"/>
      <c r="B615" s="153"/>
      <c r="C615" s="153"/>
      <c r="D615" s="154"/>
      <c r="E615" s="154"/>
      <c r="F615" s="153"/>
      <c r="G615" s="153"/>
      <c r="H615" s="153"/>
      <c r="I615" s="153"/>
      <c r="J615" s="153"/>
      <c r="K615" s="153"/>
      <c r="L615" s="154"/>
      <c r="M615" s="154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ht="13.5" customHeight="1">
      <c r="A616" s="153"/>
      <c r="B616" s="153"/>
      <c r="C616" s="153"/>
      <c r="D616" s="154"/>
      <c r="E616" s="154"/>
      <c r="F616" s="153"/>
      <c r="G616" s="153"/>
      <c r="H616" s="153"/>
      <c r="I616" s="153"/>
      <c r="J616" s="153"/>
      <c r="K616" s="153"/>
      <c r="L616" s="154"/>
      <c r="M616" s="154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ht="13.5" customHeight="1">
      <c r="A617" s="153"/>
      <c r="B617" s="153"/>
      <c r="C617" s="153"/>
      <c r="D617" s="154"/>
      <c r="E617" s="154"/>
      <c r="F617" s="153"/>
      <c r="G617" s="153"/>
      <c r="H617" s="153"/>
      <c r="I617" s="153"/>
      <c r="J617" s="153"/>
      <c r="K617" s="153"/>
      <c r="L617" s="154"/>
      <c r="M617" s="154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ht="13.5" customHeight="1">
      <c r="A618" s="153"/>
      <c r="B618" s="153"/>
      <c r="C618" s="153"/>
      <c r="D618" s="154"/>
      <c r="E618" s="154"/>
      <c r="F618" s="153"/>
      <c r="G618" s="153"/>
      <c r="H618" s="153"/>
      <c r="I618" s="153"/>
      <c r="J618" s="153"/>
      <c r="K618" s="153"/>
      <c r="L618" s="154"/>
      <c r="M618" s="154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ht="13.5" customHeight="1">
      <c r="A619" s="153"/>
      <c r="B619" s="153"/>
      <c r="C619" s="153"/>
      <c r="D619" s="154"/>
      <c r="E619" s="154"/>
      <c r="F619" s="153"/>
      <c r="G619" s="153"/>
      <c r="H619" s="153"/>
      <c r="I619" s="153"/>
      <c r="J619" s="153"/>
      <c r="K619" s="153"/>
      <c r="L619" s="154"/>
      <c r="M619" s="154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ht="13.5" customHeight="1">
      <c r="A620" s="153"/>
      <c r="B620" s="153"/>
      <c r="C620" s="153"/>
      <c r="D620" s="154"/>
      <c r="E620" s="154"/>
      <c r="F620" s="153"/>
      <c r="G620" s="153"/>
      <c r="H620" s="153"/>
      <c r="I620" s="153"/>
      <c r="J620" s="153"/>
      <c r="K620" s="153"/>
      <c r="L620" s="154"/>
      <c r="M620" s="154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ht="13.5" customHeight="1">
      <c r="A621" s="153"/>
      <c r="B621" s="153"/>
      <c r="C621" s="153"/>
      <c r="D621" s="154"/>
      <c r="E621" s="154"/>
      <c r="F621" s="153"/>
      <c r="G621" s="153"/>
      <c r="H621" s="153"/>
      <c r="I621" s="153"/>
      <c r="J621" s="153"/>
      <c r="K621" s="153"/>
      <c r="L621" s="154"/>
      <c r="M621" s="154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ht="13.5" customHeight="1">
      <c r="A622" s="153"/>
      <c r="B622" s="153"/>
      <c r="C622" s="153"/>
      <c r="D622" s="154"/>
      <c r="E622" s="154"/>
      <c r="F622" s="153"/>
      <c r="G622" s="153"/>
      <c r="H622" s="153"/>
      <c r="I622" s="153"/>
      <c r="J622" s="153"/>
      <c r="K622" s="153"/>
      <c r="L622" s="154"/>
      <c r="M622" s="154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ht="13.5" customHeight="1">
      <c r="A623" s="153"/>
      <c r="B623" s="153"/>
      <c r="C623" s="153"/>
      <c r="D623" s="154"/>
      <c r="E623" s="154"/>
      <c r="F623" s="153"/>
      <c r="G623" s="153"/>
      <c r="H623" s="153"/>
      <c r="I623" s="153"/>
      <c r="J623" s="153"/>
      <c r="K623" s="153"/>
      <c r="L623" s="154"/>
      <c r="M623" s="154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ht="13.5" customHeight="1">
      <c r="A624" s="153"/>
      <c r="B624" s="153"/>
      <c r="C624" s="153"/>
      <c r="D624" s="154"/>
      <c r="E624" s="154"/>
      <c r="F624" s="153"/>
      <c r="G624" s="153"/>
      <c r="H624" s="153"/>
      <c r="I624" s="153"/>
      <c r="J624" s="153"/>
      <c r="K624" s="153"/>
      <c r="L624" s="154"/>
      <c r="M624" s="154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ht="13.5" customHeight="1">
      <c r="A625" s="153"/>
      <c r="B625" s="153"/>
      <c r="C625" s="153"/>
      <c r="D625" s="154"/>
      <c r="E625" s="154"/>
      <c r="F625" s="153"/>
      <c r="G625" s="153"/>
      <c r="H625" s="153"/>
      <c r="I625" s="153"/>
      <c r="J625" s="153"/>
      <c r="K625" s="153"/>
      <c r="L625" s="154"/>
      <c r="M625" s="154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ht="13.5" customHeight="1">
      <c r="A626" s="153"/>
      <c r="B626" s="153"/>
      <c r="C626" s="153"/>
      <c r="D626" s="154"/>
      <c r="E626" s="154"/>
      <c r="F626" s="153"/>
      <c r="G626" s="153"/>
      <c r="H626" s="153"/>
      <c r="I626" s="153"/>
      <c r="J626" s="153"/>
      <c r="K626" s="153"/>
      <c r="L626" s="154"/>
      <c r="M626" s="154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ht="13.5" customHeight="1">
      <c r="A627" s="153"/>
      <c r="B627" s="153"/>
      <c r="C627" s="153"/>
      <c r="D627" s="154"/>
      <c r="E627" s="154"/>
      <c r="F627" s="153"/>
      <c r="G627" s="153"/>
      <c r="H627" s="153"/>
      <c r="I627" s="153"/>
      <c r="J627" s="153"/>
      <c r="K627" s="153"/>
      <c r="L627" s="154"/>
      <c r="M627" s="154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ht="13.5" customHeight="1">
      <c r="A628" s="153"/>
      <c r="B628" s="153"/>
      <c r="C628" s="153"/>
      <c r="D628" s="154"/>
      <c r="E628" s="154"/>
      <c r="F628" s="153"/>
      <c r="G628" s="153"/>
      <c r="H628" s="153"/>
      <c r="I628" s="153"/>
      <c r="J628" s="153"/>
      <c r="K628" s="153"/>
      <c r="L628" s="154"/>
      <c r="M628" s="154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ht="13.5" customHeight="1">
      <c r="A629" s="153"/>
      <c r="B629" s="153"/>
      <c r="C629" s="153"/>
      <c r="D629" s="154"/>
      <c r="E629" s="154"/>
      <c r="F629" s="153"/>
      <c r="G629" s="153"/>
      <c r="H629" s="153"/>
      <c r="I629" s="153"/>
      <c r="J629" s="153"/>
      <c r="K629" s="153"/>
      <c r="L629" s="154"/>
      <c r="M629" s="154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ht="13.5" customHeight="1">
      <c r="A630" s="153"/>
      <c r="B630" s="153"/>
      <c r="C630" s="153"/>
      <c r="D630" s="154"/>
      <c r="E630" s="154"/>
      <c r="F630" s="153"/>
      <c r="G630" s="153"/>
      <c r="H630" s="153"/>
      <c r="I630" s="153"/>
      <c r="J630" s="153"/>
      <c r="K630" s="153"/>
      <c r="L630" s="154"/>
      <c r="M630" s="154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ht="13.5" customHeight="1">
      <c r="A631" s="153"/>
      <c r="B631" s="153"/>
      <c r="C631" s="153"/>
      <c r="D631" s="154"/>
      <c r="E631" s="154"/>
      <c r="F631" s="153"/>
      <c r="G631" s="153"/>
      <c r="H631" s="153"/>
      <c r="I631" s="153"/>
      <c r="J631" s="153"/>
      <c r="K631" s="153"/>
      <c r="L631" s="154"/>
      <c r="M631" s="154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ht="13.5" customHeight="1">
      <c r="A632" s="153"/>
      <c r="B632" s="153"/>
      <c r="C632" s="153"/>
      <c r="D632" s="154"/>
      <c r="E632" s="154"/>
      <c r="F632" s="153"/>
      <c r="G632" s="153"/>
      <c r="H632" s="153"/>
      <c r="I632" s="153"/>
      <c r="J632" s="153"/>
      <c r="K632" s="153"/>
      <c r="L632" s="154"/>
      <c r="M632" s="154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ht="13.5" customHeight="1">
      <c r="A633" s="153"/>
      <c r="B633" s="153"/>
      <c r="C633" s="153"/>
      <c r="D633" s="154"/>
      <c r="E633" s="154"/>
      <c r="F633" s="153"/>
      <c r="G633" s="153"/>
      <c r="H633" s="153"/>
      <c r="I633" s="153"/>
      <c r="J633" s="153"/>
      <c r="K633" s="153"/>
      <c r="L633" s="154"/>
      <c r="M633" s="154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ht="13.5" customHeight="1">
      <c r="A634" s="153"/>
      <c r="B634" s="153"/>
      <c r="C634" s="153"/>
      <c r="D634" s="154"/>
      <c r="E634" s="154"/>
      <c r="F634" s="153"/>
      <c r="G634" s="153"/>
      <c r="H634" s="153"/>
      <c r="I634" s="153"/>
      <c r="J634" s="153"/>
      <c r="K634" s="153"/>
      <c r="L634" s="154"/>
      <c r="M634" s="154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ht="13.5" customHeight="1">
      <c r="A635" s="153"/>
      <c r="B635" s="153"/>
      <c r="C635" s="153"/>
      <c r="D635" s="154"/>
      <c r="E635" s="154"/>
      <c r="F635" s="153"/>
      <c r="G635" s="153"/>
      <c r="H635" s="153"/>
      <c r="I635" s="153"/>
      <c r="J635" s="153"/>
      <c r="K635" s="153"/>
      <c r="L635" s="154"/>
      <c r="M635" s="154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ht="13.5" customHeight="1">
      <c r="A636" s="153"/>
      <c r="B636" s="153"/>
      <c r="C636" s="153"/>
      <c r="D636" s="154"/>
      <c r="E636" s="154"/>
      <c r="F636" s="153"/>
      <c r="G636" s="153"/>
      <c r="H636" s="153"/>
      <c r="I636" s="153"/>
      <c r="J636" s="153"/>
      <c r="K636" s="153"/>
      <c r="L636" s="154"/>
      <c r="M636" s="154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ht="13.5" customHeight="1">
      <c r="A637" s="153"/>
      <c r="B637" s="153"/>
      <c r="C637" s="153"/>
      <c r="D637" s="154"/>
      <c r="E637" s="154"/>
      <c r="F637" s="153"/>
      <c r="G637" s="153"/>
      <c r="H637" s="153"/>
      <c r="I637" s="153"/>
      <c r="J637" s="153"/>
      <c r="K637" s="153"/>
      <c r="L637" s="154"/>
      <c r="M637" s="154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ht="13.5" customHeight="1">
      <c r="A638" s="153"/>
      <c r="B638" s="153"/>
      <c r="C638" s="153"/>
      <c r="D638" s="154"/>
      <c r="E638" s="154"/>
      <c r="F638" s="153"/>
      <c r="G638" s="153"/>
      <c r="H638" s="153"/>
      <c r="I638" s="153"/>
      <c r="J638" s="153"/>
      <c r="K638" s="153"/>
      <c r="L638" s="154"/>
      <c r="M638" s="154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ht="13.5" customHeight="1">
      <c r="A639" s="153"/>
      <c r="B639" s="153"/>
      <c r="C639" s="153"/>
      <c r="D639" s="154"/>
      <c r="E639" s="154"/>
      <c r="F639" s="153"/>
      <c r="G639" s="153"/>
      <c r="H639" s="153"/>
      <c r="I639" s="153"/>
      <c r="J639" s="153"/>
      <c r="K639" s="153"/>
      <c r="L639" s="154"/>
      <c r="M639" s="154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ht="13.5" customHeight="1">
      <c r="A640" s="153"/>
      <c r="B640" s="153"/>
      <c r="C640" s="153"/>
      <c r="D640" s="154"/>
      <c r="E640" s="154"/>
      <c r="F640" s="153"/>
      <c r="G640" s="153"/>
      <c r="H640" s="153"/>
      <c r="I640" s="153"/>
      <c r="J640" s="153"/>
      <c r="K640" s="153"/>
      <c r="L640" s="154"/>
      <c r="M640" s="154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ht="13.5" customHeight="1">
      <c r="A641" s="153"/>
      <c r="B641" s="153"/>
      <c r="C641" s="153"/>
      <c r="D641" s="154"/>
      <c r="E641" s="154"/>
      <c r="F641" s="153"/>
      <c r="G641" s="153"/>
      <c r="H641" s="153"/>
      <c r="I641" s="153"/>
      <c r="J641" s="153"/>
      <c r="K641" s="153"/>
      <c r="L641" s="154"/>
      <c r="M641" s="154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ht="13.5" customHeight="1">
      <c r="A642" s="153"/>
      <c r="B642" s="153"/>
      <c r="C642" s="153"/>
      <c r="D642" s="154"/>
      <c r="E642" s="154"/>
      <c r="F642" s="153"/>
      <c r="G642" s="153"/>
      <c r="H642" s="153"/>
      <c r="I642" s="153"/>
      <c r="J642" s="153"/>
      <c r="K642" s="153"/>
      <c r="L642" s="154"/>
      <c r="M642" s="154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ht="13.5" customHeight="1">
      <c r="A643" s="153"/>
      <c r="B643" s="153"/>
      <c r="C643" s="153"/>
      <c r="D643" s="154"/>
      <c r="E643" s="154"/>
      <c r="F643" s="153"/>
      <c r="G643" s="153"/>
      <c r="H643" s="153"/>
      <c r="I643" s="153"/>
      <c r="J643" s="153"/>
      <c r="K643" s="153"/>
      <c r="L643" s="154"/>
      <c r="M643" s="154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ht="13.5" customHeight="1">
      <c r="A644" s="153"/>
      <c r="B644" s="153"/>
      <c r="C644" s="153"/>
      <c r="D644" s="154"/>
      <c r="E644" s="154"/>
      <c r="F644" s="153"/>
      <c r="G644" s="153"/>
      <c r="H644" s="153"/>
      <c r="I644" s="153"/>
      <c r="J644" s="153"/>
      <c r="K644" s="153"/>
      <c r="L644" s="154"/>
      <c r="M644" s="154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ht="13.5" customHeight="1">
      <c r="A645" s="153"/>
      <c r="B645" s="153"/>
      <c r="C645" s="153"/>
      <c r="D645" s="154"/>
      <c r="E645" s="154"/>
      <c r="F645" s="153"/>
      <c r="G645" s="153"/>
      <c r="H645" s="153"/>
      <c r="I645" s="153"/>
      <c r="J645" s="153"/>
      <c r="K645" s="153"/>
      <c r="L645" s="154"/>
      <c r="M645" s="154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ht="13.5" customHeight="1">
      <c r="A646" s="153"/>
      <c r="B646" s="153"/>
      <c r="C646" s="153"/>
      <c r="D646" s="154"/>
      <c r="E646" s="154"/>
      <c r="F646" s="153"/>
      <c r="G646" s="153"/>
      <c r="H646" s="153"/>
      <c r="I646" s="153"/>
      <c r="J646" s="153"/>
      <c r="K646" s="153"/>
      <c r="L646" s="154"/>
      <c r="M646" s="154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ht="13.5" customHeight="1">
      <c r="A647" s="153"/>
      <c r="B647" s="153"/>
      <c r="C647" s="153"/>
      <c r="D647" s="154"/>
      <c r="E647" s="154"/>
      <c r="F647" s="153"/>
      <c r="G647" s="153"/>
      <c r="H647" s="153"/>
      <c r="I647" s="153"/>
      <c r="J647" s="153"/>
      <c r="K647" s="153"/>
      <c r="L647" s="154"/>
      <c r="M647" s="154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ht="13.5" customHeight="1">
      <c r="A648" s="153"/>
      <c r="B648" s="153"/>
      <c r="C648" s="153"/>
      <c r="D648" s="154"/>
      <c r="E648" s="154"/>
      <c r="F648" s="153"/>
      <c r="G648" s="153"/>
      <c r="H648" s="153"/>
      <c r="I648" s="153"/>
      <c r="J648" s="153"/>
      <c r="K648" s="153"/>
      <c r="L648" s="154"/>
      <c r="M648" s="154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ht="13.5" customHeight="1">
      <c r="A649" s="153"/>
      <c r="B649" s="153"/>
      <c r="C649" s="153"/>
      <c r="D649" s="154"/>
      <c r="E649" s="154"/>
      <c r="F649" s="153"/>
      <c r="G649" s="153"/>
      <c r="H649" s="153"/>
      <c r="I649" s="153"/>
      <c r="J649" s="153"/>
      <c r="K649" s="153"/>
      <c r="L649" s="154"/>
      <c r="M649" s="154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ht="13.5" customHeight="1">
      <c r="A650" s="153"/>
      <c r="B650" s="153"/>
      <c r="C650" s="153"/>
      <c r="D650" s="154"/>
      <c r="E650" s="154"/>
      <c r="F650" s="153"/>
      <c r="G650" s="153"/>
      <c r="H650" s="153"/>
      <c r="I650" s="153"/>
      <c r="J650" s="153"/>
      <c r="K650" s="153"/>
      <c r="L650" s="154"/>
      <c r="M650" s="154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ht="13.5" customHeight="1">
      <c r="A651" s="153"/>
      <c r="B651" s="153"/>
      <c r="C651" s="153"/>
      <c r="D651" s="154"/>
      <c r="E651" s="154"/>
      <c r="F651" s="153"/>
      <c r="G651" s="153"/>
      <c r="H651" s="153"/>
      <c r="I651" s="153"/>
      <c r="J651" s="153"/>
      <c r="K651" s="153"/>
      <c r="L651" s="154"/>
      <c r="M651" s="154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ht="13.5" customHeight="1">
      <c r="A652" s="153"/>
      <c r="B652" s="153"/>
      <c r="C652" s="153"/>
      <c r="D652" s="154"/>
      <c r="E652" s="154"/>
      <c r="F652" s="153"/>
      <c r="G652" s="153"/>
      <c r="H652" s="153"/>
      <c r="I652" s="153"/>
      <c r="J652" s="153"/>
      <c r="K652" s="153"/>
      <c r="L652" s="154"/>
      <c r="M652" s="154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ht="13.5" customHeight="1">
      <c r="A653" s="153"/>
      <c r="B653" s="153"/>
      <c r="C653" s="153"/>
      <c r="D653" s="154"/>
      <c r="E653" s="154"/>
      <c r="F653" s="153"/>
      <c r="G653" s="153"/>
      <c r="H653" s="153"/>
      <c r="I653" s="153"/>
      <c r="J653" s="153"/>
      <c r="K653" s="153"/>
      <c r="L653" s="154"/>
      <c r="M653" s="154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ht="13.5" customHeight="1">
      <c r="A654" s="153"/>
      <c r="B654" s="153"/>
      <c r="C654" s="153"/>
      <c r="D654" s="154"/>
      <c r="E654" s="154"/>
      <c r="F654" s="153"/>
      <c r="G654" s="153"/>
      <c r="H654" s="153"/>
      <c r="I654" s="153"/>
      <c r="J654" s="153"/>
      <c r="K654" s="153"/>
      <c r="L654" s="154"/>
      <c r="M654" s="154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ht="13.5" customHeight="1">
      <c r="A655" s="153"/>
      <c r="B655" s="153"/>
      <c r="C655" s="153"/>
      <c r="D655" s="154"/>
      <c r="E655" s="154"/>
      <c r="F655" s="153"/>
      <c r="G655" s="153"/>
      <c r="H655" s="153"/>
      <c r="I655" s="153"/>
      <c r="J655" s="153"/>
      <c r="K655" s="153"/>
      <c r="L655" s="154"/>
      <c r="M655" s="154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ht="13.5" customHeight="1">
      <c r="A656" s="153"/>
      <c r="B656" s="153"/>
      <c r="C656" s="153"/>
      <c r="D656" s="154"/>
      <c r="E656" s="154"/>
      <c r="F656" s="153"/>
      <c r="G656" s="153"/>
      <c r="H656" s="153"/>
      <c r="I656" s="153"/>
      <c r="J656" s="153"/>
      <c r="K656" s="153"/>
      <c r="L656" s="154"/>
      <c r="M656" s="154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ht="13.5" customHeight="1">
      <c r="A657" s="153"/>
      <c r="B657" s="153"/>
      <c r="C657" s="153"/>
      <c r="D657" s="154"/>
      <c r="E657" s="154"/>
      <c r="F657" s="153"/>
      <c r="G657" s="153"/>
      <c r="H657" s="153"/>
      <c r="I657" s="153"/>
      <c r="J657" s="153"/>
      <c r="K657" s="153"/>
      <c r="L657" s="154"/>
      <c r="M657" s="154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ht="13.5" customHeight="1">
      <c r="A658" s="153"/>
      <c r="B658" s="153"/>
      <c r="C658" s="153"/>
      <c r="D658" s="154"/>
      <c r="E658" s="154"/>
      <c r="F658" s="153"/>
      <c r="G658" s="153"/>
      <c r="H658" s="153"/>
      <c r="I658" s="153"/>
      <c r="J658" s="153"/>
      <c r="K658" s="153"/>
      <c r="L658" s="154"/>
      <c r="M658" s="154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ht="13.5" customHeight="1">
      <c r="A659" s="153"/>
      <c r="B659" s="153"/>
      <c r="C659" s="153"/>
      <c r="D659" s="154"/>
      <c r="E659" s="154"/>
      <c r="F659" s="153"/>
      <c r="G659" s="153"/>
      <c r="H659" s="153"/>
      <c r="I659" s="153"/>
      <c r="J659" s="153"/>
      <c r="K659" s="153"/>
      <c r="L659" s="154"/>
      <c r="M659" s="154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ht="13.5" customHeight="1">
      <c r="A660" s="153"/>
      <c r="B660" s="153"/>
      <c r="C660" s="153"/>
      <c r="D660" s="154"/>
      <c r="E660" s="154"/>
      <c r="F660" s="153"/>
      <c r="G660" s="153"/>
      <c r="H660" s="153"/>
      <c r="I660" s="153"/>
      <c r="J660" s="153"/>
      <c r="K660" s="153"/>
      <c r="L660" s="154"/>
      <c r="M660" s="154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ht="13.5" customHeight="1">
      <c r="A661" s="153"/>
      <c r="B661" s="153"/>
      <c r="C661" s="153"/>
      <c r="D661" s="154"/>
      <c r="E661" s="154"/>
      <c r="F661" s="153"/>
      <c r="G661" s="153"/>
      <c r="H661" s="153"/>
      <c r="I661" s="153"/>
      <c r="J661" s="153"/>
      <c r="K661" s="153"/>
      <c r="L661" s="154"/>
      <c r="M661" s="154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ht="13.5" customHeight="1">
      <c r="A662" s="153"/>
      <c r="B662" s="153"/>
      <c r="C662" s="153"/>
      <c r="D662" s="154"/>
      <c r="E662" s="154"/>
      <c r="F662" s="153"/>
      <c r="G662" s="153"/>
      <c r="H662" s="153"/>
      <c r="I662" s="153"/>
      <c r="J662" s="153"/>
      <c r="K662" s="153"/>
      <c r="L662" s="154"/>
      <c r="M662" s="154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ht="13.5" customHeight="1">
      <c r="A663" s="153"/>
      <c r="B663" s="153"/>
      <c r="C663" s="153"/>
      <c r="D663" s="154"/>
      <c r="E663" s="154"/>
      <c r="F663" s="153"/>
      <c r="G663" s="153"/>
      <c r="H663" s="153"/>
      <c r="I663" s="153"/>
      <c r="J663" s="153"/>
      <c r="K663" s="153"/>
      <c r="L663" s="154"/>
      <c r="M663" s="154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ht="13.5" customHeight="1">
      <c r="A664" s="153"/>
      <c r="B664" s="153"/>
      <c r="C664" s="153"/>
      <c r="D664" s="154"/>
      <c r="E664" s="154"/>
      <c r="F664" s="153"/>
      <c r="G664" s="153"/>
      <c r="H664" s="153"/>
      <c r="I664" s="153"/>
      <c r="J664" s="153"/>
      <c r="K664" s="153"/>
      <c r="L664" s="154"/>
      <c r="M664" s="154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ht="13.5" customHeight="1">
      <c r="A665" s="153"/>
      <c r="B665" s="153"/>
      <c r="C665" s="153"/>
      <c r="D665" s="154"/>
      <c r="E665" s="154"/>
      <c r="F665" s="153"/>
      <c r="G665" s="153"/>
      <c r="H665" s="153"/>
      <c r="I665" s="153"/>
      <c r="J665" s="153"/>
      <c r="K665" s="153"/>
      <c r="L665" s="154"/>
      <c r="M665" s="154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ht="13.5" customHeight="1">
      <c r="A666" s="153"/>
      <c r="B666" s="153"/>
      <c r="C666" s="153"/>
      <c r="D666" s="154"/>
      <c r="E666" s="154"/>
      <c r="F666" s="153"/>
      <c r="G666" s="153"/>
      <c r="H666" s="153"/>
      <c r="I666" s="153"/>
      <c r="J666" s="153"/>
      <c r="K666" s="153"/>
      <c r="L666" s="154"/>
      <c r="M666" s="154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ht="13.5" customHeight="1">
      <c r="A667" s="153"/>
      <c r="B667" s="153"/>
      <c r="C667" s="153"/>
      <c r="D667" s="154"/>
      <c r="E667" s="154"/>
      <c r="F667" s="153"/>
      <c r="G667" s="153"/>
      <c r="H667" s="153"/>
      <c r="I667" s="153"/>
      <c r="J667" s="153"/>
      <c r="K667" s="153"/>
      <c r="L667" s="154"/>
      <c r="M667" s="154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ht="13.5" customHeight="1">
      <c r="A668" s="153"/>
      <c r="B668" s="153"/>
      <c r="C668" s="153"/>
      <c r="D668" s="154"/>
      <c r="E668" s="154"/>
      <c r="F668" s="153"/>
      <c r="G668" s="153"/>
      <c r="H668" s="153"/>
      <c r="I668" s="153"/>
      <c r="J668" s="153"/>
      <c r="K668" s="153"/>
      <c r="L668" s="154"/>
      <c r="M668" s="154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ht="13.5" customHeight="1">
      <c r="A669" s="153"/>
      <c r="B669" s="153"/>
      <c r="C669" s="153"/>
      <c r="D669" s="154"/>
      <c r="E669" s="154"/>
      <c r="F669" s="153"/>
      <c r="G669" s="153"/>
      <c r="H669" s="153"/>
      <c r="I669" s="153"/>
      <c r="J669" s="153"/>
      <c r="K669" s="153"/>
      <c r="L669" s="154"/>
      <c r="M669" s="154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ht="13.5" customHeight="1">
      <c r="A670" s="153"/>
      <c r="B670" s="153"/>
      <c r="C670" s="153"/>
      <c r="D670" s="154"/>
      <c r="E670" s="154"/>
      <c r="F670" s="153"/>
      <c r="G670" s="153"/>
      <c r="H670" s="153"/>
      <c r="I670" s="153"/>
      <c r="J670" s="153"/>
      <c r="K670" s="153"/>
      <c r="L670" s="154"/>
      <c r="M670" s="154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ht="13.5" customHeight="1">
      <c r="A671" s="153"/>
      <c r="B671" s="153"/>
      <c r="C671" s="153"/>
      <c r="D671" s="154"/>
      <c r="E671" s="154"/>
      <c r="F671" s="153"/>
      <c r="G671" s="153"/>
      <c r="H671" s="153"/>
      <c r="I671" s="153"/>
      <c r="J671" s="153"/>
      <c r="K671" s="153"/>
      <c r="L671" s="154"/>
      <c r="M671" s="154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ht="13.5" customHeight="1">
      <c r="A672" s="153"/>
      <c r="B672" s="153"/>
      <c r="C672" s="153"/>
      <c r="D672" s="154"/>
      <c r="E672" s="154"/>
      <c r="F672" s="153"/>
      <c r="G672" s="153"/>
      <c r="H672" s="153"/>
      <c r="I672" s="153"/>
      <c r="J672" s="153"/>
      <c r="K672" s="153"/>
      <c r="L672" s="154"/>
      <c r="M672" s="154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ht="13.5" customHeight="1">
      <c r="A673" s="153"/>
      <c r="B673" s="153"/>
      <c r="C673" s="153"/>
      <c r="D673" s="154"/>
      <c r="E673" s="154"/>
      <c r="F673" s="153"/>
      <c r="G673" s="153"/>
      <c r="H673" s="153"/>
      <c r="I673" s="153"/>
      <c r="J673" s="153"/>
      <c r="K673" s="153"/>
      <c r="L673" s="154"/>
      <c r="M673" s="154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ht="13.5" customHeight="1">
      <c r="A674" s="153"/>
      <c r="B674" s="153"/>
      <c r="C674" s="153"/>
      <c r="D674" s="154"/>
      <c r="E674" s="154"/>
      <c r="F674" s="153"/>
      <c r="G674" s="153"/>
      <c r="H674" s="153"/>
      <c r="I674" s="153"/>
      <c r="J674" s="153"/>
      <c r="K674" s="153"/>
      <c r="L674" s="154"/>
      <c r="M674" s="154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ht="13.5" customHeight="1">
      <c r="A675" s="153"/>
      <c r="B675" s="153"/>
      <c r="C675" s="153"/>
      <c r="D675" s="154"/>
      <c r="E675" s="154"/>
      <c r="F675" s="153"/>
      <c r="G675" s="153"/>
      <c r="H675" s="153"/>
      <c r="I675" s="153"/>
      <c r="J675" s="153"/>
      <c r="K675" s="153"/>
      <c r="L675" s="154"/>
      <c r="M675" s="154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ht="13.5" customHeight="1">
      <c r="A676" s="153"/>
      <c r="B676" s="153"/>
      <c r="C676" s="153"/>
      <c r="D676" s="154"/>
      <c r="E676" s="154"/>
      <c r="F676" s="153"/>
      <c r="G676" s="153"/>
      <c r="H676" s="153"/>
      <c r="I676" s="153"/>
      <c r="J676" s="153"/>
      <c r="K676" s="153"/>
      <c r="L676" s="154"/>
      <c r="M676" s="154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ht="13.5" customHeight="1">
      <c r="A677" s="153"/>
      <c r="B677" s="153"/>
      <c r="C677" s="153"/>
      <c r="D677" s="154"/>
      <c r="E677" s="154"/>
      <c r="F677" s="153"/>
      <c r="G677" s="153"/>
      <c r="H677" s="153"/>
      <c r="I677" s="153"/>
      <c r="J677" s="153"/>
      <c r="K677" s="153"/>
      <c r="L677" s="154"/>
      <c r="M677" s="154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ht="13.5" customHeight="1">
      <c r="A678" s="153"/>
      <c r="B678" s="153"/>
      <c r="C678" s="153"/>
      <c r="D678" s="154"/>
      <c r="E678" s="154"/>
      <c r="F678" s="153"/>
      <c r="G678" s="153"/>
      <c r="H678" s="153"/>
      <c r="I678" s="153"/>
      <c r="J678" s="153"/>
      <c r="K678" s="153"/>
      <c r="L678" s="154"/>
      <c r="M678" s="154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ht="13.5" customHeight="1">
      <c r="A679" s="153"/>
      <c r="B679" s="153"/>
      <c r="C679" s="153"/>
      <c r="D679" s="154"/>
      <c r="E679" s="154"/>
      <c r="F679" s="153"/>
      <c r="G679" s="153"/>
      <c r="H679" s="153"/>
      <c r="I679" s="153"/>
      <c r="J679" s="153"/>
      <c r="K679" s="153"/>
      <c r="L679" s="154"/>
      <c r="M679" s="154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ht="13.5" customHeight="1">
      <c r="A680" s="153"/>
      <c r="B680" s="153"/>
      <c r="C680" s="153"/>
      <c r="D680" s="154"/>
      <c r="E680" s="154"/>
      <c r="F680" s="153"/>
      <c r="G680" s="153"/>
      <c r="H680" s="153"/>
      <c r="I680" s="153"/>
      <c r="J680" s="153"/>
      <c r="K680" s="153"/>
      <c r="L680" s="154"/>
      <c r="M680" s="154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ht="13.5" customHeight="1">
      <c r="A681" s="153"/>
      <c r="B681" s="153"/>
      <c r="C681" s="153"/>
      <c r="D681" s="154"/>
      <c r="E681" s="154"/>
      <c r="F681" s="153"/>
      <c r="G681" s="153"/>
      <c r="H681" s="153"/>
      <c r="I681" s="153"/>
      <c r="J681" s="153"/>
      <c r="K681" s="153"/>
      <c r="L681" s="154"/>
      <c r="M681" s="154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ht="13.5" customHeight="1">
      <c r="A682" s="153"/>
      <c r="B682" s="153"/>
      <c r="C682" s="153"/>
      <c r="D682" s="154"/>
      <c r="E682" s="154"/>
      <c r="F682" s="153"/>
      <c r="G682" s="153"/>
      <c r="H682" s="153"/>
      <c r="I682" s="153"/>
      <c r="J682" s="153"/>
      <c r="K682" s="153"/>
      <c r="L682" s="154"/>
      <c r="M682" s="154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ht="13.5" customHeight="1">
      <c r="A683" s="153"/>
      <c r="B683" s="153"/>
      <c r="C683" s="153"/>
      <c r="D683" s="154"/>
      <c r="E683" s="154"/>
      <c r="F683" s="153"/>
      <c r="G683" s="153"/>
      <c r="H683" s="153"/>
      <c r="I683" s="153"/>
      <c r="J683" s="153"/>
      <c r="K683" s="153"/>
      <c r="L683" s="154"/>
      <c r="M683" s="154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ht="13.5" customHeight="1">
      <c r="A684" s="153"/>
      <c r="B684" s="153"/>
      <c r="C684" s="153"/>
      <c r="D684" s="154"/>
      <c r="E684" s="154"/>
      <c r="F684" s="153"/>
      <c r="G684" s="153"/>
      <c r="H684" s="153"/>
      <c r="I684" s="153"/>
      <c r="J684" s="153"/>
      <c r="K684" s="153"/>
      <c r="L684" s="154"/>
      <c r="M684" s="154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ht="13.5" customHeight="1">
      <c r="A685" s="153"/>
      <c r="B685" s="153"/>
      <c r="C685" s="153"/>
      <c r="D685" s="154"/>
      <c r="E685" s="154"/>
      <c r="F685" s="153"/>
      <c r="G685" s="153"/>
      <c r="H685" s="153"/>
      <c r="I685" s="153"/>
      <c r="J685" s="153"/>
      <c r="K685" s="153"/>
      <c r="L685" s="154"/>
      <c r="M685" s="154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ht="13.5" customHeight="1">
      <c r="A686" s="153"/>
      <c r="B686" s="153"/>
      <c r="C686" s="153"/>
      <c r="D686" s="154"/>
      <c r="E686" s="154"/>
      <c r="F686" s="153"/>
      <c r="G686" s="153"/>
      <c r="H686" s="153"/>
      <c r="I686" s="153"/>
      <c r="J686" s="153"/>
      <c r="K686" s="153"/>
      <c r="L686" s="154"/>
      <c r="M686" s="154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ht="13.5" customHeight="1">
      <c r="A687" s="153"/>
      <c r="B687" s="153"/>
      <c r="C687" s="153"/>
      <c r="D687" s="154"/>
      <c r="E687" s="154"/>
      <c r="F687" s="153"/>
      <c r="G687" s="153"/>
      <c r="H687" s="153"/>
      <c r="I687" s="153"/>
      <c r="J687" s="153"/>
      <c r="K687" s="153"/>
      <c r="L687" s="154"/>
      <c r="M687" s="154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ht="13.5" customHeight="1">
      <c r="A688" s="153"/>
      <c r="B688" s="153"/>
      <c r="C688" s="153"/>
      <c r="D688" s="154"/>
      <c r="E688" s="154"/>
      <c r="F688" s="153"/>
      <c r="G688" s="153"/>
      <c r="H688" s="153"/>
      <c r="I688" s="153"/>
      <c r="J688" s="153"/>
      <c r="K688" s="153"/>
      <c r="L688" s="154"/>
      <c r="M688" s="154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ht="13.5" customHeight="1">
      <c r="A689" s="153"/>
      <c r="B689" s="153"/>
      <c r="C689" s="153"/>
      <c r="D689" s="154"/>
      <c r="E689" s="154"/>
      <c r="F689" s="153"/>
      <c r="G689" s="153"/>
      <c r="H689" s="153"/>
      <c r="I689" s="153"/>
      <c r="J689" s="153"/>
      <c r="K689" s="153"/>
      <c r="L689" s="154"/>
      <c r="M689" s="154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ht="13.5" customHeight="1">
      <c r="A690" s="153"/>
      <c r="B690" s="153"/>
      <c r="C690" s="153"/>
      <c r="D690" s="154"/>
      <c r="E690" s="154"/>
      <c r="F690" s="153"/>
      <c r="G690" s="153"/>
      <c r="H690" s="153"/>
      <c r="I690" s="153"/>
      <c r="J690" s="153"/>
      <c r="K690" s="153"/>
      <c r="L690" s="154"/>
      <c r="M690" s="154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ht="13.5" customHeight="1">
      <c r="A691" s="153"/>
      <c r="B691" s="153"/>
      <c r="C691" s="153"/>
      <c r="D691" s="154"/>
      <c r="E691" s="154"/>
      <c r="F691" s="153"/>
      <c r="G691" s="153"/>
      <c r="H691" s="153"/>
      <c r="I691" s="153"/>
      <c r="J691" s="153"/>
      <c r="K691" s="153"/>
      <c r="L691" s="154"/>
      <c r="M691" s="154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ht="13.5" customHeight="1">
      <c r="A692" s="153"/>
      <c r="B692" s="153"/>
      <c r="C692" s="153"/>
      <c r="D692" s="154"/>
      <c r="E692" s="154"/>
      <c r="F692" s="153"/>
      <c r="G692" s="153"/>
      <c r="H692" s="153"/>
      <c r="I692" s="153"/>
      <c r="J692" s="153"/>
      <c r="K692" s="153"/>
      <c r="L692" s="154"/>
      <c r="M692" s="154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ht="13.5" customHeight="1">
      <c r="A693" s="153"/>
      <c r="B693" s="153"/>
      <c r="C693" s="153"/>
      <c r="D693" s="154"/>
      <c r="E693" s="154"/>
      <c r="F693" s="153"/>
      <c r="G693" s="153"/>
      <c r="H693" s="153"/>
      <c r="I693" s="153"/>
      <c r="J693" s="153"/>
      <c r="K693" s="153"/>
      <c r="L693" s="154"/>
      <c r="M693" s="154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ht="13.5" customHeight="1">
      <c r="A694" s="153"/>
      <c r="B694" s="153"/>
      <c r="C694" s="153"/>
      <c r="D694" s="154"/>
      <c r="E694" s="154"/>
      <c r="F694" s="153"/>
      <c r="G694" s="153"/>
      <c r="H694" s="153"/>
      <c r="I694" s="153"/>
      <c r="J694" s="153"/>
      <c r="K694" s="153"/>
      <c r="L694" s="154"/>
      <c r="M694" s="154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ht="13.5" customHeight="1">
      <c r="A695" s="153"/>
      <c r="B695" s="153"/>
      <c r="C695" s="153"/>
      <c r="D695" s="154"/>
      <c r="E695" s="154"/>
      <c r="F695" s="153"/>
      <c r="G695" s="153"/>
      <c r="H695" s="153"/>
      <c r="I695" s="153"/>
      <c r="J695" s="153"/>
      <c r="K695" s="153"/>
      <c r="L695" s="154"/>
      <c r="M695" s="154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ht="13.5" customHeight="1">
      <c r="A696" s="153"/>
      <c r="B696" s="153"/>
      <c r="C696" s="153"/>
      <c r="D696" s="154"/>
      <c r="E696" s="154"/>
      <c r="F696" s="153"/>
      <c r="G696" s="153"/>
      <c r="H696" s="153"/>
      <c r="I696" s="153"/>
      <c r="J696" s="153"/>
      <c r="K696" s="153"/>
      <c r="L696" s="154"/>
      <c r="M696" s="154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ht="13.5" customHeight="1">
      <c r="A697" s="153"/>
      <c r="B697" s="153"/>
      <c r="C697" s="153"/>
      <c r="D697" s="154"/>
      <c r="E697" s="154"/>
      <c r="F697" s="153"/>
      <c r="G697" s="153"/>
      <c r="H697" s="153"/>
      <c r="I697" s="153"/>
      <c r="J697" s="153"/>
      <c r="K697" s="153"/>
      <c r="L697" s="154"/>
      <c r="M697" s="154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ht="13.5" customHeight="1">
      <c r="A698" s="153"/>
      <c r="B698" s="153"/>
      <c r="C698" s="153"/>
      <c r="D698" s="154"/>
      <c r="E698" s="154"/>
      <c r="F698" s="153"/>
      <c r="G698" s="153"/>
      <c r="H698" s="153"/>
      <c r="I698" s="153"/>
      <c r="J698" s="153"/>
      <c r="K698" s="153"/>
      <c r="L698" s="154"/>
      <c r="M698" s="154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ht="13.5" customHeight="1">
      <c r="A699" s="153"/>
      <c r="B699" s="153"/>
      <c r="C699" s="153"/>
      <c r="D699" s="154"/>
      <c r="E699" s="154"/>
      <c r="F699" s="153"/>
      <c r="G699" s="153"/>
      <c r="H699" s="153"/>
      <c r="I699" s="153"/>
      <c r="J699" s="153"/>
      <c r="K699" s="153"/>
      <c r="L699" s="154"/>
      <c r="M699" s="154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ht="13.5" customHeight="1">
      <c r="A700" s="153"/>
      <c r="B700" s="153"/>
      <c r="C700" s="153"/>
      <c r="D700" s="154"/>
      <c r="E700" s="154"/>
      <c r="F700" s="153"/>
      <c r="G700" s="153"/>
      <c r="H700" s="153"/>
      <c r="I700" s="153"/>
      <c r="J700" s="153"/>
      <c r="K700" s="153"/>
      <c r="L700" s="154"/>
      <c r="M700" s="154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ht="13.5" customHeight="1">
      <c r="A701" s="153"/>
      <c r="B701" s="153"/>
      <c r="C701" s="153"/>
      <c r="D701" s="154"/>
      <c r="E701" s="154"/>
      <c r="F701" s="153"/>
      <c r="G701" s="153"/>
      <c r="H701" s="153"/>
      <c r="I701" s="153"/>
      <c r="J701" s="153"/>
      <c r="K701" s="153"/>
      <c r="L701" s="154"/>
      <c r="M701" s="154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ht="13.5" customHeight="1">
      <c r="A702" s="153"/>
      <c r="B702" s="153"/>
      <c r="C702" s="153"/>
      <c r="D702" s="154"/>
      <c r="E702" s="154"/>
      <c r="F702" s="153"/>
      <c r="G702" s="153"/>
      <c r="H702" s="153"/>
      <c r="I702" s="153"/>
      <c r="J702" s="153"/>
      <c r="K702" s="153"/>
      <c r="L702" s="154"/>
      <c r="M702" s="154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ht="13.5" customHeight="1">
      <c r="A703" s="153"/>
      <c r="B703" s="153"/>
      <c r="C703" s="153"/>
      <c r="D703" s="154"/>
      <c r="E703" s="154"/>
      <c r="F703" s="153"/>
      <c r="G703" s="153"/>
      <c r="H703" s="153"/>
      <c r="I703" s="153"/>
      <c r="J703" s="153"/>
      <c r="K703" s="153"/>
      <c r="L703" s="154"/>
      <c r="M703" s="154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ht="13.5" customHeight="1">
      <c r="A704" s="153"/>
      <c r="B704" s="153"/>
      <c r="C704" s="153"/>
      <c r="D704" s="154"/>
      <c r="E704" s="154"/>
      <c r="F704" s="153"/>
      <c r="G704" s="153"/>
      <c r="H704" s="153"/>
      <c r="I704" s="153"/>
      <c r="J704" s="153"/>
      <c r="K704" s="153"/>
      <c r="L704" s="154"/>
      <c r="M704" s="154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ht="13.5" customHeight="1">
      <c r="A705" s="153"/>
      <c r="B705" s="153"/>
      <c r="C705" s="153"/>
      <c r="D705" s="154"/>
      <c r="E705" s="154"/>
      <c r="F705" s="153"/>
      <c r="G705" s="153"/>
      <c r="H705" s="153"/>
      <c r="I705" s="153"/>
      <c r="J705" s="153"/>
      <c r="K705" s="153"/>
      <c r="L705" s="154"/>
      <c r="M705" s="154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ht="13.5" customHeight="1">
      <c r="A706" s="153"/>
      <c r="B706" s="153"/>
      <c r="C706" s="153"/>
      <c r="D706" s="154"/>
      <c r="E706" s="154"/>
      <c r="F706" s="153"/>
      <c r="G706" s="153"/>
      <c r="H706" s="153"/>
      <c r="I706" s="153"/>
      <c r="J706" s="153"/>
      <c r="K706" s="153"/>
      <c r="L706" s="154"/>
      <c r="M706" s="154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ht="13.5" customHeight="1">
      <c r="A707" s="153"/>
      <c r="B707" s="153"/>
      <c r="C707" s="153"/>
      <c r="D707" s="154"/>
      <c r="E707" s="154"/>
      <c r="F707" s="153"/>
      <c r="G707" s="153"/>
      <c r="H707" s="153"/>
      <c r="I707" s="153"/>
      <c r="J707" s="153"/>
      <c r="K707" s="153"/>
      <c r="L707" s="154"/>
      <c r="M707" s="154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ht="13.5" customHeight="1">
      <c r="A708" s="153"/>
      <c r="B708" s="153"/>
      <c r="C708" s="153"/>
      <c r="D708" s="154"/>
      <c r="E708" s="154"/>
      <c r="F708" s="153"/>
      <c r="G708" s="153"/>
      <c r="H708" s="153"/>
      <c r="I708" s="153"/>
      <c r="J708" s="153"/>
      <c r="K708" s="153"/>
      <c r="L708" s="154"/>
      <c r="M708" s="154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ht="13.5" customHeight="1">
      <c r="A709" s="153"/>
      <c r="B709" s="153"/>
      <c r="C709" s="153"/>
      <c r="D709" s="154"/>
      <c r="E709" s="154"/>
      <c r="F709" s="153"/>
      <c r="G709" s="153"/>
      <c r="H709" s="153"/>
      <c r="I709" s="153"/>
      <c r="J709" s="153"/>
      <c r="K709" s="153"/>
      <c r="L709" s="154"/>
      <c r="M709" s="154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ht="13.5" customHeight="1">
      <c r="A710" s="153"/>
      <c r="B710" s="153"/>
      <c r="C710" s="153"/>
      <c r="D710" s="154"/>
      <c r="E710" s="154"/>
      <c r="F710" s="153"/>
      <c r="G710" s="153"/>
      <c r="H710" s="153"/>
      <c r="I710" s="153"/>
      <c r="J710" s="153"/>
      <c r="K710" s="153"/>
      <c r="L710" s="154"/>
      <c r="M710" s="154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ht="13.5" customHeight="1">
      <c r="A711" s="153"/>
      <c r="B711" s="153"/>
      <c r="C711" s="153"/>
      <c r="D711" s="154"/>
      <c r="E711" s="154"/>
      <c r="F711" s="153"/>
      <c r="G711" s="153"/>
      <c r="H711" s="153"/>
      <c r="I711" s="153"/>
      <c r="J711" s="153"/>
      <c r="K711" s="153"/>
      <c r="L711" s="154"/>
      <c r="M711" s="154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ht="13.5" customHeight="1">
      <c r="A712" s="153"/>
      <c r="B712" s="153"/>
      <c r="C712" s="153"/>
      <c r="D712" s="154"/>
      <c r="E712" s="154"/>
      <c r="F712" s="153"/>
      <c r="G712" s="153"/>
      <c r="H712" s="153"/>
      <c r="I712" s="153"/>
      <c r="J712" s="153"/>
      <c r="K712" s="153"/>
      <c r="L712" s="154"/>
      <c r="M712" s="154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ht="13.5" customHeight="1">
      <c r="A713" s="153"/>
      <c r="B713" s="153"/>
      <c r="C713" s="153"/>
      <c r="D713" s="154"/>
      <c r="E713" s="154"/>
      <c r="F713" s="153"/>
      <c r="G713" s="153"/>
      <c r="H713" s="153"/>
      <c r="I713" s="153"/>
      <c r="J713" s="153"/>
      <c r="K713" s="153"/>
      <c r="L713" s="154"/>
      <c r="M713" s="154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ht="13.5" customHeight="1">
      <c r="A714" s="153"/>
      <c r="B714" s="153"/>
      <c r="C714" s="153"/>
      <c r="D714" s="154"/>
      <c r="E714" s="154"/>
      <c r="F714" s="153"/>
      <c r="G714" s="153"/>
      <c r="H714" s="153"/>
      <c r="I714" s="153"/>
      <c r="J714" s="153"/>
      <c r="K714" s="153"/>
      <c r="L714" s="154"/>
      <c r="M714" s="154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ht="13.5" customHeight="1">
      <c r="A715" s="153"/>
      <c r="B715" s="153"/>
      <c r="C715" s="153"/>
      <c r="D715" s="154"/>
      <c r="E715" s="154"/>
      <c r="F715" s="153"/>
      <c r="G715" s="153"/>
      <c r="H715" s="153"/>
      <c r="I715" s="153"/>
      <c r="J715" s="153"/>
      <c r="K715" s="153"/>
      <c r="L715" s="154"/>
      <c r="M715" s="154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ht="13.5" customHeight="1">
      <c r="A716" s="153"/>
      <c r="B716" s="153"/>
      <c r="C716" s="153"/>
      <c r="D716" s="154"/>
      <c r="E716" s="154"/>
      <c r="F716" s="153"/>
      <c r="G716" s="153"/>
      <c r="H716" s="153"/>
      <c r="I716" s="153"/>
      <c r="J716" s="153"/>
      <c r="K716" s="153"/>
      <c r="L716" s="154"/>
      <c r="M716" s="154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ht="13.5" customHeight="1">
      <c r="A717" s="153"/>
      <c r="B717" s="153"/>
      <c r="C717" s="153"/>
      <c r="D717" s="154"/>
      <c r="E717" s="154"/>
      <c r="F717" s="153"/>
      <c r="G717" s="153"/>
      <c r="H717" s="153"/>
      <c r="I717" s="153"/>
      <c r="J717" s="153"/>
      <c r="K717" s="153"/>
      <c r="L717" s="154"/>
      <c r="M717" s="154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ht="13.5" customHeight="1">
      <c r="A718" s="153"/>
      <c r="B718" s="153"/>
      <c r="C718" s="153"/>
      <c r="D718" s="154"/>
      <c r="E718" s="154"/>
      <c r="F718" s="153"/>
      <c r="G718" s="153"/>
      <c r="H718" s="153"/>
      <c r="I718" s="153"/>
      <c r="J718" s="153"/>
      <c r="K718" s="153"/>
      <c r="L718" s="154"/>
      <c r="M718" s="154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ht="13.5" customHeight="1">
      <c r="A719" s="153"/>
      <c r="B719" s="153"/>
      <c r="C719" s="153"/>
      <c r="D719" s="154"/>
      <c r="E719" s="154"/>
      <c r="F719" s="153"/>
      <c r="G719" s="153"/>
      <c r="H719" s="153"/>
      <c r="I719" s="153"/>
      <c r="J719" s="153"/>
      <c r="K719" s="153"/>
      <c r="L719" s="154"/>
      <c r="M719" s="154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ht="13.5" customHeight="1">
      <c r="A720" s="153"/>
      <c r="B720" s="153"/>
      <c r="C720" s="153"/>
      <c r="D720" s="154"/>
      <c r="E720" s="154"/>
      <c r="F720" s="153"/>
      <c r="G720" s="153"/>
      <c r="H720" s="153"/>
      <c r="I720" s="153"/>
      <c r="J720" s="153"/>
      <c r="K720" s="153"/>
      <c r="L720" s="154"/>
      <c r="M720" s="154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ht="13.5" customHeight="1">
      <c r="A721" s="153"/>
      <c r="B721" s="153"/>
      <c r="C721" s="153"/>
      <c r="D721" s="154"/>
      <c r="E721" s="154"/>
      <c r="F721" s="153"/>
      <c r="G721" s="153"/>
      <c r="H721" s="153"/>
      <c r="I721" s="153"/>
      <c r="J721" s="153"/>
      <c r="K721" s="153"/>
      <c r="L721" s="154"/>
      <c r="M721" s="154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ht="13.5" customHeight="1">
      <c r="A722" s="153"/>
      <c r="B722" s="153"/>
      <c r="C722" s="153"/>
      <c r="D722" s="154"/>
      <c r="E722" s="154"/>
      <c r="F722" s="153"/>
      <c r="G722" s="153"/>
      <c r="H722" s="153"/>
      <c r="I722" s="153"/>
      <c r="J722" s="153"/>
      <c r="K722" s="153"/>
      <c r="L722" s="154"/>
      <c r="M722" s="154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ht="13.5" customHeight="1">
      <c r="A723" s="153"/>
      <c r="B723" s="153"/>
      <c r="C723" s="153"/>
      <c r="D723" s="154"/>
      <c r="E723" s="154"/>
      <c r="F723" s="153"/>
      <c r="G723" s="153"/>
      <c r="H723" s="153"/>
      <c r="I723" s="153"/>
      <c r="J723" s="153"/>
      <c r="K723" s="153"/>
      <c r="L723" s="154"/>
      <c r="M723" s="154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ht="13.5" customHeight="1">
      <c r="A724" s="153"/>
      <c r="B724" s="153"/>
      <c r="C724" s="153"/>
      <c r="D724" s="154"/>
      <c r="E724" s="154"/>
      <c r="F724" s="153"/>
      <c r="G724" s="153"/>
      <c r="H724" s="153"/>
      <c r="I724" s="153"/>
      <c r="J724" s="153"/>
      <c r="K724" s="153"/>
      <c r="L724" s="154"/>
      <c r="M724" s="154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ht="13.5" customHeight="1">
      <c r="A725" s="153"/>
      <c r="B725" s="153"/>
      <c r="C725" s="153"/>
      <c r="D725" s="154"/>
      <c r="E725" s="154"/>
      <c r="F725" s="153"/>
      <c r="G725" s="153"/>
      <c r="H725" s="153"/>
      <c r="I725" s="153"/>
      <c r="J725" s="153"/>
      <c r="K725" s="153"/>
      <c r="L725" s="154"/>
      <c r="M725" s="154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ht="13.5" customHeight="1">
      <c r="A726" s="153"/>
      <c r="B726" s="153"/>
      <c r="C726" s="153"/>
      <c r="D726" s="154"/>
      <c r="E726" s="154"/>
      <c r="F726" s="153"/>
      <c r="G726" s="153"/>
      <c r="H726" s="153"/>
      <c r="I726" s="153"/>
      <c r="J726" s="153"/>
      <c r="K726" s="153"/>
      <c r="L726" s="154"/>
      <c r="M726" s="154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ht="13.5" customHeight="1">
      <c r="A727" s="153"/>
      <c r="B727" s="153"/>
      <c r="C727" s="153"/>
      <c r="D727" s="154"/>
      <c r="E727" s="154"/>
      <c r="F727" s="153"/>
      <c r="G727" s="153"/>
      <c r="H727" s="153"/>
      <c r="I727" s="153"/>
      <c r="J727" s="153"/>
      <c r="K727" s="153"/>
      <c r="L727" s="154"/>
      <c r="M727" s="154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ht="13.5" customHeight="1">
      <c r="A728" s="153"/>
      <c r="B728" s="153"/>
      <c r="C728" s="153"/>
      <c r="D728" s="154"/>
      <c r="E728" s="154"/>
      <c r="F728" s="153"/>
      <c r="G728" s="153"/>
      <c r="H728" s="153"/>
      <c r="I728" s="153"/>
      <c r="J728" s="153"/>
      <c r="K728" s="153"/>
      <c r="L728" s="154"/>
      <c r="M728" s="154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ht="13.5" customHeight="1">
      <c r="A729" s="153"/>
      <c r="B729" s="153"/>
      <c r="C729" s="153"/>
      <c r="D729" s="154"/>
      <c r="E729" s="154"/>
      <c r="F729" s="153"/>
      <c r="G729" s="153"/>
      <c r="H729" s="153"/>
      <c r="I729" s="153"/>
      <c r="J729" s="153"/>
      <c r="K729" s="153"/>
      <c r="L729" s="154"/>
      <c r="M729" s="154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ht="13.5" customHeight="1">
      <c r="A730" s="153"/>
      <c r="B730" s="153"/>
      <c r="C730" s="153"/>
      <c r="D730" s="154"/>
      <c r="E730" s="154"/>
      <c r="F730" s="153"/>
      <c r="G730" s="153"/>
      <c r="H730" s="153"/>
      <c r="I730" s="153"/>
      <c r="J730" s="153"/>
      <c r="K730" s="153"/>
      <c r="L730" s="154"/>
      <c r="M730" s="154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ht="13.5" customHeight="1">
      <c r="A731" s="153"/>
      <c r="B731" s="153"/>
      <c r="C731" s="153"/>
      <c r="D731" s="154"/>
      <c r="E731" s="154"/>
      <c r="F731" s="153"/>
      <c r="G731" s="153"/>
      <c r="H731" s="153"/>
      <c r="I731" s="153"/>
      <c r="J731" s="153"/>
      <c r="K731" s="153"/>
      <c r="L731" s="154"/>
      <c r="M731" s="154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ht="13.5" customHeight="1">
      <c r="A732" s="153"/>
      <c r="B732" s="153"/>
      <c r="C732" s="153"/>
      <c r="D732" s="154"/>
      <c r="E732" s="154"/>
      <c r="F732" s="153"/>
      <c r="G732" s="153"/>
      <c r="H732" s="153"/>
      <c r="I732" s="153"/>
      <c r="J732" s="153"/>
      <c r="K732" s="153"/>
      <c r="L732" s="154"/>
      <c r="M732" s="154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ht="13.5" customHeight="1">
      <c r="A733" s="153"/>
      <c r="B733" s="153"/>
      <c r="C733" s="153"/>
      <c r="D733" s="154"/>
      <c r="E733" s="154"/>
      <c r="F733" s="153"/>
      <c r="G733" s="153"/>
      <c r="H733" s="153"/>
      <c r="I733" s="153"/>
      <c r="J733" s="153"/>
      <c r="K733" s="153"/>
      <c r="L733" s="154"/>
      <c r="M733" s="154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ht="13.5" customHeight="1">
      <c r="A734" s="153"/>
      <c r="B734" s="153"/>
      <c r="C734" s="153"/>
      <c r="D734" s="154"/>
      <c r="E734" s="154"/>
      <c r="F734" s="153"/>
      <c r="G734" s="153"/>
      <c r="H734" s="153"/>
      <c r="I734" s="153"/>
      <c r="J734" s="153"/>
      <c r="K734" s="153"/>
      <c r="L734" s="154"/>
      <c r="M734" s="154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ht="13.5" customHeight="1">
      <c r="A735" s="153"/>
      <c r="B735" s="153"/>
      <c r="C735" s="153"/>
      <c r="D735" s="154"/>
      <c r="E735" s="154"/>
      <c r="F735" s="153"/>
      <c r="G735" s="153"/>
      <c r="H735" s="153"/>
      <c r="I735" s="153"/>
      <c r="J735" s="153"/>
      <c r="K735" s="153"/>
      <c r="L735" s="154"/>
      <c r="M735" s="154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ht="13.5" customHeight="1">
      <c r="A736" s="153"/>
      <c r="B736" s="153"/>
      <c r="C736" s="153"/>
      <c r="D736" s="154"/>
      <c r="E736" s="154"/>
      <c r="F736" s="153"/>
      <c r="G736" s="153"/>
      <c r="H736" s="153"/>
      <c r="I736" s="153"/>
      <c r="J736" s="153"/>
      <c r="K736" s="153"/>
      <c r="L736" s="154"/>
      <c r="M736" s="154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ht="13.5" customHeight="1">
      <c r="A737" s="153"/>
      <c r="B737" s="153"/>
      <c r="C737" s="153"/>
      <c r="D737" s="154"/>
      <c r="E737" s="154"/>
      <c r="F737" s="153"/>
      <c r="G737" s="153"/>
      <c r="H737" s="153"/>
      <c r="I737" s="153"/>
      <c r="J737" s="153"/>
      <c r="K737" s="153"/>
      <c r="L737" s="154"/>
      <c r="M737" s="154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ht="13.5" customHeight="1">
      <c r="A738" s="153"/>
      <c r="B738" s="153"/>
      <c r="C738" s="153"/>
      <c r="D738" s="154"/>
      <c r="E738" s="154"/>
      <c r="F738" s="153"/>
      <c r="G738" s="153"/>
      <c r="H738" s="153"/>
      <c r="I738" s="153"/>
      <c r="J738" s="153"/>
      <c r="K738" s="153"/>
      <c r="L738" s="154"/>
      <c r="M738" s="154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ht="13.5" customHeight="1">
      <c r="A739" s="153"/>
      <c r="B739" s="153"/>
      <c r="C739" s="153"/>
      <c r="D739" s="154"/>
      <c r="E739" s="154"/>
      <c r="F739" s="153"/>
      <c r="G739" s="153"/>
      <c r="H739" s="153"/>
      <c r="I739" s="153"/>
      <c r="J739" s="153"/>
      <c r="K739" s="153"/>
      <c r="L739" s="154"/>
      <c r="M739" s="154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ht="13.5" customHeight="1">
      <c r="A740" s="153"/>
      <c r="B740" s="153"/>
      <c r="C740" s="153"/>
      <c r="D740" s="154"/>
      <c r="E740" s="154"/>
      <c r="F740" s="153"/>
      <c r="G740" s="153"/>
      <c r="H740" s="153"/>
      <c r="I740" s="153"/>
      <c r="J740" s="153"/>
      <c r="K740" s="153"/>
      <c r="L740" s="154"/>
      <c r="M740" s="154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ht="13.5" customHeight="1">
      <c r="A741" s="153"/>
      <c r="B741" s="153"/>
      <c r="C741" s="153"/>
      <c r="D741" s="154"/>
      <c r="E741" s="154"/>
      <c r="F741" s="153"/>
      <c r="G741" s="153"/>
      <c r="H741" s="153"/>
      <c r="I741" s="153"/>
      <c r="J741" s="153"/>
      <c r="K741" s="153"/>
      <c r="L741" s="154"/>
      <c r="M741" s="154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ht="13.5" customHeight="1">
      <c r="A742" s="153"/>
      <c r="B742" s="153"/>
      <c r="C742" s="153"/>
      <c r="D742" s="154"/>
      <c r="E742" s="154"/>
      <c r="F742" s="153"/>
      <c r="G742" s="153"/>
      <c r="H742" s="153"/>
      <c r="I742" s="153"/>
      <c r="J742" s="153"/>
      <c r="K742" s="153"/>
      <c r="L742" s="154"/>
      <c r="M742" s="154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ht="13.5" customHeight="1">
      <c r="A743" s="153"/>
      <c r="B743" s="153"/>
      <c r="C743" s="153"/>
      <c r="D743" s="154"/>
      <c r="E743" s="154"/>
      <c r="F743" s="153"/>
      <c r="G743" s="153"/>
      <c r="H743" s="153"/>
      <c r="I743" s="153"/>
      <c r="J743" s="153"/>
      <c r="K743" s="153"/>
      <c r="L743" s="154"/>
      <c r="M743" s="154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ht="13.5" customHeight="1">
      <c r="A744" s="153"/>
      <c r="B744" s="153"/>
      <c r="C744" s="153"/>
      <c r="D744" s="154"/>
      <c r="E744" s="154"/>
      <c r="F744" s="153"/>
      <c r="G744" s="153"/>
      <c r="H744" s="153"/>
      <c r="I744" s="153"/>
      <c r="J744" s="153"/>
      <c r="K744" s="153"/>
      <c r="L744" s="154"/>
      <c r="M744" s="154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ht="13.5" customHeight="1">
      <c r="A745" s="153"/>
      <c r="B745" s="153"/>
      <c r="C745" s="153"/>
      <c r="D745" s="154"/>
      <c r="E745" s="154"/>
      <c r="F745" s="153"/>
      <c r="G745" s="153"/>
      <c r="H745" s="153"/>
      <c r="I745" s="153"/>
      <c r="J745" s="153"/>
      <c r="K745" s="153"/>
      <c r="L745" s="154"/>
      <c r="M745" s="154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ht="13.5" customHeight="1">
      <c r="A746" s="153"/>
      <c r="B746" s="153"/>
      <c r="C746" s="153"/>
      <c r="D746" s="154"/>
      <c r="E746" s="154"/>
      <c r="F746" s="153"/>
      <c r="G746" s="153"/>
      <c r="H746" s="153"/>
      <c r="I746" s="153"/>
      <c r="J746" s="153"/>
      <c r="K746" s="153"/>
      <c r="L746" s="154"/>
      <c r="M746" s="154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ht="13.5" customHeight="1">
      <c r="A747" s="153"/>
      <c r="B747" s="153"/>
      <c r="C747" s="153"/>
      <c r="D747" s="154"/>
      <c r="E747" s="154"/>
      <c r="F747" s="153"/>
      <c r="G747" s="153"/>
      <c r="H747" s="153"/>
      <c r="I747" s="153"/>
      <c r="J747" s="153"/>
      <c r="K747" s="153"/>
      <c r="L747" s="154"/>
      <c r="M747" s="154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ht="13.5" customHeight="1">
      <c r="A748" s="153"/>
      <c r="B748" s="153"/>
      <c r="C748" s="153"/>
      <c r="D748" s="154"/>
      <c r="E748" s="154"/>
      <c r="F748" s="153"/>
      <c r="G748" s="153"/>
      <c r="H748" s="153"/>
      <c r="I748" s="153"/>
      <c r="J748" s="153"/>
      <c r="K748" s="153"/>
      <c r="L748" s="154"/>
      <c r="M748" s="154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ht="13.5" customHeight="1">
      <c r="A749" s="153"/>
      <c r="B749" s="153"/>
      <c r="C749" s="153"/>
      <c r="D749" s="154"/>
      <c r="E749" s="154"/>
      <c r="F749" s="153"/>
      <c r="G749" s="153"/>
      <c r="H749" s="153"/>
      <c r="I749" s="153"/>
      <c r="J749" s="153"/>
      <c r="K749" s="153"/>
      <c r="L749" s="154"/>
      <c r="M749" s="154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ht="13.5" customHeight="1">
      <c r="A750" s="153"/>
      <c r="B750" s="153"/>
      <c r="C750" s="153"/>
      <c r="D750" s="154"/>
      <c r="E750" s="154"/>
      <c r="F750" s="153"/>
      <c r="G750" s="153"/>
      <c r="H750" s="153"/>
      <c r="I750" s="153"/>
      <c r="J750" s="153"/>
      <c r="K750" s="153"/>
      <c r="L750" s="154"/>
      <c r="M750" s="154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ht="13.5" customHeight="1">
      <c r="A751" s="153"/>
      <c r="B751" s="153"/>
      <c r="C751" s="153"/>
      <c r="D751" s="154"/>
      <c r="E751" s="154"/>
      <c r="F751" s="153"/>
      <c r="G751" s="153"/>
      <c r="H751" s="153"/>
      <c r="I751" s="153"/>
      <c r="J751" s="153"/>
      <c r="K751" s="153"/>
      <c r="L751" s="154"/>
      <c r="M751" s="154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ht="13.5" customHeight="1">
      <c r="A752" s="153"/>
      <c r="B752" s="153"/>
      <c r="C752" s="153"/>
      <c r="D752" s="154"/>
      <c r="E752" s="154"/>
      <c r="F752" s="153"/>
      <c r="G752" s="153"/>
      <c r="H752" s="153"/>
      <c r="I752" s="153"/>
      <c r="J752" s="153"/>
      <c r="K752" s="153"/>
      <c r="L752" s="154"/>
      <c r="M752" s="154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ht="13.5" customHeight="1">
      <c r="A753" s="153"/>
      <c r="B753" s="153"/>
      <c r="C753" s="153"/>
      <c r="D753" s="154"/>
      <c r="E753" s="154"/>
      <c r="F753" s="153"/>
      <c r="G753" s="153"/>
      <c r="H753" s="153"/>
      <c r="I753" s="153"/>
      <c r="J753" s="153"/>
      <c r="K753" s="153"/>
      <c r="L753" s="154"/>
      <c r="M753" s="154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ht="13.5" customHeight="1">
      <c r="A754" s="153"/>
      <c r="B754" s="153"/>
      <c r="C754" s="153"/>
      <c r="D754" s="154"/>
      <c r="E754" s="154"/>
      <c r="F754" s="153"/>
      <c r="G754" s="153"/>
      <c r="H754" s="153"/>
      <c r="I754" s="153"/>
      <c r="J754" s="153"/>
      <c r="K754" s="153"/>
      <c r="L754" s="154"/>
      <c r="M754" s="154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ht="13.5" customHeight="1">
      <c r="A755" s="153"/>
      <c r="B755" s="153"/>
      <c r="C755" s="153"/>
      <c r="D755" s="154"/>
      <c r="E755" s="154"/>
      <c r="F755" s="153"/>
      <c r="G755" s="153"/>
      <c r="H755" s="153"/>
      <c r="I755" s="153"/>
      <c r="J755" s="153"/>
      <c r="K755" s="153"/>
      <c r="L755" s="154"/>
      <c r="M755" s="154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ht="13.5" customHeight="1">
      <c r="A756" s="153"/>
      <c r="B756" s="153"/>
      <c r="C756" s="153"/>
      <c r="D756" s="154"/>
      <c r="E756" s="154"/>
      <c r="F756" s="153"/>
      <c r="G756" s="153"/>
      <c r="H756" s="153"/>
      <c r="I756" s="153"/>
      <c r="J756" s="153"/>
      <c r="K756" s="153"/>
      <c r="L756" s="154"/>
      <c r="M756" s="154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ht="13.5" customHeight="1">
      <c r="A757" s="153"/>
      <c r="B757" s="153"/>
      <c r="C757" s="153"/>
      <c r="D757" s="154"/>
      <c r="E757" s="154"/>
      <c r="F757" s="153"/>
      <c r="G757" s="153"/>
      <c r="H757" s="153"/>
      <c r="I757" s="153"/>
      <c r="J757" s="153"/>
      <c r="K757" s="153"/>
      <c r="L757" s="154"/>
      <c r="M757" s="154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ht="13.5" customHeight="1">
      <c r="A758" s="153"/>
      <c r="B758" s="153"/>
      <c r="C758" s="153"/>
      <c r="D758" s="154"/>
      <c r="E758" s="154"/>
      <c r="F758" s="153"/>
      <c r="G758" s="153"/>
      <c r="H758" s="153"/>
      <c r="I758" s="153"/>
      <c r="J758" s="153"/>
      <c r="K758" s="153"/>
      <c r="L758" s="154"/>
      <c r="M758" s="154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ht="13.5" customHeight="1">
      <c r="A759" s="153"/>
      <c r="B759" s="153"/>
      <c r="C759" s="153"/>
      <c r="D759" s="154"/>
      <c r="E759" s="154"/>
      <c r="F759" s="153"/>
      <c r="G759" s="153"/>
      <c r="H759" s="153"/>
      <c r="I759" s="153"/>
      <c r="J759" s="153"/>
      <c r="K759" s="153"/>
      <c r="L759" s="154"/>
      <c r="M759" s="154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ht="13.5" customHeight="1">
      <c r="A760" s="153"/>
      <c r="B760" s="153"/>
      <c r="C760" s="153"/>
      <c r="D760" s="154"/>
      <c r="E760" s="154"/>
      <c r="F760" s="153"/>
      <c r="G760" s="153"/>
      <c r="H760" s="153"/>
      <c r="I760" s="153"/>
      <c r="J760" s="153"/>
      <c r="K760" s="153"/>
      <c r="L760" s="154"/>
      <c r="M760" s="154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ht="13.5" customHeight="1">
      <c r="A761" s="153"/>
      <c r="B761" s="153"/>
      <c r="C761" s="153"/>
      <c r="D761" s="154"/>
      <c r="E761" s="154"/>
      <c r="F761" s="153"/>
      <c r="G761" s="153"/>
      <c r="H761" s="153"/>
      <c r="I761" s="153"/>
      <c r="J761" s="153"/>
      <c r="K761" s="153"/>
      <c r="L761" s="154"/>
      <c r="M761" s="154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ht="13.5" customHeight="1">
      <c r="A762" s="153"/>
      <c r="B762" s="153"/>
      <c r="C762" s="153"/>
      <c r="D762" s="154"/>
      <c r="E762" s="154"/>
      <c r="F762" s="153"/>
      <c r="G762" s="153"/>
      <c r="H762" s="153"/>
      <c r="I762" s="153"/>
      <c r="J762" s="153"/>
      <c r="K762" s="153"/>
      <c r="L762" s="154"/>
      <c r="M762" s="154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ht="13.5" customHeight="1">
      <c r="A763" s="153"/>
      <c r="B763" s="153"/>
      <c r="C763" s="153"/>
      <c r="D763" s="154"/>
      <c r="E763" s="154"/>
      <c r="F763" s="153"/>
      <c r="G763" s="153"/>
      <c r="H763" s="153"/>
      <c r="I763" s="153"/>
      <c r="J763" s="153"/>
      <c r="K763" s="153"/>
      <c r="L763" s="154"/>
      <c r="M763" s="154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ht="13.5" customHeight="1">
      <c r="A764" s="153"/>
      <c r="B764" s="153"/>
      <c r="C764" s="153"/>
      <c r="D764" s="154"/>
      <c r="E764" s="154"/>
      <c r="F764" s="153"/>
      <c r="G764" s="153"/>
      <c r="H764" s="153"/>
      <c r="I764" s="153"/>
      <c r="J764" s="153"/>
      <c r="K764" s="153"/>
      <c r="L764" s="154"/>
      <c r="M764" s="154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ht="13.5" customHeight="1">
      <c r="A765" s="153"/>
      <c r="B765" s="153"/>
      <c r="C765" s="153"/>
      <c r="D765" s="154"/>
      <c r="E765" s="154"/>
      <c r="F765" s="153"/>
      <c r="G765" s="153"/>
      <c r="H765" s="153"/>
      <c r="I765" s="153"/>
      <c r="J765" s="153"/>
      <c r="K765" s="153"/>
      <c r="L765" s="154"/>
      <c r="M765" s="154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ht="13.5" customHeight="1">
      <c r="A766" s="153"/>
      <c r="B766" s="153"/>
      <c r="C766" s="153"/>
      <c r="D766" s="154"/>
      <c r="E766" s="154"/>
      <c r="F766" s="153"/>
      <c r="G766" s="153"/>
      <c r="H766" s="153"/>
      <c r="I766" s="153"/>
      <c r="J766" s="153"/>
      <c r="K766" s="153"/>
      <c r="L766" s="154"/>
      <c r="M766" s="154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ht="13.5" customHeight="1">
      <c r="A767" s="153"/>
      <c r="B767" s="153"/>
      <c r="C767" s="153"/>
      <c r="D767" s="154"/>
      <c r="E767" s="154"/>
      <c r="F767" s="153"/>
      <c r="G767" s="153"/>
      <c r="H767" s="153"/>
      <c r="I767" s="153"/>
      <c r="J767" s="153"/>
      <c r="K767" s="153"/>
      <c r="L767" s="154"/>
      <c r="M767" s="154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ht="13.5" customHeight="1">
      <c r="A768" s="153"/>
      <c r="B768" s="153"/>
      <c r="C768" s="153"/>
      <c r="D768" s="154"/>
      <c r="E768" s="154"/>
      <c r="F768" s="153"/>
      <c r="G768" s="153"/>
      <c r="H768" s="153"/>
      <c r="I768" s="153"/>
      <c r="J768" s="153"/>
      <c r="K768" s="153"/>
      <c r="L768" s="154"/>
      <c r="M768" s="154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ht="13.5" customHeight="1">
      <c r="A769" s="153"/>
      <c r="B769" s="153"/>
      <c r="C769" s="153"/>
      <c r="D769" s="154"/>
      <c r="E769" s="154"/>
      <c r="F769" s="153"/>
      <c r="G769" s="153"/>
      <c r="H769" s="153"/>
      <c r="I769" s="153"/>
      <c r="J769" s="153"/>
      <c r="K769" s="153"/>
      <c r="L769" s="154"/>
      <c r="M769" s="154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ht="13.5" customHeight="1">
      <c r="A770" s="153"/>
      <c r="B770" s="153"/>
      <c r="C770" s="153"/>
      <c r="D770" s="154"/>
      <c r="E770" s="154"/>
      <c r="F770" s="153"/>
      <c r="G770" s="153"/>
      <c r="H770" s="153"/>
      <c r="I770" s="153"/>
      <c r="J770" s="153"/>
      <c r="K770" s="153"/>
      <c r="L770" s="154"/>
      <c r="M770" s="154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ht="13.5" customHeight="1">
      <c r="A771" s="153"/>
      <c r="B771" s="153"/>
      <c r="C771" s="153"/>
      <c r="D771" s="154"/>
      <c r="E771" s="154"/>
      <c r="F771" s="153"/>
      <c r="G771" s="153"/>
      <c r="H771" s="153"/>
      <c r="I771" s="153"/>
      <c r="J771" s="153"/>
      <c r="K771" s="153"/>
      <c r="L771" s="154"/>
      <c r="M771" s="154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ht="13.5" customHeight="1">
      <c r="A772" s="153"/>
      <c r="B772" s="153"/>
      <c r="C772" s="153"/>
      <c r="D772" s="154"/>
      <c r="E772" s="154"/>
      <c r="F772" s="153"/>
      <c r="G772" s="153"/>
      <c r="H772" s="153"/>
      <c r="I772" s="153"/>
      <c r="J772" s="153"/>
      <c r="K772" s="153"/>
      <c r="L772" s="154"/>
      <c r="M772" s="154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ht="13.5" customHeight="1">
      <c r="A773" s="153"/>
      <c r="B773" s="153"/>
      <c r="C773" s="153"/>
      <c r="D773" s="154"/>
      <c r="E773" s="154"/>
      <c r="F773" s="153"/>
      <c r="G773" s="153"/>
      <c r="H773" s="153"/>
      <c r="I773" s="153"/>
      <c r="J773" s="153"/>
      <c r="K773" s="153"/>
      <c r="L773" s="154"/>
      <c r="M773" s="154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ht="13.5" customHeight="1">
      <c r="A774" s="153"/>
      <c r="B774" s="153"/>
      <c r="C774" s="153"/>
      <c r="D774" s="154"/>
      <c r="E774" s="154"/>
      <c r="F774" s="153"/>
      <c r="G774" s="153"/>
      <c r="H774" s="153"/>
      <c r="I774" s="153"/>
      <c r="J774" s="153"/>
      <c r="K774" s="153"/>
      <c r="L774" s="154"/>
      <c r="M774" s="154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ht="13.5" customHeight="1">
      <c r="A775" s="153"/>
      <c r="B775" s="153"/>
      <c r="C775" s="153"/>
      <c r="D775" s="154"/>
      <c r="E775" s="154"/>
      <c r="F775" s="153"/>
      <c r="G775" s="153"/>
      <c r="H775" s="153"/>
      <c r="I775" s="153"/>
      <c r="J775" s="153"/>
      <c r="K775" s="153"/>
      <c r="L775" s="154"/>
      <c r="M775" s="154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ht="13.5" customHeight="1">
      <c r="A776" s="153"/>
      <c r="B776" s="153"/>
      <c r="C776" s="153"/>
      <c r="D776" s="154"/>
      <c r="E776" s="154"/>
      <c r="F776" s="153"/>
      <c r="G776" s="153"/>
      <c r="H776" s="153"/>
      <c r="I776" s="153"/>
      <c r="J776" s="153"/>
      <c r="K776" s="153"/>
      <c r="L776" s="154"/>
      <c r="M776" s="154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ht="13.5" customHeight="1">
      <c r="A777" s="153"/>
      <c r="B777" s="153"/>
      <c r="C777" s="153"/>
      <c r="D777" s="154"/>
      <c r="E777" s="154"/>
      <c r="F777" s="153"/>
      <c r="G777" s="153"/>
      <c r="H777" s="153"/>
      <c r="I777" s="153"/>
      <c r="J777" s="153"/>
      <c r="K777" s="153"/>
      <c r="L777" s="154"/>
      <c r="M777" s="154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ht="13.5" customHeight="1">
      <c r="A778" s="153"/>
      <c r="B778" s="153"/>
      <c r="C778" s="153"/>
      <c r="D778" s="154"/>
      <c r="E778" s="154"/>
      <c r="F778" s="153"/>
      <c r="G778" s="153"/>
      <c r="H778" s="153"/>
      <c r="I778" s="153"/>
      <c r="J778" s="153"/>
      <c r="K778" s="153"/>
      <c r="L778" s="154"/>
      <c r="M778" s="154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ht="13.5" customHeight="1">
      <c r="A779" s="153"/>
      <c r="B779" s="153"/>
      <c r="C779" s="153"/>
      <c r="D779" s="154"/>
      <c r="E779" s="154"/>
      <c r="F779" s="153"/>
      <c r="G779" s="153"/>
      <c r="H779" s="153"/>
      <c r="I779" s="153"/>
      <c r="J779" s="153"/>
      <c r="K779" s="153"/>
      <c r="L779" s="154"/>
      <c r="M779" s="154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ht="13.5" customHeight="1">
      <c r="A780" s="153"/>
      <c r="B780" s="153"/>
      <c r="C780" s="153"/>
      <c r="D780" s="154"/>
      <c r="E780" s="154"/>
      <c r="F780" s="153"/>
      <c r="G780" s="153"/>
      <c r="H780" s="153"/>
      <c r="I780" s="153"/>
      <c r="J780" s="153"/>
      <c r="K780" s="153"/>
      <c r="L780" s="154"/>
      <c r="M780" s="154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ht="13.5" customHeight="1">
      <c r="A781" s="153"/>
      <c r="B781" s="153"/>
      <c r="C781" s="153"/>
      <c r="D781" s="154"/>
      <c r="E781" s="154"/>
      <c r="F781" s="153"/>
      <c r="G781" s="153"/>
      <c r="H781" s="153"/>
      <c r="I781" s="153"/>
      <c r="J781" s="153"/>
      <c r="K781" s="153"/>
      <c r="L781" s="154"/>
      <c r="M781" s="154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ht="13.5" customHeight="1">
      <c r="A782" s="153"/>
      <c r="B782" s="153"/>
      <c r="C782" s="153"/>
      <c r="D782" s="154"/>
      <c r="E782" s="154"/>
      <c r="F782" s="153"/>
      <c r="G782" s="153"/>
      <c r="H782" s="153"/>
      <c r="I782" s="153"/>
      <c r="J782" s="153"/>
      <c r="K782" s="153"/>
      <c r="L782" s="154"/>
      <c r="M782" s="154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ht="13.5" customHeight="1">
      <c r="A783" s="153"/>
      <c r="B783" s="153"/>
      <c r="C783" s="153"/>
      <c r="D783" s="154"/>
      <c r="E783" s="154"/>
      <c r="F783" s="153"/>
      <c r="G783" s="153"/>
      <c r="H783" s="153"/>
      <c r="I783" s="153"/>
      <c r="J783" s="153"/>
      <c r="K783" s="153"/>
      <c r="L783" s="154"/>
      <c r="M783" s="154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ht="13.5" customHeight="1">
      <c r="A784" s="153"/>
      <c r="B784" s="153"/>
      <c r="C784" s="153"/>
      <c r="D784" s="154"/>
      <c r="E784" s="154"/>
      <c r="F784" s="153"/>
      <c r="G784" s="153"/>
      <c r="H784" s="153"/>
      <c r="I784" s="153"/>
      <c r="J784" s="153"/>
      <c r="K784" s="153"/>
      <c r="L784" s="154"/>
      <c r="M784" s="154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ht="13.5" customHeight="1">
      <c r="A785" s="153"/>
      <c r="B785" s="153"/>
      <c r="C785" s="153"/>
      <c r="D785" s="154"/>
      <c r="E785" s="154"/>
      <c r="F785" s="153"/>
      <c r="G785" s="153"/>
      <c r="H785" s="153"/>
      <c r="I785" s="153"/>
      <c r="J785" s="153"/>
      <c r="K785" s="153"/>
      <c r="L785" s="154"/>
      <c r="M785" s="154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ht="13.5" customHeight="1">
      <c r="A786" s="153"/>
      <c r="B786" s="153"/>
      <c r="C786" s="153"/>
      <c r="D786" s="154"/>
      <c r="E786" s="154"/>
      <c r="F786" s="153"/>
      <c r="G786" s="153"/>
      <c r="H786" s="153"/>
      <c r="I786" s="153"/>
      <c r="J786" s="153"/>
      <c r="K786" s="153"/>
      <c r="L786" s="154"/>
      <c r="M786" s="154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ht="13.5" customHeight="1">
      <c r="A787" s="153"/>
      <c r="B787" s="153"/>
      <c r="C787" s="153"/>
      <c r="D787" s="154"/>
      <c r="E787" s="154"/>
      <c r="F787" s="153"/>
      <c r="G787" s="153"/>
      <c r="H787" s="153"/>
      <c r="I787" s="153"/>
      <c r="J787" s="153"/>
      <c r="K787" s="153"/>
      <c r="L787" s="154"/>
      <c r="M787" s="154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ht="13.5" customHeight="1">
      <c r="A788" s="153"/>
      <c r="B788" s="153"/>
      <c r="C788" s="153"/>
      <c r="D788" s="154"/>
      <c r="E788" s="154"/>
      <c r="F788" s="153"/>
      <c r="G788" s="153"/>
      <c r="H788" s="153"/>
      <c r="I788" s="153"/>
      <c r="J788" s="153"/>
      <c r="K788" s="153"/>
      <c r="L788" s="154"/>
      <c r="M788" s="154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ht="13.5" customHeight="1">
      <c r="A789" s="153"/>
      <c r="B789" s="153"/>
      <c r="C789" s="153"/>
      <c r="D789" s="154"/>
      <c r="E789" s="154"/>
      <c r="F789" s="153"/>
      <c r="G789" s="153"/>
      <c r="H789" s="153"/>
      <c r="I789" s="153"/>
      <c r="J789" s="153"/>
      <c r="K789" s="153"/>
      <c r="L789" s="154"/>
      <c r="M789" s="154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ht="13.5" customHeight="1">
      <c r="A790" s="153"/>
      <c r="B790" s="153"/>
      <c r="C790" s="153"/>
      <c r="D790" s="154"/>
      <c r="E790" s="154"/>
      <c r="F790" s="153"/>
      <c r="G790" s="153"/>
      <c r="H790" s="153"/>
      <c r="I790" s="153"/>
      <c r="J790" s="153"/>
      <c r="K790" s="153"/>
      <c r="L790" s="154"/>
      <c r="M790" s="154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ht="13.5" customHeight="1">
      <c r="A791" s="153"/>
      <c r="B791" s="153"/>
      <c r="C791" s="153"/>
      <c r="D791" s="154"/>
      <c r="E791" s="154"/>
      <c r="F791" s="153"/>
      <c r="G791" s="153"/>
      <c r="H791" s="153"/>
      <c r="I791" s="153"/>
      <c r="J791" s="153"/>
      <c r="K791" s="153"/>
      <c r="L791" s="154"/>
      <c r="M791" s="154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ht="13.5" customHeight="1">
      <c r="A792" s="153"/>
      <c r="B792" s="153"/>
      <c r="C792" s="153"/>
      <c r="D792" s="154"/>
      <c r="E792" s="154"/>
      <c r="F792" s="153"/>
      <c r="G792" s="153"/>
      <c r="H792" s="153"/>
      <c r="I792" s="153"/>
      <c r="J792" s="153"/>
      <c r="K792" s="153"/>
      <c r="L792" s="154"/>
      <c r="M792" s="154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ht="13.5" customHeight="1">
      <c r="A793" s="153"/>
      <c r="B793" s="153"/>
      <c r="C793" s="153"/>
      <c r="D793" s="154"/>
      <c r="E793" s="154"/>
      <c r="F793" s="153"/>
      <c r="G793" s="153"/>
      <c r="H793" s="153"/>
      <c r="I793" s="153"/>
      <c r="J793" s="153"/>
      <c r="K793" s="153"/>
      <c r="L793" s="154"/>
      <c r="M793" s="154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ht="13.5" customHeight="1">
      <c r="A794" s="153"/>
      <c r="B794" s="153"/>
      <c r="C794" s="153"/>
      <c r="D794" s="154"/>
      <c r="E794" s="154"/>
      <c r="F794" s="153"/>
      <c r="G794" s="153"/>
      <c r="H794" s="153"/>
      <c r="I794" s="153"/>
      <c r="J794" s="153"/>
      <c r="K794" s="153"/>
      <c r="L794" s="154"/>
      <c r="M794" s="154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ht="13.5" customHeight="1">
      <c r="A795" s="153"/>
      <c r="B795" s="153"/>
      <c r="C795" s="153"/>
      <c r="D795" s="154"/>
      <c r="E795" s="154"/>
      <c r="F795" s="153"/>
      <c r="G795" s="153"/>
      <c r="H795" s="153"/>
      <c r="I795" s="153"/>
      <c r="J795" s="153"/>
      <c r="K795" s="153"/>
      <c r="L795" s="154"/>
      <c r="M795" s="154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ht="13.5" customHeight="1">
      <c r="A796" s="153"/>
      <c r="B796" s="153"/>
      <c r="C796" s="153"/>
      <c r="D796" s="154"/>
      <c r="E796" s="154"/>
      <c r="F796" s="153"/>
      <c r="G796" s="153"/>
      <c r="H796" s="153"/>
      <c r="I796" s="153"/>
      <c r="J796" s="153"/>
      <c r="K796" s="153"/>
      <c r="L796" s="154"/>
      <c r="M796" s="154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ht="13.5" customHeight="1">
      <c r="A797" s="153"/>
      <c r="B797" s="153"/>
      <c r="C797" s="153"/>
      <c r="D797" s="154"/>
      <c r="E797" s="154"/>
      <c r="F797" s="153"/>
      <c r="G797" s="153"/>
      <c r="H797" s="153"/>
      <c r="I797" s="153"/>
      <c r="J797" s="153"/>
      <c r="K797" s="153"/>
      <c r="L797" s="154"/>
      <c r="M797" s="154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ht="13.5" customHeight="1">
      <c r="A798" s="153"/>
      <c r="B798" s="153"/>
      <c r="C798" s="153"/>
      <c r="D798" s="154"/>
      <c r="E798" s="154"/>
      <c r="F798" s="153"/>
      <c r="G798" s="153"/>
      <c r="H798" s="153"/>
      <c r="I798" s="153"/>
      <c r="J798" s="153"/>
      <c r="K798" s="153"/>
      <c r="L798" s="154"/>
      <c r="M798" s="154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ht="13.5" customHeight="1">
      <c r="A799" s="153"/>
      <c r="B799" s="153"/>
      <c r="C799" s="153"/>
      <c r="D799" s="154"/>
      <c r="E799" s="154"/>
      <c r="F799" s="153"/>
      <c r="G799" s="153"/>
      <c r="H799" s="153"/>
      <c r="I799" s="153"/>
      <c r="J799" s="153"/>
      <c r="K799" s="153"/>
      <c r="L799" s="154"/>
      <c r="M799" s="154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ht="13.5" customHeight="1">
      <c r="A800" s="153"/>
      <c r="B800" s="153"/>
      <c r="C800" s="153"/>
      <c r="D800" s="154"/>
      <c r="E800" s="154"/>
      <c r="F800" s="153"/>
      <c r="G800" s="153"/>
      <c r="H800" s="153"/>
      <c r="I800" s="153"/>
      <c r="J800" s="153"/>
      <c r="K800" s="153"/>
      <c r="L800" s="154"/>
      <c r="M800" s="154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ht="13.5" customHeight="1">
      <c r="A801" s="153"/>
      <c r="B801" s="153"/>
      <c r="C801" s="153"/>
      <c r="D801" s="154"/>
      <c r="E801" s="154"/>
      <c r="F801" s="153"/>
      <c r="G801" s="153"/>
      <c r="H801" s="153"/>
      <c r="I801" s="153"/>
      <c r="J801" s="153"/>
      <c r="K801" s="153"/>
      <c r="L801" s="154"/>
      <c r="M801" s="154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ht="13.5" customHeight="1">
      <c r="A802" s="153"/>
      <c r="B802" s="153"/>
      <c r="C802" s="153"/>
      <c r="D802" s="154"/>
      <c r="E802" s="154"/>
      <c r="F802" s="153"/>
      <c r="G802" s="153"/>
      <c r="H802" s="153"/>
      <c r="I802" s="153"/>
      <c r="J802" s="153"/>
      <c r="K802" s="153"/>
      <c r="L802" s="154"/>
      <c r="M802" s="154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ht="13.5" customHeight="1">
      <c r="A803" s="153"/>
      <c r="B803" s="153"/>
      <c r="C803" s="153"/>
      <c r="D803" s="154"/>
      <c r="E803" s="154"/>
      <c r="F803" s="153"/>
      <c r="G803" s="153"/>
      <c r="H803" s="153"/>
      <c r="I803" s="153"/>
      <c r="J803" s="153"/>
      <c r="K803" s="153"/>
      <c r="L803" s="154"/>
      <c r="M803" s="154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ht="13.5" customHeight="1">
      <c r="A804" s="153"/>
      <c r="B804" s="153"/>
      <c r="C804" s="153"/>
      <c r="D804" s="154"/>
      <c r="E804" s="154"/>
      <c r="F804" s="153"/>
      <c r="G804" s="153"/>
      <c r="H804" s="153"/>
      <c r="I804" s="153"/>
      <c r="J804" s="153"/>
      <c r="K804" s="153"/>
      <c r="L804" s="154"/>
      <c r="M804" s="154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ht="13.5" customHeight="1">
      <c r="A805" s="153"/>
      <c r="B805" s="153"/>
      <c r="C805" s="153"/>
      <c r="D805" s="154"/>
      <c r="E805" s="154"/>
      <c r="F805" s="153"/>
      <c r="G805" s="153"/>
      <c r="H805" s="153"/>
      <c r="I805" s="153"/>
      <c r="J805" s="153"/>
      <c r="K805" s="153"/>
      <c r="L805" s="154"/>
      <c r="M805" s="154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ht="13.5" customHeight="1">
      <c r="A806" s="153"/>
      <c r="B806" s="153"/>
      <c r="C806" s="153"/>
      <c r="D806" s="154"/>
      <c r="E806" s="154"/>
      <c r="F806" s="153"/>
      <c r="G806" s="153"/>
      <c r="H806" s="153"/>
      <c r="I806" s="153"/>
      <c r="J806" s="153"/>
      <c r="K806" s="153"/>
      <c r="L806" s="154"/>
      <c r="M806" s="154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ht="13.5" customHeight="1">
      <c r="A807" s="153"/>
      <c r="B807" s="153"/>
      <c r="C807" s="153"/>
      <c r="D807" s="154"/>
      <c r="E807" s="154"/>
      <c r="F807" s="153"/>
      <c r="G807" s="153"/>
      <c r="H807" s="153"/>
      <c r="I807" s="153"/>
      <c r="J807" s="153"/>
      <c r="K807" s="153"/>
      <c r="L807" s="154"/>
      <c r="M807" s="154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ht="13.5" customHeight="1">
      <c r="A808" s="153"/>
      <c r="B808" s="153"/>
      <c r="C808" s="153"/>
      <c r="D808" s="154"/>
      <c r="E808" s="154"/>
      <c r="F808" s="153"/>
      <c r="G808" s="153"/>
      <c r="H808" s="153"/>
      <c r="I808" s="153"/>
      <c r="J808" s="153"/>
      <c r="K808" s="153"/>
      <c r="L808" s="154"/>
      <c r="M808" s="154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ht="13.5" customHeight="1">
      <c r="A809" s="153"/>
      <c r="B809" s="153"/>
      <c r="C809" s="153"/>
      <c r="D809" s="154"/>
      <c r="E809" s="154"/>
      <c r="F809" s="153"/>
      <c r="G809" s="153"/>
      <c r="H809" s="153"/>
      <c r="I809" s="153"/>
      <c r="J809" s="153"/>
      <c r="K809" s="153"/>
      <c r="L809" s="154"/>
      <c r="M809" s="154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ht="13.5" customHeight="1">
      <c r="A810" s="153"/>
      <c r="B810" s="153"/>
      <c r="C810" s="153"/>
      <c r="D810" s="154"/>
      <c r="E810" s="154"/>
      <c r="F810" s="153"/>
      <c r="G810" s="153"/>
      <c r="H810" s="153"/>
      <c r="I810" s="153"/>
      <c r="J810" s="153"/>
      <c r="K810" s="153"/>
      <c r="L810" s="154"/>
      <c r="M810" s="154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ht="13.5" customHeight="1">
      <c r="A811" s="153"/>
      <c r="B811" s="153"/>
      <c r="C811" s="153"/>
      <c r="D811" s="154"/>
      <c r="E811" s="154"/>
      <c r="F811" s="153"/>
      <c r="G811" s="153"/>
      <c r="H811" s="153"/>
      <c r="I811" s="153"/>
      <c r="J811" s="153"/>
      <c r="K811" s="153"/>
      <c r="L811" s="154"/>
      <c r="M811" s="154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ht="13.5" customHeight="1">
      <c r="A812" s="153"/>
      <c r="B812" s="153"/>
      <c r="C812" s="153"/>
      <c r="D812" s="154"/>
      <c r="E812" s="154"/>
      <c r="F812" s="153"/>
      <c r="G812" s="153"/>
      <c r="H812" s="153"/>
      <c r="I812" s="153"/>
      <c r="J812" s="153"/>
      <c r="K812" s="153"/>
      <c r="L812" s="154"/>
      <c r="M812" s="154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ht="13.5" customHeight="1">
      <c r="A813" s="153"/>
      <c r="B813" s="153"/>
      <c r="C813" s="153"/>
      <c r="D813" s="154"/>
      <c r="E813" s="154"/>
      <c r="F813" s="153"/>
      <c r="G813" s="153"/>
      <c r="H813" s="153"/>
      <c r="I813" s="153"/>
      <c r="J813" s="153"/>
      <c r="K813" s="153"/>
      <c r="L813" s="154"/>
      <c r="M813" s="154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ht="13.5" customHeight="1">
      <c r="A814" s="153"/>
      <c r="B814" s="153"/>
      <c r="C814" s="153"/>
      <c r="D814" s="154"/>
      <c r="E814" s="154"/>
      <c r="F814" s="153"/>
      <c r="G814" s="153"/>
      <c r="H814" s="153"/>
      <c r="I814" s="153"/>
      <c r="J814" s="153"/>
      <c r="K814" s="153"/>
      <c r="L814" s="154"/>
      <c r="M814" s="154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ht="13.5" customHeight="1">
      <c r="A815" s="153"/>
      <c r="B815" s="153"/>
      <c r="C815" s="153"/>
      <c r="D815" s="154"/>
      <c r="E815" s="154"/>
      <c r="F815" s="153"/>
      <c r="G815" s="153"/>
      <c r="H815" s="153"/>
      <c r="I815" s="153"/>
      <c r="J815" s="153"/>
      <c r="K815" s="153"/>
      <c r="L815" s="154"/>
      <c r="M815" s="154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ht="13.5" customHeight="1">
      <c r="A816" s="153"/>
      <c r="B816" s="153"/>
      <c r="C816" s="153"/>
      <c r="D816" s="154"/>
      <c r="E816" s="154"/>
      <c r="F816" s="153"/>
      <c r="G816" s="153"/>
      <c r="H816" s="153"/>
      <c r="I816" s="153"/>
      <c r="J816" s="153"/>
      <c r="K816" s="153"/>
      <c r="L816" s="154"/>
      <c r="M816" s="154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ht="13.5" customHeight="1">
      <c r="A817" s="153"/>
      <c r="B817" s="153"/>
      <c r="C817" s="153"/>
      <c r="D817" s="154"/>
      <c r="E817" s="154"/>
      <c r="F817" s="153"/>
      <c r="G817" s="153"/>
      <c r="H817" s="153"/>
      <c r="I817" s="153"/>
      <c r="J817" s="153"/>
      <c r="K817" s="153"/>
      <c r="L817" s="154"/>
      <c r="M817" s="154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ht="13.5" customHeight="1">
      <c r="A818" s="153"/>
      <c r="B818" s="153"/>
      <c r="C818" s="153"/>
      <c r="D818" s="154"/>
      <c r="E818" s="154"/>
      <c r="F818" s="153"/>
      <c r="G818" s="153"/>
      <c r="H818" s="153"/>
      <c r="I818" s="153"/>
      <c r="J818" s="153"/>
      <c r="K818" s="153"/>
      <c r="L818" s="154"/>
      <c r="M818" s="154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ht="13.5" customHeight="1">
      <c r="A819" s="153"/>
      <c r="B819" s="153"/>
      <c r="C819" s="153"/>
      <c r="D819" s="154"/>
      <c r="E819" s="154"/>
      <c r="F819" s="153"/>
      <c r="G819" s="153"/>
      <c r="H819" s="153"/>
      <c r="I819" s="153"/>
      <c r="J819" s="153"/>
      <c r="K819" s="153"/>
      <c r="L819" s="154"/>
      <c r="M819" s="154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ht="13.5" customHeight="1">
      <c r="A820" s="153"/>
      <c r="B820" s="153"/>
      <c r="C820" s="153"/>
      <c r="D820" s="154"/>
      <c r="E820" s="154"/>
      <c r="F820" s="153"/>
      <c r="G820" s="153"/>
      <c r="H820" s="153"/>
      <c r="I820" s="153"/>
      <c r="J820" s="153"/>
      <c r="K820" s="153"/>
      <c r="L820" s="154"/>
      <c r="M820" s="154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ht="13.5" customHeight="1">
      <c r="A821" s="153"/>
      <c r="B821" s="153"/>
      <c r="C821" s="153"/>
      <c r="D821" s="154"/>
      <c r="E821" s="154"/>
      <c r="F821" s="153"/>
      <c r="G821" s="153"/>
      <c r="H821" s="153"/>
      <c r="I821" s="153"/>
      <c r="J821" s="153"/>
      <c r="K821" s="153"/>
      <c r="L821" s="154"/>
      <c r="M821" s="154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ht="13.5" customHeight="1">
      <c r="A822" s="153"/>
      <c r="B822" s="153"/>
      <c r="C822" s="153"/>
      <c r="D822" s="154"/>
      <c r="E822" s="154"/>
      <c r="F822" s="153"/>
      <c r="G822" s="153"/>
      <c r="H822" s="153"/>
      <c r="I822" s="153"/>
      <c r="J822" s="153"/>
      <c r="K822" s="153"/>
      <c r="L822" s="154"/>
      <c r="M822" s="154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ht="13.5" customHeight="1">
      <c r="A823" s="153"/>
      <c r="B823" s="153"/>
      <c r="C823" s="153"/>
      <c r="D823" s="154"/>
      <c r="E823" s="154"/>
      <c r="F823" s="153"/>
      <c r="G823" s="153"/>
      <c r="H823" s="153"/>
      <c r="I823" s="153"/>
      <c r="J823" s="153"/>
      <c r="K823" s="153"/>
      <c r="L823" s="154"/>
      <c r="M823" s="154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ht="13.5" customHeight="1">
      <c r="A824" s="153"/>
      <c r="B824" s="153"/>
      <c r="C824" s="153"/>
      <c r="D824" s="154"/>
      <c r="E824" s="154"/>
      <c r="F824" s="153"/>
      <c r="G824" s="153"/>
      <c r="H824" s="153"/>
      <c r="I824" s="153"/>
      <c r="J824" s="153"/>
      <c r="K824" s="153"/>
      <c r="L824" s="154"/>
      <c r="M824" s="154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ht="13.5" customHeight="1">
      <c r="A825" s="153"/>
      <c r="B825" s="153"/>
      <c r="C825" s="153"/>
      <c r="D825" s="154"/>
      <c r="E825" s="154"/>
      <c r="F825" s="153"/>
      <c r="G825" s="153"/>
      <c r="H825" s="153"/>
      <c r="I825" s="153"/>
      <c r="J825" s="153"/>
      <c r="K825" s="153"/>
      <c r="L825" s="154"/>
      <c r="M825" s="154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ht="13.5" customHeight="1">
      <c r="A826" s="153"/>
      <c r="B826" s="153"/>
      <c r="C826" s="153"/>
      <c r="D826" s="154"/>
      <c r="E826" s="154"/>
      <c r="F826" s="153"/>
      <c r="G826" s="153"/>
      <c r="H826" s="153"/>
      <c r="I826" s="153"/>
      <c r="J826" s="153"/>
      <c r="K826" s="153"/>
      <c r="L826" s="154"/>
      <c r="M826" s="154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ht="13.5" customHeight="1">
      <c r="A827" s="153"/>
      <c r="B827" s="153"/>
      <c r="C827" s="153"/>
      <c r="D827" s="154"/>
      <c r="E827" s="154"/>
      <c r="F827" s="153"/>
      <c r="G827" s="153"/>
      <c r="H827" s="153"/>
      <c r="I827" s="153"/>
      <c r="J827" s="153"/>
      <c r="K827" s="153"/>
      <c r="L827" s="154"/>
      <c r="M827" s="154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ht="13.5" customHeight="1">
      <c r="A828" s="153"/>
      <c r="B828" s="153"/>
      <c r="C828" s="153"/>
      <c r="D828" s="154"/>
      <c r="E828" s="154"/>
      <c r="F828" s="153"/>
      <c r="G828" s="153"/>
      <c r="H828" s="153"/>
      <c r="I828" s="153"/>
      <c r="J828" s="153"/>
      <c r="K828" s="153"/>
      <c r="L828" s="154"/>
      <c r="M828" s="154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ht="13.5" customHeight="1">
      <c r="A829" s="153"/>
      <c r="B829" s="153"/>
      <c r="C829" s="153"/>
      <c r="D829" s="154"/>
      <c r="E829" s="154"/>
      <c r="F829" s="153"/>
      <c r="G829" s="153"/>
      <c r="H829" s="153"/>
      <c r="I829" s="153"/>
      <c r="J829" s="153"/>
      <c r="K829" s="153"/>
      <c r="L829" s="154"/>
      <c r="M829" s="154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ht="13.5" customHeight="1">
      <c r="A830" s="153"/>
      <c r="B830" s="153"/>
      <c r="C830" s="153"/>
      <c r="D830" s="154"/>
      <c r="E830" s="154"/>
      <c r="F830" s="153"/>
      <c r="G830" s="153"/>
      <c r="H830" s="153"/>
      <c r="I830" s="153"/>
      <c r="J830" s="153"/>
      <c r="K830" s="153"/>
      <c r="L830" s="154"/>
      <c r="M830" s="154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ht="13.5" customHeight="1">
      <c r="A831" s="153"/>
      <c r="B831" s="153"/>
      <c r="C831" s="153"/>
      <c r="D831" s="154"/>
      <c r="E831" s="154"/>
      <c r="F831" s="153"/>
      <c r="G831" s="153"/>
      <c r="H831" s="153"/>
      <c r="I831" s="153"/>
      <c r="J831" s="153"/>
      <c r="K831" s="153"/>
      <c r="L831" s="154"/>
      <c r="M831" s="154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ht="13.5" customHeight="1">
      <c r="A832" s="153"/>
      <c r="B832" s="153"/>
      <c r="C832" s="153"/>
      <c r="D832" s="154"/>
      <c r="E832" s="154"/>
      <c r="F832" s="153"/>
      <c r="G832" s="153"/>
      <c r="H832" s="153"/>
      <c r="I832" s="153"/>
      <c r="J832" s="153"/>
      <c r="K832" s="153"/>
      <c r="L832" s="154"/>
      <c r="M832" s="154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ht="13.5" customHeight="1">
      <c r="A833" s="153"/>
      <c r="B833" s="153"/>
      <c r="C833" s="153"/>
      <c r="D833" s="154"/>
      <c r="E833" s="154"/>
      <c r="F833" s="153"/>
      <c r="G833" s="153"/>
      <c r="H833" s="153"/>
      <c r="I833" s="153"/>
      <c r="J833" s="153"/>
      <c r="K833" s="153"/>
      <c r="L833" s="154"/>
      <c r="M833" s="154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ht="13.5" customHeight="1">
      <c r="A834" s="153"/>
      <c r="B834" s="153"/>
      <c r="C834" s="153"/>
      <c r="D834" s="154"/>
      <c r="E834" s="154"/>
      <c r="F834" s="153"/>
      <c r="G834" s="153"/>
      <c r="H834" s="153"/>
      <c r="I834" s="153"/>
      <c r="J834" s="153"/>
      <c r="K834" s="153"/>
      <c r="L834" s="154"/>
      <c r="M834" s="154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ht="13.5" customHeight="1">
      <c r="A835" s="153"/>
      <c r="B835" s="153"/>
      <c r="C835" s="153"/>
      <c r="D835" s="154"/>
      <c r="E835" s="154"/>
      <c r="F835" s="153"/>
      <c r="G835" s="153"/>
      <c r="H835" s="153"/>
      <c r="I835" s="153"/>
      <c r="J835" s="153"/>
      <c r="K835" s="153"/>
      <c r="L835" s="154"/>
      <c r="M835" s="154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ht="13.5" customHeight="1">
      <c r="A836" s="153"/>
      <c r="B836" s="153"/>
      <c r="C836" s="153"/>
      <c r="D836" s="154"/>
      <c r="E836" s="154"/>
      <c r="F836" s="153"/>
      <c r="G836" s="153"/>
      <c r="H836" s="153"/>
      <c r="I836" s="153"/>
      <c r="J836" s="153"/>
      <c r="K836" s="153"/>
      <c r="L836" s="154"/>
      <c r="M836" s="154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ht="13.5" customHeight="1">
      <c r="A837" s="153"/>
      <c r="B837" s="153"/>
      <c r="C837" s="153"/>
      <c r="D837" s="154"/>
      <c r="E837" s="154"/>
      <c r="F837" s="153"/>
      <c r="G837" s="153"/>
      <c r="H837" s="153"/>
      <c r="I837" s="153"/>
      <c r="J837" s="153"/>
      <c r="K837" s="153"/>
      <c r="L837" s="154"/>
      <c r="M837" s="154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ht="13.5" customHeight="1">
      <c r="A838" s="153"/>
      <c r="B838" s="153"/>
      <c r="C838" s="153"/>
      <c r="D838" s="154"/>
      <c r="E838" s="154"/>
      <c r="F838" s="153"/>
      <c r="G838" s="153"/>
      <c r="H838" s="153"/>
      <c r="I838" s="153"/>
      <c r="J838" s="153"/>
      <c r="K838" s="153"/>
      <c r="L838" s="154"/>
      <c r="M838" s="154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ht="13.5" customHeight="1">
      <c r="A839" s="153"/>
      <c r="B839" s="153"/>
      <c r="C839" s="153"/>
      <c r="D839" s="154"/>
      <c r="E839" s="154"/>
      <c r="F839" s="153"/>
      <c r="G839" s="153"/>
      <c r="H839" s="153"/>
      <c r="I839" s="153"/>
      <c r="J839" s="153"/>
      <c r="K839" s="153"/>
      <c r="L839" s="154"/>
      <c r="M839" s="154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ht="13.5" customHeight="1">
      <c r="A840" s="153"/>
      <c r="B840" s="153"/>
      <c r="C840" s="153"/>
      <c r="D840" s="154"/>
      <c r="E840" s="154"/>
      <c r="F840" s="153"/>
      <c r="G840" s="153"/>
      <c r="H840" s="153"/>
      <c r="I840" s="153"/>
      <c r="J840" s="153"/>
      <c r="K840" s="153"/>
      <c r="L840" s="154"/>
      <c r="M840" s="154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ht="13.5" customHeight="1">
      <c r="A841" s="153"/>
      <c r="B841" s="153"/>
      <c r="C841" s="153"/>
      <c r="D841" s="154"/>
      <c r="E841" s="154"/>
      <c r="F841" s="153"/>
      <c r="G841" s="153"/>
      <c r="H841" s="153"/>
      <c r="I841" s="153"/>
      <c r="J841" s="153"/>
      <c r="K841" s="153"/>
      <c r="L841" s="154"/>
      <c r="M841" s="154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ht="13.5" customHeight="1">
      <c r="A842" s="153"/>
      <c r="B842" s="153"/>
      <c r="C842" s="153"/>
      <c r="D842" s="154"/>
      <c r="E842" s="154"/>
      <c r="F842" s="153"/>
      <c r="G842" s="153"/>
      <c r="H842" s="153"/>
      <c r="I842" s="153"/>
      <c r="J842" s="153"/>
      <c r="K842" s="153"/>
      <c r="L842" s="154"/>
      <c r="M842" s="154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ht="13.5" customHeight="1">
      <c r="A843" s="153"/>
      <c r="B843" s="153"/>
      <c r="C843" s="153"/>
      <c r="D843" s="154"/>
      <c r="E843" s="154"/>
      <c r="F843" s="153"/>
      <c r="G843" s="153"/>
      <c r="H843" s="153"/>
      <c r="I843" s="153"/>
      <c r="J843" s="153"/>
      <c r="K843" s="153"/>
      <c r="L843" s="154"/>
      <c r="M843" s="154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ht="13.5" customHeight="1">
      <c r="A844" s="153"/>
      <c r="B844" s="153"/>
      <c r="C844" s="153"/>
      <c r="D844" s="154"/>
      <c r="E844" s="154"/>
      <c r="F844" s="153"/>
      <c r="G844" s="153"/>
      <c r="H844" s="153"/>
      <c r="I844" s="153"/>
      <c r="J844" s="153"/>
      <c r="K844" s="153"/>
      <c r="L844" s="154"/>
      <c r="M844" s="154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ht="13.5" customHeight="1">
      <c r="A845" s="153"/>
      <c r="B845" s="153"/>
      <c r="C845" s="153"/>
      <c r="D845" s="154"/>
      <c r="E845" s="154"/>
      <c r="F845" s="153"/>
      <c r="G845" s="153"/>
      <c r="H845" s="153"/>
      <c r="I845" s="153"/>
      <c r="J845" s="153"/>
      <c r="K845" s="153"/>
      <c r="L845" s="154"/>
      <c r="M845" s="154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ht="13.5" customHeight="1">
      <c r="A846" s="153"/>
      <c r="B846" s="153"/>
      <c r="C846" s="153"/>
      <c r="D846" s="154"/>
      <c r="E846" s="154"/>
      <c r="F846" s="153"/>
      <c r="G846" s="153"/>
      <c r="H846" s="153"/>
      <c r="I846" s="153"/>
      <c r="J846" s="153"/>
      <c r="K846" s="153"/>
      <c r="L846" s="154"/>
      <c r="M846" s="154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ht="13.5" customHeight="1">
      <c r="A847" s="153"/>
      <c r="B847" s="153"/>
      <c r="C847" s="153"/>
      <c r="D847" s="154"/>
      <c r="E847" s="154"/>
      <c r="F847" s="153"/>
      <c r="G847" s="153"/>
      <c r="H847" s="153"/>
      <c r="I847" s="153"/>
      <c r="J847" s="153"/>
      <c r="K847" s="153"/>
      <c r="L847" s="154"/>
      <c r="M847" s="154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ht="13.5" customHeight="1">
      <c r="A848" s="153"/>
      <c r="B848" s="153"/>
      <c r="C848" s="153"/>
      <c r="D848" s="154"/>
      <c r="E848" s="154"/>
      <c r="F848" s="153"/>
      <c r="G848" s="153"/>
      <c r="H848" s="153"/>
      <c r="I848" s="153"/>
      <c r="J848" s="153"/>
      <c r="K848" s="153"/>
      <c r="L848" s="154"/>
      <c r="M848" s="154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ht="13.5" customHeight="1">
      <c r="A849" s="153"/>
      <c r="B849" s="153"/>
      <c r="C849" s="153"/>
      <c r="D849" s="154"/>
      <c r="E849" s="154"/>
      <c r="F849" s="153"/>
      <c r="G849" s="153"/>
      <c r="H849" s="153"/>
      <c r="I849" s="153"/>
      <c r="J849" s="153"/>
      <c r="K849" s="153"/>
      <c r="L849" s="154"/>
      <c r="M849" s="154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ht="13.5" customHeight="1">
      <c r="A850" s="153"/>
      <c r="B850" s="153"/>
      <c r="C850" s="153"/>
      <c r="D850" s="154"/>
      <c r="E850" s="154"/>
      <c r="F850" s="153"/>
      <c r="G850" s="153"/>
      <c r="H850" s="153"/>
      <c r="I850" s="153"/>
      <c r="J850" s="153"/>
      <c r="K850" s="153"/>
      <c r="L850" s="154"/>
      <c r="M850" s="154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ht="13.5" customHeight="1">
      <c r="A851" s="153"/>
      <c r="B851" s="153"/>
      <c r="C851" s="153"/>
      <c r="D851" s="154"/>
      <c r="E851" s="154"/>
      <c r="F851" s="153"/>
      <c r="G851" s="153"/>
      <c r="H851" s="153"/>
      <c r="I851" s="153"/>
      <c r="J851" s="153"/>
      <c r="K851" s="153"/>
      <c r="L851" s="154"/>
      <c r="M851" s="154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ht="13.5" customHeight="1">
      <c r="A852" s="153"/>
      <c r="B852" s="153"/>
      <c r="C852" s="153"/>
      <c r="D852" s="154"/>
      <c r="E852" s="154"/>
      <c r="F852" s="153"/>
      <c r="G852" s="153"/>
      <c r="H852" s="153"/>
      <c r="I852" s="153"/>
      <c r="J852" s="153"/>
      <c r="K852" s="153"/>
      <c r="L852" s="154"/>
      <c r="M852" s="154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ht="13.5" customHeight="1">
      <c r="A853" s="153"/>
      <c r="B853" s="153"/>
      <c r="C853" s="153"/>
      <c r="D853" s="154"/>
      <c r="E853" s="154"/>
      <c r="F853" s="153"/>
      <c r="G853" s="153"/>
      <c r="H853" s="153"/>
      <c r="I853" s="153"/>
      <c r="J853" s="153"/>
      <c r="K853" s="153"/>
      <c r="L853" s="154"/>
      <c r="M853" s="154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ht="13.5" customHeight="1">
      <c r="A854" s="153"/>
      <c r="B854" s="153"/>
      <c r="C854" s="153"/>
      <c r="D854" s="154"/>
      <c r="E854" s="154"/>
      <c r="F854" s="153"/>
      <c r="G854" s="153"/>
      <c r="H854" s="153"/>
      <c r="I854" s="153"/>
      <c r="J854" s="153"/>
      <c r="K854" s="153"/>
      <c r="L854" s="154"/>
      <c r="M854" s="154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ht="13.5" customHeight="1">
      <c r="A855" s="153"/>
      <c r="B855" s="153"/>
      <c r="C855" s="153"/>
      <c r="D855" s="154"/>
      <c r="E855" s="154"/>
      <c r="F855" s="153"/>
      <c r="G855" s="153"/>
      <c r="H855" s="153"/>
      <c r="I855" s="153"/>
      <c r="J855" s="153"/>
      <c r="K855" s="153"/>
      <c r="L855" s="154"/>
      <c r="M855" s="154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ht="13.5" customHeight="1">
      <c r="A856" s="153"/>
      <c r="B856" s="153"/>
      <c r="C856" s="153"/>
      <c r="D856" s="154"/>
      <c r="E856" s="154"/>
      <c r="F856" s="153"/>
      <c r="G856" s="153"/>
      <c r="H856" s="153"/>
      <c r="I856" s="153"/>
      <c r="J856" s="153"/>
      <c r="K856" s="153"/>
      <c r="L856" s="154"/>
      <c r="M856" s="154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ht="13.5" customHeight="1">
      <c r="A857" s="153"/>
      <c r="B857" s="153"/>
      <c r="C857" s="153"/>
      <c r="D857" s="154"/>
      <c r="E857" s="154"/>
      <c r="F857" s="153"/>
      <c r="G857" s="153"/>
      <c r="H857" s="153"/>
      <c r="I857" s="153"/>
      <c r="J857" s="153"/>
      <c r="K857" s="153"/>
      <c r="L857" s="154"/>
      <c r="M857" s="154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ht="13.5" customHeight="1">
      <c r="A858" s="153"/>
      <c r="B858" s="153"/>
      <c r="C858" s="153"/>
      <c r="D858" s="154"/>
      <c r="E858" s="154"/>
      <c r="F858" s="153"/>
      <c r="G858" s="153"/>
      <c r="H858" s="153"/>
      <c r="I858" s="153"/>
      <c r="J858" s="153"/>
      <c r="K858" s="153"/>
      <c r="L858" s="154"/>
      <c r="M858" s="154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ht="13.5" customHeight="1">
      <c r="A859" s="153"/>
      <c r="B859" s="153"/>
      <c r="C859" s="153"/>
      <c r="D859" s="154"/>
      <c r="E859" s="154"/>
      <c r="F859" s="153"/>
      <c r="G859" s="153"/>
      <c r="H859" s="153"/>
      <c r="I859" s="153"/>
      <c r="J859" s="153"/>
      <c r="K859" s="153"/>
      <c r="L859" s="154"/>
      <c r="M859" s="154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ht="13.5" customHeight="1">
      <c r="A860" s="153"/>
      <c r="B860" s="153"/>
      <c r="C860" s="153"/>
      <c r="D860" s="154"/>
      <c r="E860" s="154"/>
      <c r="F860" s="153"/>
      <c r="G860" s="153"/>
      <c r="H860" s="153"/>
      <c r="I860" s="153"/>
      <c r="J860" s="153"/>
      <c r="K860" s="153"/>
      <c r="L860" s="154"/>
      <c r="M860" s="154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ht="13.5" customHeight="1">
      <c r="A861" s="153"/>
      <c r="B861" s="153"/>
      <c r="C861" s="153"/>
      <c r="D861" s="154"/>
      <c r="E861" s="154"/>
      <c r="F861" s="153"/>
      <c r="G861" s="153"/>
      <c r="H861" s="153"/>
      <c r="I861" s="153"/>
      <c r="J861" s="153"/>
      <c r="K861" s="153"/>
      <c r="L861" s="154"/>
      <c r="M861" s="154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ht="13.5" customHeight="1">
      <c r="A862" s="153"/>
      <c r="B862" s="153"/>
      <c r="C862" s="153"/>
      <c r="D862" s="154"/>
      <c r="E862" s="154"/>
      <c r="F862" s="153"/>
      <c r="G862" s="153"/>
      <c r="H862" s="153"/>
      <c r="I862" s="153"/>
      <c r="J862" s="153"/>
      <c r="K862" s="153"/>
      <c r="L862" s="154"/>
      <c r="M862" s="154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ht="13.5" customHeight="1">
      <c r="A863" s="153"/>
      <c r="B863" s="153"/>
      <c r="C863" s="153"/>
      <c r="D863" s="154"/>
      <c r="E863" s="154"/>
      <c r="F863" s="153"/>
      <c r="G863" s="153"/>
      <c r="H863" s="153"/>
      <c r="I863" s="153"/>
      <c r="J863" s="153"/>
      <c r="K863" s="153"/>
      <c r="L863" s="154"/>
      <c r="M863" s="154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ht="13.5" customHeight="1">
      <c r="A864" s="153"/>
      <c r="B864" s="153"/>
      <c r="C864" s="153"/>
      <c r="D864" s="154"/>
      <c r="E864" s="154"/>
      <c r="F864" s="153"/>
      <c r="G864" s="153"/>
      <c r="H864" s="153"/>
      <c r="I864" s="153"/>
      <c r="J864" s="153"/>
      <c r="K864" s="153"/>
      <c r="L864" s="154"/>
      <c r="M864" s="154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ht="13.5" customHeight="1">
      <c r="A865" s="153"/>
      <c r="B865" s="153"/>
      <c r="C865" s="153"/>
      <c r="D865" s="154"/>
      <c r="E865" s="154"/>
      <c r="F865" s="153"/>
      <c r="G865" s="153"/>
      <c r="H865" s="153"/>
      <c r="I865" s="153"/>
      <c r="J865" s="153"/>
      <c r="K865" s="153"/>
      <c r="L865" s="154"/>
      <c r="M865" s="154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ht="13.5" customHeight="1">
      <c r="A866" s="153"/>
      <c r="B866" s="153"/>
      <c r="C866" s="153"/>
      <c r="D866" s="154"/>
      <c r="E866" s="154"/>
      <c r="F866" s="153"/>
      <c r="G866" s="153"/>
      <c r="H866" s="153"/>
      <c r="I866" s="153"/>
      <c r="J866" s="153"/>
      <c r="K866" s="153"/>
      <c r="L866" s="154"/>
      <c r="M866" s="154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ht="13.5" customHeight="1">
      <c r="A867" s="153"/>
      <c r="B867" s="153"/>
      <c r="C867" s="153"/>
      <c r="D867" s="154"/>
      <c r="E867" s="154"/>
      <c r="F867" s="153"/>
      <c r="G867" s="153"/>
      <c r="H867" s="153"/>
      <c r="I867" s="153"/>
      <c r="J867" s="153"/>
      <c r="K867" s="153"/>
      <c r="L867" s="154"/>
      <c r="M867" s="154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ht="13.5" customHeight="1">
      <c r="A868" s="153"/>
      <c r="B868" s="153"/>
      <c r="C868" s="153"/>
      <c r="D868" s="154"/>
      <c r="E868" s="154"/>
      <c r="F868" s="153"/>
      <c r="G868" s="153"/>
      <c r="H868" s="153"/>
      <c r="I868" s="153"/>
      <c r="J868" s="153"/>
      <c r="K868" s="153"/>
      <c r="L868" s="154"/>
      <c r="M868" s="154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ht="13.5" customHeight="1">
      <c r="A869" s="153"/>
      <c r="B869" s="153"/>
      <c r="C869" s="153"/>
      <c r="D869" s="154"/>
      <c r="E869" s="154"/>
      <c r="F869" s="153"/>
      <c r="G869" s="153"/>
      <c r="H869" s="153"/>
      <c r="I869" s="153"/>
      <c r="J869" s="153"/>
      <c r="K869" s="153"/>
      <c r="L869" s="154"/>
      <c r="M869" s="154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ht="13.5" customHeight="1">
      <c r="A870" s="153"/>
      <c r="B870" s="153"/>
      <c r="C870" s="153"/>
      <c r="D870" s="154"/>
      <c r="E870" s="154"/>
      <c r="F870" s="153"/>
      <c r="G870" s="153"/>
      <c r="H870" s="153"/>
      <c r="I870" s="153"/>
      <c r="J870" s="153"/>
      <c r="K870" s="153"/>
      <c r="L870" s="154"/>
      <c r="M870" s="154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ht="13.5" customHeight="1">
      <c r="A871" s="153"/>
      <c r="B871" s="153"/>
      <c r="C871" s="153"/>
      <c r="D871" s="154"/>
      <c r="E871" s="154"/>
      <c r="F871" s="153"/>
      <c r="G871" s="153"/>
      <c r="H871" s="153"/>
      <c r="I871" s="153"/>
      <c r="J871" s="153"/>
      <c r="K871" s="153"/>
      <c r="L871" s="154"/>
      <c r="M871" s="154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ht="13.5" customHeight="1">
      <c r="A872" s="153"/>
      <c r="B872" s="153"/>
      <c r="C872" s="153"/>
      <c r="D872" s="154"/>
      <c r="E872" s="154"/>
      <c r="F872" s="153"/>
      <c r="G872" s="153"/>
      <c r="H872" s="153"/>
      <c r="I872" s="153"/>
      <c r="J872" s="153"/>
      <c r="K872" s="153"/>
      <c r="L872" s="154"/>
      <c r="M872" s="154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ht="13.5" customHeight="1">
      <c r="A873" s="153"/>
      <c r="B873" s="153"/>
      <c r="C873" s="153"/>
      <c r="D873" s="154"/>
      <c r="E873" s="154"/>
      <c r="F873" s="153"/>
      <c r="G873" s="153"/>
      <c r="H873" s="153"/>
      <c r="I873" s="153"/>
      <c r="J873" s="153"/>
      <c r="K873" s="153"/>
      <c r="L873" s="154"/>
      <c r="M873" s="154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ht="13.5" customHeight="1">
      <c r="A874" s="153"/>
      <c r="B874" s="153"/>
      <c r="C874" s="153"/>
      <c r="D874" s="154"/>
      <c r="E874" s="154"/>
      <c r="F874" s="153"/>
      <c r="G874" s="153"/>
      <c r="H874" s="153"/>
      <c r="I874" s="153"/>
      <c r="J874" s="153"/>
      <c r="K874" s="153"/>
      <c r="L874" s="154"/>
      <c r="M874" s="154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ht="13.5" customHeight="1">
      <c r="A875" s="153"/>
      <c r="B875" s="153"/>
      <c r="C875" s="153"/>
      <c r="D875" s="154"/>
      <c r="E875" s="154"/>
      <c r="F875" s="153"/>
      <c r="G875" s="153"/>
      <c r="H875" s="153"/>
      <c r="I875" s="153"/>
      <c r="J875" s="153"/>
      <c r="K875" s="153"/>
      <c r="L875" s="154"/>
      <c r="M875" s="154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ht="13.5" customHeight="1">
      <c r="A876" s="153"/>
      <c r="B876" s="153"/>
      <c r="C876" s="153"/>
      <c r="D876" s="154"/>
      <c r="E876" s="154"/>
      <c r="F876" s="153"/>
      <c r="G876" s="153"/>
      <c r="H876" s="153"/>
      <c r="I876" s="153"/>
      <c r="J876" s="153"/>
      <c r="K876" s="153"/>
      <c r="L876" s="154"/>
      <c r="M876" s="154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ht="13.5" customHeight="1">
      <c r="A877" s="153"/>
      <c r="B877" s="153"/>
      <c r="C877" s="153"/>
      <c r="D877" s="154"/>
      <c r="E877" s="154"/>
      <c r="F877" s="153"/>
      <c r="G877" s="153"/>
      <c r="H877" s="153"/>
      <c r="I877" s="153"/>
      <c r="J877" s="153"/>
      <c r="K877" s="153"/>
      <c r="L877" s="154"/>
      <c r="M877" s="154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ht="13.5" customHeight="1">
      <c r="A878" s="153"/>
      <c r="B878" s="153"/>
      <c r="C878" s="153"/>
      <c r="D878" s="154"/>
      <c r="E878" s="154"/>
      <c r="F878" s="153"/>
      <c r="G878" s="153"/>
      <c r="H878" s="153"/>
      <c r="I878" s="153"/>
      <c r="J878" s="153"/>
      <c r="K878" s="153"/>
      <c r="L878" s="154"/>
      <c r="M878" s="154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ht="13.5" customHeight="1">
      <c r="A879" s="153"/>
      <c r="B879" s="153"/>
      <c r="C879" s="153"/>
      <c r="D879" s="154"/>
      <c r="E879" s="154"/>
      <c r="F879" s="153"/>
      <c r="G879" s="153"/>
      <c r="H879" s="153"/>
      <c r="I879" s="153"/>
      <c r="J879" s="153"/>
      <c r="K879" s="153"/>
      <c r="L879" s="154"/>
      <c r="M879" s="154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ht="13.5" customHeight="1">
      <c r="A880" s="153"/>
      <c r="B880" s="153"/>
      <c r="C880" s="153"/>
      <c r="D880" s="154"/>
      <c r="E880" s="154"/>
      <c r="F880" s="153"/>
      <c r="G880" s="153"/>
      <c r="H880" s="153"/>
      <c r="I880" s="153"/>
      <c r="J880" s="153"/>
      <c r="K880" s="153"/>
      <c r="L880" s="154"/>
      <c r="M880" s="154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ht="13.5" customHeight="1">
      <c r="A881" s="153"/>
      <c r="B881" s="153"/>
      <c r="C881" s="153"/>
      <c r="D881" s="154"/>
      <c r="E881" s="154"/>
      <c r="F881" s="153"/>
      <c r="G881" s="153"/>
      <c r="H881" s="153"/>
      <c r="I881" s="153"/>
      <c r="J881" s="153"/>
      <c r="K881" s="153"/>
      <c r="L881" s="154"/>
      <c r="M881" s="154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ht="13.5" customHeight="1">
      <c r="A882" s="153"/>
      <c r="B882" s="153"/>
      <c r="C882" s="153"/>
      <c r="D882" s="154"/>
      <c r="E882" s="154"/>
      <c r="F882" s="153"/>
      <c r="G882" s="153"/>
      <c r="H882" s="153"/>
      <c r="I882" s="153"/>
      <c r="J882" s="153"/>
      <c r="K882" s="153"/>
      <c r="L882" s="154"/>
      <c r="M882" s="154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ht="13.5" customHeight="1">
      <c r="A883" s="153"/>
      <c r="B883" s="153"/>
      <c r="C883" s="153"/>
      <c r="D883" s="154"/>
      <c r="E883" s="154"/>
      <c r="F883" s="153"/>
      <c r="G883" s="153"/>
      <c r="H883" s="153"/>
      <c r="I883" s="153"/>
      <c r="J883" s="153"/>
      <c r="K883" s="153"/>
      <c r="L883" s="154"/>
      <c r="M883" s="154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ht="13.5" customHeight="1">
      <c r="A884" s="153"/>
      <c r="B884" s="153"/>
      <c r="C884" s="153"/>
      <c r="D884" s="154"/>
      <c r="E884" s="154"/>
      <c r="F884" s="153"/>
      <c r="G884" s="153"/>
      <c r="H884" s="153"/>
      <c r="I884" s="153"/>
      <c r="J884" s="153"/>
      <c r="K884" s="153"/>
      <c r="L884" s="154"/>
      <c r="M884" s="154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ht="13.5" customHeight="1">
      <c r="A885" s="153"/>
      <c r="B885" s="153"/>
      <c r="C885" s="153"/>
      <c r="D885" s="154"/>
      <c r="E885" s="154"/>
      <c r="F885" s="153"/>
      <c r="G885" s="153"/>
      <c r="H885" s="153"/>
      <c r="I885" s="153"/>
      <c r="J885" s="153"/>
      <c r="K885" s="153"/>
      <c r="L885" s="154"/>
      <c r="M885" s="154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ht="13.5" customHeight="1">
      <c r="A886" s="153"/>
      <c r="B886" s="153"/>
      <c r="C886" s="153"/>
      <c r="D886" s="154"/>
      <c r="E886" s="154"/>
      <c r="F886" s="153"/>
      <c r="G886" s="153"/>
      <c r="H886" s="153"/>
      <c r="I886" s="153"/>
      <c r="J886" s="153"/>
      <c r="K886" s="153"/>
      <c r="L886" s="154"/>
      <c r="M886" s="154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ht="13.5" customHeight="1">
      <c r="A887" s="153"/>
      <c r="B887" s="153"/>
      <c r="C887" s="153"/>
      <c r="D887" s="154"/>
      <c r="E887" s="154"/>
      <c r="F887" s="153"/>
      <c r="G887" s="153"/>
      <c r="H887" s="153"/>
      <c r="I887" s="153"/>
      <c r="J887" s="153"/>
      <c r="K887" s="153"/>
      <c r="L887" s="154"/>
      <c r="M887" s="154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ht="13.5" customHeight="1">
      <c r="A888" s="153"/>
      <c r="B888" s="153"/>
      <c r="C888" s="153"/>
      <c r="D888" s="154"/>
      <c r="E888" s="154"/>
      <c r="F888" s="153"/>
      <c r="G888" s="153"/>
      <c r="H888" s="153"/>
      <c r="I888" s="153"/>
      <c r="J888" s="153"/>
      <c r="K888" s="153"/>
      <c r="L888" s="154"/>
      <c r="M888" s="154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ht="13.5" customHeight="1">
      <c r="A889" s="153"/>
      <c r="B889" s="153"/>
      <c r="C889" s="153"/>
      <c r="D889" s="154"/>
      <c r="E889" s="154"/>
      <c r="F889" s="153"/>
      <c r="G889" s="153"/>
      <c r="H889" s="153"/>
      <c r="I889" s="153"/>
      <c r="J889" s="153"/>
      <c r="K889" s="153"/>
      <c r="L889" s="154"/>
      <c r="M889" s="154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ht="13.5" customHeight="1">
      <c r="A890" s="153"/>
      <c r="B890" s="153"/>
      <c r="C890" s="153"/>
      <c r="D890" s="154"/>
      <c r="E890" s="154"/>
      <c r="F890" s="153"/>
      <c r="G890" s="153"/>
      <c r="H890" s="153"/>
      <c r="I890" s="153"/>
      <c r="J890" s="153"/>
      <c r="K890" s="153"/>
      <c r="L890" s="154"/>
      <c r="M890" s="154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ht="13.5" customHeight="1">
      <c r="A891" s="153"/>
      <c r="B891" s="153"/>
      <c r="C891" s="153"/>
      <c r="D891" s="154"/>
      <c r="E891" s="154"/>
      <c r="F891" s="153"/>
      <c r="G891" s="153"/>
      <c r="H891" s="153"/>
      <c r="I891" s="153"/>
      <c r="J891" s="153"/>
      <c r="K891" s="153"/>
      <c r="L891" s="154"/>
      <c r="M891" s="154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ht="13.5" customHeight="1">
      <c r="A892" s="153"/>
      <c r="B892" s="153"/>
      <c r="C892" s="153"/>
      <c r="D892" s="154"/>
      <c r="E892" s="154"/>
      <c r="F892" s="153"/>
      <c r="G892" s="153"/>
      <c r="H892" s="153"/>
      <c r="I892" s="153"/>
      <c r="J892" s="153"/>
      <c r="K892" s="153"/>
      <c r="L892" s="154"/>
      <c r="M892" s="154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ht="13.5" customHeight="1">
      <c r="A893" s="153"/>
      <c r="B893" s="153"/>
      <c r="C893" s="153"/>
      <c r="D893" s="154"/>
      <c r="E893" s="154"/>
      <c r="F893" s="153"/>
      <c r="G893" s="153"/>
      <c r="H893" s="153"/>
      <c r="I893" s="153"/>
      <c r="J893" s="153"/>
      <c r="K893" s="153"/>
      <c r="L893" s="154"/>
      <c r="M893" s="154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ht="13.5" customHeight="1">
      <c r="A894" s="153"/>
      <c r="B894" s="153"/>
      <c r="C894" s="153"/>
      <c r="D894" s="154"/>
      <c r="E894" s="154"/>
      <c r="F894" s="153"/>
      <c r="G894" s="153"/>
      <c r="H894" s="153"/>
      <c r="I894" s="153"/>
      <c r="J894" s="153"/>
      <c r="K894" s="153"/>
      <c r="L894" s="154"/>
      <c r="M894" s="154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ht="13.5" customHeight="1">
      <c r="A895" s="153"/>
      <c r="B895" s="153"/>
      <c r="C895" s="153"/>
      <c r="D895" s="154"/>
      <c r="E895" s="154"/>
      <c r="F895" s="153"/>
      <c r="G895" s="153"/>
      <c r="H895" s="153"/>
      <c r="I895" s="153"/>
      <c r="J895" s="153"/>
      <c r="K895" s="153"/>
      <c r="L895" s="154"/>
      <c r="M895" s="154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ht="13.5" customHeight="1">
      <c r="A896" s="153"/>
      <c r="B896" s="153"/>
      <c r="C896" s="153"/>
      <c r="D896" s="154"/>
      <c r="E896" s="154"/>
      <c r="F896" s="153"/>
      <c r="G896" s="153"/>
      <c r="H896" s="153"/>
      <c r="I896" s="153"/>
      <c r="J896" s="153"/>
      <c r="K896" s="153"/>
      <c r="L896" s="154"/>
      <c r="M896" s="154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ht="13.5" customHeight="1">
      <c r="A897" s="153"/>
      <c r="B897" s="153"/>
      <c r="C897" s="153"/>
      <c r="D897" s="154"/>
      <c r="E897" s="154"/>
      <c r="F897" s="153"/>
      <c r="G897" s="153"/>
      <c r="H897" s="153"/>
      <c r="I897" s="153"/>
      <c r="J897" s="153"/>
      <c r="K897" s="153"/>
      <c r="L897" s="154"/>
      <c r="M897" s="154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ht="13.5" customHeight="1">
      <c r="A898" s="153"/>
      <c r="B898" s="153"/>
      <c r="C898" s="153"/>
      <c r="D898" s="154"/>
      <c r="E898" s="154"/>
      <c r="F898" s="153"/>
      <c r="G898" s="153"/>
      <c r="H898" s="153"/>
      <c r="I898" s="153"/>
      <c r="J898" s="153"/>
      <c r="K898" s="153"/>
      <c r="L898" s="154"/>
      <c r="M898" s="154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ht="13.5" customHeight="1">
      <c r="A899" s="153"/>
      <c r="B899" s="153"/>
      <c r="C899" s="153"/>
      <c r="D899" s="154"/>
      <c r="E899" s="154"/>
      <c r="F899" s="153"/>
      <c r="G899" s="153"/>
      <c r="H899" s="153"/>
      <c r="I899" s="153"/>
      <c r="J899" s="153"/>
      <c r="K899" s="153"/>
      <c r="L899" s="154"/>
      <c r="M899" s="154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ht="13.5" customHeight="1">
      <c r="A900" s="153"/>
      <c r="B900" s="153"/>
      <c r="C900" s="153"/>
      <c r="D900" s="154"/>
      <c r="E900" s="154"/>
      <c r="F900" s="153"/>
      <c r="G900" s="153"/>
      <c r="H900" s="153"/>
      <c r="I900" s="153"/>
      <c r="J900" s="153"/>
      <c r="K900" s="153"/>
      <c r="L900" s="154"/>
      <c r="M900" s="154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ht="13.5" customHeight="1">
      <c r="A901" s="153"/>
      <c r="B901" s="153"/>
      <c r="C901" s="153"/>
      <c r="D901" s="154"/>
      <c r="E901" s="154"/>
      <c r="F901" s="153"/>
      <c r="G901" s="153"/>
      <c r="H901" s="153"/>
      <c r="I901" s="153"/>
      <c r="J901" s="153"/>
      <c r="K901" s="153"/>
      <c r="L901" s="154"/>
      <c r="M901" s="154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ht="13.5" customHeight="1">
      <c r="A902" s="153"/>
      <c r="B902" s="153"/>
      <c r="C902" s="153"/>
      <c r="D902" s="154"/>
      <c r="E902" s="154"/>
      <c r="F902" s="153"/>
      <c r="G902" s="153"/>
      <c r="H902" s="153"/>
      <c r="I902" s="153"/>
      <c r="J902" s="153"/>
      <c r="K902" s="153"/>
      <c r="L902" s="154"/>
      <c r="M902" s="154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ht="13.5" customHeight="1">
      <c r="A903" s="153"/>
      <c r="B903" s="153"/>
      <c r="C903" s="153"/>
      <c r="D903" s="154"/>
      <c r="E903" s="154"/>
      <c r="F903" s="153"/>
      <c r="G903" s="153"/>
      <c r="H903" s="153"/>
      <c r="I903" s="153"/>
      <c r="J903" s="153"/>
      <c r="K903" s="153"/>
      <c r="L903" s="154"/>
      <c r="M903" s="154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ht="13.5" customHeight="1">
      <c r="A904" s="153"/>
      <c r="B904" s="153"/>
      <c r="C904" s="153"/>
      <c r="D904" s="154"/>
      <c r="E904" s="154"/>
      <c r="F904" s="153"/>
      <c r="G904" s="153"/>
      <c r="H904" s="153"/>
      <c r="I904" s="153"/>
      <c r="J904" s="153"/>
      <c r="K904" s="153"/>
      <c r="L904" s="154"/>
      <c r="M904" s="154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ht="13.5" customHeight="1">
      <c r="A905" s="153"/>
      <c r="B905" s="153"/>
      <c r="C905" s="153"/>
      <c r="D905" s="154"/>
      <c r="E905" s="154"/>
      <c r="F905" s="153"/>
      <c r="G905" s="153"/>
      <c r="H905" s="153"/>
      <c r="I905" s="153"/>
      <c r="J905" s="153"/>
      <c r="K905" s="153"/>
      <c r="L905" s="154"/>
      <c r="M905" s="154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ht="13.5" customHeight="1">
      <c r="A906" s="153"/>
      <c r="B906" s="153"/>
      <c r="C906" s="153"/>
      <c r="D906" s="154"/>
      <c r="E906" s="154"/>
      <c r="F906" s="153"/>
      <c r="G906" s="153"/>
      <c r="H906" s="153"/>
      <c r="I906" s="153"/>
      <c r="J906" s="153"/>
      <c r="K906" s="153"/>
      <c r="L906" s="154"/>
      <c r="M906" s="154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ht="13.5" customHeight="1">
      <c r="A907" s="153"/>
      <c r="B907" s="153"/>
      <c r="C907" s="153"/>
      <c r="D907" s="154"/>
      <c r="E907" s="154"/>
      <c r="F907" s="153"/>
      <c r="G907" s="153"/>
      <c r="H907" s="153"/>
      <c r="I907" s="153"/>
      <c r="J907" s="153"/>
      <c r="K907" s="153"/>
      <c r="L907" s="154"/>
      <c r="M907" s="154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ht="13.5" customHeight="1">
      <c r="A908" s="153"/>
      <c r="B908" s="153"/>
      <c r="C908" s="153"/>
      <c r="D908" s="154"/>
      <c r="E908" s="154"/>
      <c r="F908" s="153"/>
      <c r="G908" s="153"/>
      <c r="H908" s="153"/>
      <c r="I908" s="153"/>
      <c r="J908" s="153"/>
      <c r="K908" s="153"/>
      <c r="L908" s="154"/>
      <c r="M908" s="154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ht="13.5" customHeight="1">
      <c r="A909" s="153"/>
      <c r="B909" s="153"/>
      <c r="C909" s="153"/>
      <c r="D909" s="154"/>
      <c r="E909" s="154"/>
      <c r="F909" s="153"/>
      <c r="G909" s="153"/>
      <c r="H909" s="153"/>
      <c r="I909" s="153"/>
      <c r="J909" s="153"/>
      <c r="K909" s="153"/>
      <c r="L909" s="154"/>
      <c r="M909" s="154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ht="13.5" customHeight="1">
      <c r="A910" s="153"/>
      <c r="B910" s="153"/>
      <c r="C910" s="153"/>
      <c r="D910" s="154"/>
      <c r="E910" s="154"/>
      <c r="F910" s="153"/>
      <c r="G910" s="153"/>
      <c r="H910" s="153"/>
      <c r="I910" s="153"/>
      <c r="J910" s="153"/>
      <c r="K910" s="153"/>
      <c r="L910" s="154"/>
      <c r="M910" s="154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ht="13.5" customHeight="1">
      <c r="A911" s="153"/>
      <c r="B911" s="153"/>
      <c r="C911" s="153"/>
      <c r="D911" s="154"/>
      <c r="E911" s="154"/>
      <c r="F911" s="153"/>
      <c r="G911" s="153"/>
      <c r="H911" s="153"/>
      <c r="I911" s="153"/>
      <c r="J911" s="153"/>
      <c r="K911" s="153"/>
      <c r="L911" s="154"/>
      <c r="M911" s="154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ht="13.5" customHeight="1">
      <c r="A912" s="153"/>
      <c r="B912" s="153"/>
      <c r="C912" s="153"/>
      <c r="D912" s="154"/>
      <c r="E912" s="154"/>
      <c r="F912" s="153"/>
      <c r="G912" s="153"/>
      <c r="H912" s="153"/>
      <c r="I912" s="153"/>
      <c r="J912" s="153"/>
      <c r="K912" s="153"/>
      <c r="L912" s="154"/>
      <c r="M912" s="154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ht="13.5" customHeight="1">
      <c r="A913" s="153"/>
      <c r="B913" s="153"/>
      <c r="C913" s="153"/>
      <c r="D913" s="154"/>
      <c r="E913" s="154"/>
      <c r="F913" s="153"/>
      <c r="G913" s="153"/>
      <c r="H913" s="153"/>
      <c r="I913" s="153"/>
      <c r="J913" s="153"/>
      <c r="K913" s="153"/>
      <c r="L913" s="154"/>
      <c r="M913" s="154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ht="13.5" customHeight="1">
      <c r="A914" s="153"/>
      <c r="B914" s="153"/>
      <c r="C914" s="153"/>
      <c r="D914" s="154"/>
      <c r="E914" s="154"/>
      <c r="F914" s="153"/>
      <c r="G914" s="153"/>
      <c r="H914" s="153"/>
      <c r="I914" s="153"/>
      <c r="J914" s="153"/>
      <c r="K914" s="153"/>
      <c r="L914" s="154"/>
      <c r="M914" s="154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ht="13.5" customHeight="1">
      <c r="A915" s="153"/>
      <c r="B915" s="153"/>
      <c r="C915" s="153"/>
      <c r="D915" s="154"/>
      <c r="E915" s="154"/>
      <c r="F915" s="153"/>
      <c r="G915" s="153"/>
      <c r="H915" s="153"/>
      <c r="I915" s="153"/>
      <c r="J915" s="153"/>
      <c r="K915" s="153"/>
      <c r="L915" s="154"/>
      <c r="M915" s="154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ht="13.5" customHeight="1">
      <c r="A916" s="153"/>
      <c r="B916" s="153"/>
      <c r="C916" s="153"/>
      <c r="D916" s="154"/>
      <c r="E916" s="154"/>
      <c r="F916" s="153"/>
      <c r="G916" s="153"/>
      <c r="H916" s="153"/>
      <c r="I916" s="153"/>
      <c r="J916" s="153"/>
      <c r="K916" s="153"/>
      <c r="L916" s="154"/>
      <c r="M916" s="154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ht="13.5" customHeight="1">
      <c r="A917" s="153"/>
      <c r="B917" s="153"/>
      <c r="C917" s="153"/>
      <c r="D917" s="154"/>
      <c r="E917" s="154"/>
      <c r="F917" s="153"/>
      <c r="G917" s="153"/>
      <c r="H917" s="153"/>
      <c r="I917" s="153"/>
      <c r="J917" s="153"/>
      <c r="K917" s="153"/>
      <c r="L917" s="154"/>
      <c r="M917" s="154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ht="13.5" customHeight="1">
      <c r="A918" s="153"/>
      <c r="B918" s="153"/>
      <c r="C918" s="153"/>
      <c r="D918" s="154"/>
      <c r="E918" s="154"/>
      <c r="F918" s="153"/>
      <c r="G918" s="153"/>
      <c r="H918" s="153"/>
      <c r="I918" s="153"/>
      <c r="J918" s="153"/>
      <c r="K918" s="153"/>
      <c r="L918" s="154"/>
      <c r="M918" s="154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ht="13.5" customHeight="1">
      <c r="A919" s="153"/>
      <c r="B919" s="153"/>
      <c r="C919" s="153"/>
      <c r="D919" s="154"/>
      <c r="E919" s="154"/>
      <c r="F919" s="153"/>
      <c r="G919" s="153"/>
      <c r="H919" s="153"/>
      <c r="I919" s="153"/>
      <c r="J919" s="153"/>
      <c r="K919" s="153"/>
      <c r="L919" s="154"/>
      <c r="M919" s="154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ht="13.5" customHeight="1">
      <c r="A920" s="153"/>
      <c r="B920" s="153"/>
      <c r="C920" s="153"/>
      <c r="D920" s="154"/>
      <c r="E920" s="154"/>
      <c r="F920" s="153"/>
      <c r="G920" s="153"/>
      <c r="H920" s="153"/>
      <c r="I920" s="153"/>
      <c r="J920" s="153"/>
      <c r="K920" s="153"/>
      <c r="L920" s="154"/>
      <c r="M920" s="154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ht="13.5" customHeight="1">
      <c r="A921" s="153"/>
      <c r="B921" s="153"/>
      <c r="C921" s="153"/>
      <c r="D921" s="154"/>
      <c r="E921" s="154"/>
      <c r="F921" s="153"/>
      <c r="G921" s="153"/>
      <c r="H921" s="153"/>
      <c r="I921" s="153"/>
      <c r="J921" s="153"/>
      <c r="K921" s="153"/>
      <c r="L921" s="154"/>
      <c r="M921" s="154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ht="13.5" customHeight="1">
      <c r="A922" s="153"/>
      <c r="B922" s="153"/>
      <c r="C922" s="153"/>
      <c r="D922" s="154"/>
      <c r="E922" s="154"/>
      <c r="F922" s="153"/>
      <c r="G922" s="153"/>
      <c r="H922" s="153"/>
      <c r="I922" s="153"/>
      <c r="J922" s="153"/>
      <c r="K922" s="153"/>
      <c r="L922" s="154"/>
      <c r="M922" s="154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ht="13.5" customHeight="1">
      <c r="A923" s="153"/>
      <c r="B923" s="153"/>
      <c r="C923" s="153"/>
      <c r="D923" s="154"/>
      <c r="E923" s="154"/>
      <c r="F923" s="153"/>
      <c r="G923" s="153"/>
      <c r="H923" s="153"/>
      <c r="I923" s="153"/>
      <c r="J923" s="153"/>
      <c r="K923" s="153"/>
      <c r="L923" s="154"/>
      <c r="M923" s="154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ht="13.5" customHeight="1">
      <c r="A924" s="153"/>
      <c r="B924" s="153"/>
      <c r="C924" s="153"/>
      <c r="D924" s="154"/>
      <c r="E924" s="154"/>
      <c r="F924" s="153"/>
      <c r="G924" s="153"/>
      <c r="H924" s="153"/>
      <c r="I924" s="153"/>
      <c r="J924" s="153"/>
      <c r="K924" s="153"/>
      <c r="L924" s="154"/>
      <c r="M924" s="154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ht="13.5" customHeight="1">
      <c r="A925" s="153"/>
      <c r="B925" s="153"/>
      <c r="C925" s="153"/>
      <c r="D925" s="154"/>
      <c r="E925" s="154"/>
      <c r="F925" s="153"/>
      <c r="G925" s="153"/>
      <c r="H925" s="153"/>
      <c r="I925" s="153"/>
      <c r="J925" s="153"/>
      <c r="K925" s="153"/>
      <c r="L925" s="154"/>
      <c r="M925" s="154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ht="13.5" customHeight="1">
      <c r="A926" s="153"/>
      <c r="B926" s="153"/>
      <c r="C926" s="153"/>
      <c r="D926" s="154"/>
      <c r="E926" s="154"/>
      <c r="F926" s="153"/>
      <c r="G926" s="153"/>
      <c r="H926" s="153"/>
      <c r="I926" s="153"/>
      <c r="J926" s="153"/>
      <c r="K926" s="153"/>
      <c r="L926" s="154"/>
      <c r="M926" s="154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ht="13.5" customHeight="1">
      <c r="A927" s="153"/>
      <c r="B927" s="153"/>
      <c r="C927" s="153"/>
      <c r="D927" s="154"/>
      <c r="E927" s="154"/>
      <c r="F927" s="153"/>
      <c r="G927" s="153"/>
      <c r="H927" s="153"/>
      <c r="I927" s="153"/>
      <c r="J927" s="153"/>
      <c r="K927" s="153"/>
      <c r="L927" s="154"/>
      <c r="M927" s="154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ht="13.5" customHeight="1">
      <c r="A928" s="153"/>
      <c r="B928" s="153"/>
      <c r="C928" s="153"/>
      <c r="D928" s="154"/>
      <c r="E928" s="154"/>
      <c r="F928" s="153"/>
      <c r="G928" s="153"/>
      <c r="H928" s="153"/>
      <c r="I928" s="153"/>
      <c r="J928" s="153"/>
      <c r="K928" s="153"/>
      <c r="L928" s="154"/>
      <c r="M928" s="154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ht="13.5" customHeight="1">
      <c r="A929" s="153"/>
      <c r="B929" s="153"/>
      <c r="C929" s="153"/>
      <c r="D929" s="154"/>
      <c r="E929" s="154"/>
      <c r="F929" s="153"/>
      <c r="G929" s="153"/>
      <c r="H929" s="153"/>
      <c r="I929" s="153"/>
      <c r="J929" s="153"/>
      <c r="K929" s="153"/>
      <c r="L929" s="154"/>
      <c r="M929" s="154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ht="13.5" customHeight="1">
      <c r="A930" s="153"/>
      <c r="B930" s="153"/>
      <c r="C930" s="153"/>
      <c r="D930" s="154"/>
      <c r="E930" s="154"/>
      <c r="F930" s="153"/>
      <c r="G930" s="153"/>
      <c r="H930" s="153"/>
      <c r="I930" s="153"/>
      <c r="J930" s="153"/>
      <c r="K930" s="153"/>
      <c r="L930" s="154"/>
      <c r="M930" s="154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ht="13.5" customHeight="1">
      <c r="A931" s="153"/>
      <c r="B931" s="153"/>
      <c r="C931" s="153"/>
      <c r="D931" s="154"/>
      <c r="E931" s="154"/>
      <c r="F931" s="153"/>
      <c r="G931" s="153"/>
      <c r="H931" s="153"/>
      <c r="I931" s="153"/>
      <c r="J931" s="153"/>
      <c r="K931" s="153"/>
      <c r="L931" s="154"/>
      <c r="M931" s="154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ht="13.5" customHeight="1">
      <c r="A932" s="153"/>
      <c r="B932" s="153"/>
      <c r="C932" s="153"/>
      <c r="D932" s="154"/>
      <c r="E932" s="154"/>
      <c r="F932" s="153"/>
      <c r="G932" s="153"/>
      <c r="H932" s="153"/>
      <c r="I932" s="153"/>
      <c r="J932" s="153"/>
      <c r="K932" s="153"/>
      <c r="L932" s="154"/>
      <c r="M932" s="154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ht="13.5" customHeight="1">
      <c r="A933" s="153"/>
      <c r="B933" s="153"/>
      <c r="C933" s="153"/>
      <c r="D933" s="154"/>
      <c r="E933" s="154"/>
      <c r="F933" s="153"/>
      <c r="G933" s="153"/>
      <c r="H933" s="153"/>
      <c r="I933" s="153"/>
      <c r="J933" s="153"/>
      <c r="K933" s="153"/>
      <c r="L933" s="154"/>
      <c r="M933" s="154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ht="13.5" customHeight="1">
      <c r="A934" s="153"/>
      <c r="B934" s="153"/>
      <c r="C934" s="153"/>
      <c r="D934" s="154"/>
      <c r="E934" s="154"/>
      <c r="F934" s="153"/>
      <c r="G934" s="153"/>
      <c r="H934" s="153"/>
      <c r="I934" s="153"/>
      <c r="J934" s="153"/>
      <c r="K934" s="153"/>
      <c r="L934" s="154"/>
      <c r="M934" s="154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ht="13.5" customHeight="1">
      <c r="A935" s="153"/>
      <c r="B935" s="153"/>
      <c r="C935" s="153"/>
      <c r="D935" s="154"/>
      <c r="E935" s="154"/>
      <c r="F935" s="153"/>
      <c r="G935" s="153"/>
      <c r="H935" s="153"/>
      <c r="I935" s="153"/>
      <c r="J935" s="153"/>
      <c r="K935" s="153"/>
      <c r="L935" s="154"/>
      <c r="M935" s="154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ht="13.5" customHeight="1">
      <c r="A936" s="153"/>
      <c r="B936" s="153"/>
      <c r="C936" s="153"/>
      <c r="D936" s="154"/>
      <c r="E936" s="154"/>
      <c r="F936" s="153"/>
      <c r="G936" s="153"/>
      <c r="H936" s="153"/>
      <c r="I936" s="153"/>
      <c r="J936" s="153"/>
      <c r="K936" s="153"/>
      <c r="L936" s="154"/>
      <c r="M936" s="154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ht="13.5" customHeight="1">
      <c r="A937" s="153"/>
      <c r="B937" s="153"/>
      <c r="C937" s="153"/>
      <c r="D937" s="154"/>
      <c r="E937" s="154"/>
      <c r="F937" s="153"/>
      <c r="G937" s="153"/>
      <c r="H937" s="153"/>
      <c r="I937" s="153"/>
      <c r="J937" s="153"/>
      <c r="K937" s="153"/>
      <c r="L937" s="154"/>
      <c r="M937" s="154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ht="13.5" customHeight="1">
      <c r="A938" s="153"/>
      <c r="B938" s="153"/>
      <c r="C938" s="153"/>
      <c r="D938" s="154"/>
      <c r="E938" s="154"/>
      <c r="F938" s="153"/>
      <c r="G938" s="153"/>
      <c r="H938" s="153"/>
      <c r="I938" s="153"/>
      <c r="J938" s="153"/>
      <c r="K938" s="153"/>
      <c r="L938" s="154"/>
      <c r="M938" s="154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ht="13.5" customHeight="1">
      <c r="A939" s="153"/>
      <c r="B939" s="153"/>
      <c r="C939" s="153"/>
      <c r="D939" s="154"/>
      <c r="E939" s="154"/>
      <c r="F939" s="153"/>
      <c r="G939" s="153"/>
      <c r="H939" s="153"/>
      <c r="I939" s="153"/>
      <c r="J939" s="153"/>
      <c r="K939" s="153"/>
      <c r="L939" s="154"/>
      <c r="M939" s="154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ht="13.5" customHeight="1">
      <c r="A940" s="153"/>
      <c r="B940" s="153"/>
      <c r="C940" s="153"/>
      <c r="D940" s="154"/>
      <c r="E940" s="154"/>
      <c r="F940" s="153"/>
      <c r="G940" s="153"/>
      <c r="H940" s="153"/>
      <c r="I940" s="153"/>
      <c r="J940" s="153"/>
      <c r="K940" s="153"/>
      <c r="L940" s="154"/>
      <c r="M940" s="154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ht="13.5" customHeight="1">
      <c r="A941" s="153"/>
      <c r="B941" s="153"/>
      <c r="C941" s="153"/>
      <c r="D941" s="154"/>
      <c r="E941" s="154"/>
      <c r="F941" s="153"/>
      <c r="G941" s="153"/>
      <c r="H941" s="153"/>
      <c r="I941" s="153"/>
      <c r="J941" s="153"/>
      <c r="K941" s="153"/>
      <c r="L941" s="154"/>
      <c r="M941" s="154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ht="13.5" customHeight="1">
      <c r="A942" s="153"/>
      <c r="B942" s="153"/>
      <c r="C942" s="153"/>
      <c r="D942" s="154"/>
      <c r="E942" s="154"/>
      <c r="F942" s="153"/>
      <c r="G942" s="153"/>
      <c r="H942" s="153"/>
      <c r="I942" s="153"/>
      <c r="J942" s="153"/>
      <c r="K942" s="153"/>
      <c r="L942" s="154"/>
      <c r="M942" s="154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ht="13.5" customHeight="1">
      <c r="A943" s="153"/>
      <c r="B943" s="153"/>
      <c r="C943" s="153"/>
      <c r="D943" s="154"/>
      <c r="E943" s="154"/>
      <c r="F943" s="153"/>
      <c r="G943" s="153"/>
      <c r="H943" s="153"/>
      <c r="I943" s="153"/>
      <c r="J943" s="153"/>
      <c r="K943" s="153"/>
      <c r="L943" s="154"/>
      <c r="M943" s="154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ht="13.5" customHeight="1">
      <c r="A944" s="153"/>
      <c r="B944" s="153"/>
      <c r="C944" s="153"/>
      <c r="D944" s="154"/>
      <c r="E944" s="154"/>
      <c r="F944" s="153"/>
      <c r="G944" s="153"/>
      <c r="H944" s="153"/>
      <c r="I944" s="153"/>
      <c r="J944" s="153"/>
      <c r="K944" s="153"/>
      <c r="L944" s="154"/>
      <c r="M944" s="154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ht="13.5" customHeight="1">
      <c r="A945" s="153"/>
      <c r="B945" s="153"/>
      <c r="C945" s="153"/>
      <c r="D945" s="154"/>
      <c r="E945" s="154"/>
      <c r="F945" s="153"/>
      <c r="G945" s="153"/>
      <c r="H945" s="153"/>
      <c r="I945" s="153"/>
      <c r="J945" s="153"/>
      <c r="K945" s="153"/>
      <c r="L945" s="154"/>
      <c r="M945" s="154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ht="13.5" customHeight="1">
      <c r="A946" s="153"/>
      <c r="B946" s="153"/>
      <c r="C946" s="153"/>
      <c r="D946" s="154"/>
      <c r="E946" s="154"/>
      <c r="F946" s="153"/>
      <c r="G946" s="153"/>
      <c r="H946" s="153"/>
      <c r="I946" s="153"/>
      <c r="J946" s="153"/>
      <c r="K946" s="153"/>
      <c r="L946" s="154"/>
      <c r="M946" s="154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ht="13.5" customHeight="1">
      <c r="A947" s="153"/>
      <c r="B947" s="153"/>
      <c r="C947" s="153"/>
      <c r="D947" s="154"/>
      <c r="E947" s="154"/>
      <c r="F947" s="153"/>
      <c r="G947" s="153"/>
      <c r="H947" s="153"/>
      <c r="I947" s="153"/>
      <c r="J947" s="153"/>
      <c r="K947" s="153"/>
      <c r="L947" s="154"/>
      <c r="M947" s="154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ht="13.5" customHeight="1">
      <c r="A948" s="153"/>
      <c r="B948" s="153"/>
      <c r="C948" s="153"/>
      <c r="D948" s="154"/>
      <c r="E948" s="154"/>
      <c r="F948" s="153"/>
      <c r="G948" s="153"/>
      <c r="H948" s="153"/>
      <c r="I948" s="153"/>
      <c r="J948" s="153"/>
      <c r="K948" s="153"/>
      <c r="L948" s="154"/>
      <c r="M948" s="154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ht="13.5" customHeight="1">
      <c r="A949" s="153"/>
      <c r="B949" s="153"/>
      <c r="C949" s="153"/>
      <c r="D949" s="154"/>
      <c r="E949" s="154"/>
      <c r="F949" s="153"/>
      <c r="G949" s="153"/>
      <c r="H949" s="153"/>
      <c r="I949" s="153"/>
      <c r="J949" s="153"/>
      <c r="K949" s="153"/>
      <c r="L949" s="154"/>
      <c r="M949" s="154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ht="13.5" customHeight="1">
      <c r="A950" s="153"/>
      <c r="B950" s="153"/>
      <c r="C950" s="153"/>
      <c r="D950" s="154"/>
      <c r="E950" s="154"/>
      <c r="F950" s="153"/>
      <c r="G950" s="153"/>
      <c r="H950" s="153"/>
      <c r="I950" s="153"/>
      <c r="J950" s="153"/>
      <c r="K950" s="153"/>
      <c r="L950" s="154"/>
      <c r="M950" s="154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ht="13.5" customHeight="1">
      <c r="A951" s="153"/>
      <c r="B951" s="153"/>
      <c r="C951" s="153"/>
      <c r="D951" s="154"/>
      <c r="E951" s="154"/>
      <c r="F951" s="153"/>
      <c r="G951" s="153"/>
      <c r="H951" s="153"/>
      <c r="I951" s="153"/>
      <c r="J951" s="153"/>
      <c r="K951" s="153"/>
      <c r="L951" s="154"/>
      <c r="M951" s="154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ht="13.5" customHeight="1">
      <c r="A952" s="153"/>
      <c r="B952" s="153"/>
      <c r="C952" s="153"/>
      <c r="D952" s="154"/>
      <c r="E952" s="154"/>
      <c r="F952" s="153"/>
      <c r="G952" s="153"/>
      <c r="H952" s="153"/>
      <c r="I952" s="153"/>
      <c r="J952" s="153"/>
      <c r="K952" s="153"/>
      <c r="L952" s="154"/>
      <c r="M952" s="154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ht="13.5" customHeight="1">
      <c r="A953" s="153"/>
      <c r="B953" s="153"/>
      <c r="C953" s="153"/>
      <c r="D953" s="154"/>
      <c r="E953" s="154"/>
      <c r="F953" s="153"/>
      <c r="G953" s="153"/>
      <c r="H953" s="153"/>
      <c r="I953" s="153"/>
      <c r="J953" s="153"/>
      <c r="K953" s="153"/>
      <c r="L953" s="154"/>
      <c r="M953" s="154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ht="13.5" customHeight="1">
      <c r="A954" s="153"/>
      <c r="B954" s="153"/>
      <c r="C954" s="153"/>
      <c r="D954" s="154"/>
      <c r="E954" s="154"/>
      <c r="F954" s="153"/>
      <c r="G954" s="153"/>
      <c r="H954" s="153"/>
      <c r="I954" s="153"/>
      <c r="J954" s="153"/>
      <c r="K954" s="153"/>
      <c r="L954" s="154"/>
      <c r="M954" s="154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ht="13.5" customHeight="1">
      <c r="A955" s="153"/>
      <c r="B955" s="153"/>
      <c r="C955" s="153"/>
      <c r="D955" s="154"/>
      <c r="E955" s="154"/>
      <c r="F955" s="153"/>
      <c r="G955" s="153"/>
      <c r="H955" s="153"/>
      <c r="I955" s="153"/>
      <c r="J955" s="153"/>
      <c r="K955" s="153"/>
      <c r="L955" s="154"/>
      <c r="M955" s="154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ht="13.5" customHeight="1">
      <c r="A956" s="153"/>
      <c r="B956" s="153"/>
      <c r="C956" s="153"/>
      <c r="D956" s="154"/>
      <c r="E956" s="154"/>
      <c r="F956" s="153"/>
      <c r="G956" s="153"/>
      <c r="H956" s="153"/>
      <c r="I956" s="153"/>
      <c r="J956" s="153"/>
      <c r="K956" s="153"/>
      <c r="L956" s="154"/>
      <c r="M956" s="154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ht="13.5" customHeight="1">
      <c r="A957" s="153"/>
      <c r="B957" s="153"/>
      <c r="C957" s="153"/>
      <c r="D957" s="154"/>
      <c r="E957" s="154"/>
      <c r="F957" s="153"/>
      <c r="G957" s="153"/>
      <c r="H957" s="153"/>
      <c r="I957" s="153"/>
      <c r="J957" s="153"/>
      <c r="K957" s="153"/>
      <c r="L957" s="154"/>
      <c r="M957" s="154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ht="13.5" customHeight="1">
      <c r="A958" s="153"/>
      <c r="B958" s="153"/>
      <c r="C958" s="153"/>
      <c r="D958" s="154"/>
      <c r="E958" s="154"/>
      <c r="F958" s="153"/>
      <c r="G958" s="153"/>
      <c r="H958" s="153"/>
      <c r="I958" s="153"/>
      <c r="J958" s="153"/>
      <c r="K958" s="153"/>
      <c r="L958" s="154"/>
      <c r="M958" s="154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ht="13.5" customHeight="1">
      <c r="A959" s="153"/>
      <c r="B959" s="153"/>
      <c r="C959" s="153"/>
      <c r="D959" s="154"/>
      <c r="E959" s="154"/>
      <c r="F959" s="153"/>
      <c r="G959" s="153"/>
      <c r="H959" s="153"/>
      <c r="I959" s="153"/>
      <c r="J959" s="153"/>
      <c r="K959" s="153"/>
      <c r="L959" s="154"/>
      <c r="M959" s="154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ht="13.5" customHeight="1">
      <c r="A960" s="153"/>
      <c r="B960" s="153"/>
      <c r="C960" s="153"/>
      <c r="D960" s="154"/>
      <c r="E960" s="154"/>
      <c r="F960" s="153"/>
      <c r="G960" s="153"/>
      <c r="H960" s="153"/>
      <c r="I960" s="153"/>
      <c r="J960" s="153"/>
      <c r="K960" s="153"/>
      <c r="L960" s="154"/>
      <c r="M960" s="154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ht="13.5" customHeight="1">
      <c r="A961" s="153"/>
      <c r="B961" s="153"/>
      <c r="C961" s="153"/>
      <c r="D961" s="154"/>
      <c r="E961" s="154"/>
      <c r="F961" s="153"/>
      <c r="G961" s="153"/>
      <c r="H961" s="153"/>
      <c r="I961" s="153"/>
      <c r="J961" s="153"/>
      <c r="K961" s="153"/>
      <c r="L961" s="154"/>
      <c r="M961" s="154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ht="13.5" customHeight="1">
      <c r="A962" s="153"/>
      <c r="B962" s="153"/>
      <c r="C962" s="153"/>
      <c r="D962" s="154"/>
      <c r="E962" s="154"/>
      <c r="F962" s="153"/>
      <c r="G962" s="153"/>
      <c r="H962" s="153"/>
      <c r="I962" s="153"/>
      <c r="J962" s="153"/>
      <c r="K962" s="153"/>
      <c r="L962" s="154"/>
      <c r="M962" s="154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ht="13.5" customHeight="1">
      <c r="A963" s="153"/>
      <c r="B963" s="153"/>
      <c r="C963" s="153"/>
      <c r="D963" s="154"/>
      <c r="E963" s="154"/>
      <c r="F963" s="153"/>
      <c r="G963" s="153"/>
      <c r="H963" s="153"/>
      <c r="I963" s="153"/>
      <c r="J963" s="153"/>
      <c r="K963" s="153"/>
      <c r="L963" s="154"/>
      <c r="M963" s="154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ht="13.5" customHeight="1">
      <c r="A964" s="153"/>
      <c r="B964" s="153"/>
      <c r="C964" s="153"/>
      <c r="D964" s="154"/>
      <c r="E964" s="154"/>
      <c r="F964" s="153"/>
      <c r="G964" s="153"/>
      <c r="H964" s="153"/>
      <c r="I964" s="153"/>
      <c r="J964" s="153"/>
      <c r="K964" s="153"/>
      <c r="L964" s="154"/>
      <c r="M964" s="154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ht="13.5" customHeight="1">
      <c r="A965" s="153"/>
      <c r="B965" s="153"/>
      <c r="C965" s="153"/>
      <c r="D965" s="154"/>
      <c r="E965" s="154"/>
      <c r="F965" s="153"/>
      <c r="G965" s="153"/>
      <c r="H965" s="153"/>
      <c r="I965" s="153"/>
      <c r="J965" s="153"/>
      <c r="K965" s="153"/>
      <c r="L965" s="154"/>
      <c r="M965" s="154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ht="13.5" customHeight="1">
      <c r="A966" s="153"/>
      <c r="B966" s="153"/>
      <c r="C966" s="153"/>
      <c r="D966" s="154"/>
      <c r="E966" s="154"/>
      <c r="F966" s="153"/>
      <c r="G966" s="153"/>
      <c r="H966" s="153"/>
      <c r="I966" s="153"/>
      <c r="J966" s="153"/>
      <c r="K966" s="153"/>
      <c r="L966" s="154"/>
      <c r="M966" s="154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ht="13.5" customHeight="1">
      <c r="A967" s="153"/>
      <c r="B967" s="153"/>
      <c r="C967" s="153"/>
      <c r="D967" s="154"/>
      <c r="E967" s="154"/>
      <c r="F967" s="153"/>
      <c r="G967" s="153"/>
      <c r="H967" s="153"/>
      <c r="I967" s="153"/>
      <c r="J967" s="153"/>
      <c r="K967" s="153"/>
      <c r="L967" s="154"/>
      <c r="M967" s="154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ht="13.5" customHeight="1">
      <c r="A968" s="153"/>
      <c r="B968" s="153"/>
      <c r="C968" s="153"/>
      <c r="D968" s="154"/>
      <c r="E968" s="154"/>
      <c r="F968" s="153"/>
      <c r="G968" s="153"/>
      <c r="H968" s="153"/>
      <c r="I968" s="153"/>
      <c r="J968" s="153"/>
      <c r="K968" s="153"/>
      <c r="L968" s="154"/>
      <c r="M968" s="154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ht="13.5" customHeight="1">
      <c r="A969" s="153"/>
      <c r="B969" s="153"/>
      <c r="C969" s="153"/>
      <c r="D969" s="154"/>
      <c r="E969" s="154"/>
      <c r="F969" s="153"/>
      <c r="G969" s="153"/>
      <c r="H969" s="153"/>
      <c r="I969" s="153"/>
      <c r="J969" s="153"/>
      <c r="K969" s="153"/>
      <c r="L969" s="154"/>
      <c r="M969" s="154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ht="13.5" customHeight="1">
      <c r="A970" s="153"/>
      <c r="B970" s="153"/>
      <c r="C970" s="153"/>
      <c r="D970" s="154"/>
      <c r="E970" s="154"/>
      <c r="F970" s="153"/>
      <c r="G970" s="153"/>
      <c r="H970" s="153"/>
      <c r="I970" s="153"/>
      <c r="J970" s="153"/>
      <c r="K970" s="153"/>
      <c r="L970" s="154"/>
      <c r="M970" s="154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ht="13.5" customHeight="1">
      <c r="A971" s="153"/>
      <c r="B971" s="153"/>
      <c r="C971" s="153"/>
      <c r="D971" s="154"/>
      <c r="E971" s="154"/>
      <c r="F971" s="153"/>
      <c r="G971" s="153"/>
      <c r="H971" s="153"/>
      <c r="I971" s="153"/>
      <c r="J971" s="153"/>
      <c r="K971" s="153"/>
      <c r="L971" s="154"/>
      <c r="M971" s="154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ht="13.5" customHeight="1">
      <c r="A972" s="153"/>
      <c r="B972" s="153"/>
      <c r="C972" s="153"/>
      <c r="D972" s="154"/>
      <c r="E972" s="154"/>
      <c r="F972" s="153"/>
      <c r="G972" s="153"/>
      <c r="H972" s="153"/>
      <c r="I972" s="153"/>
      <c r="J972" s="153"/>
      <c r="K972" s="153"/>
      <c r="L972" s="154"/>
      <c r="M972" s="154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ht="13.5" customHeight="1">
      <c r="A973" s="153"/>
      <c r="B973" s="153"/>
      <c r="C973" s="153"/>
      <c r="D973" s="154"/>
      <c r="E973" s="154"/>
      <c r="F973" s="153"/>
      <c r="G973" s="153"/>
      <c r="H973" s="153"/>
      <c r="I973" s="153"/>
      <c r="J973" s="153"/>
      <c r="K973" s="153"/>
      <c r="L973" s="154"/>
      <c r="M973" s="154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ht="13.5" customHeight="1">
      <c r="A974" s="153"/>
      <c r="B974" s="153"/>
      <c r="C974" s="153"/>
      <c r="D974" s="154"/>
      <c r="E974" s="154"/>
      <c r="F974" s="153"/>
      <c r="G974" s="153"/>
      <c r="H974" s="153"/>
      <c r="I974" s="153"/>
      <c r="J974" s="153"/>
      <c r="K974" s="153"/>
      <c r="L974" s="154"/>
      <c r="M974" s="154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ht="13.5" customHeight="1">
      <c r="A975" s="153"/>
      <c r="B975" s="153"/>
      <c r="C975" s="153"/>
      <c r="D975" s="154"/>
      <c r="E975" s="154"/>
      <c r="F975" s="153"/>
      <c r="G975" s="153"/>
      <c r="H975" s="153"/>
      <c r="I975" s="153"/>
      <c r="J975" s="153"/>
      <c r="K975" s="153"/>
      <c r="L975" s="154"/>
      <c r="M975" s="154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ht="13.5" customHeight="1">
      <c r="A976" s="153"/>
      <c r="B976" s="153"/>
      <c r="C976" s="153"/>
      <c r="D976" s="154"/>
      <c r="E976" s="154"/>
      <c r="F976" s="153"/>
      <c r="G976" s="153"/>
      <c r="H976" s="153"/>
      <c r="I976" s="153"/>
      <c r="J976" s="153"/>
      <c r="K976" s="153"/>
      <c r="L976" s="154"/>
      <c r="M976" s="154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ht="13.5" customHeight="1">
      <c r="A977" s="153"/>
      <c r="B977" s="153"/>
      <c r="C977" s="153"/>
      <c r="D977" s="154"/>
      <c r="E977" s="154"/>
      <c r="F977" s="153"/>
      <c r="G977" s="153"/>
      <c r="H977" s="153"/>
      <c r="I977" s="153"/>
      <c r="J977" s="153"/>
      <c r="K977" s="153"/>
      <c r="L977" s="154"/>
      <c r="M977" s="154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ht="13.5" customHeight="1">
      <c r="A978" s="153"/>
      <c r="B978" s="153"/>
      <c r="C978" s="153"/>
      <c r="D978" s="154"/>
      <c r="E978" s="154"/>
      <c r="F978" s="153"/>
      <c r="G978" s="153"/>
      <c r="H978" s="153"/>
      <c r="I978" s="153"/>
      <c r="J978" s="153"/>
      <c r="K978" s="153"/>
      <c r="L978" s="154"/>
      <c r="M978" s="154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ht="13.5" customHeight="1">
      <c r="A979" s="153"/>
      <c r="B979" s="153"/>
      <c r="C979" s="153"/>
      <c r="D979" s="154"/>
      <c r="E979" s="154"/>
      <c r="F979" s="153"/>
      <c r="G979" s="153"/>
      <c r="H979" s="153"/>
      <c r="I979" s="153"/>
      <c r="J979" s="153"/>
      <c r="K979" s="153"/>
      <c r="L979" s="154"/>
      <c r="M979" s="154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ht="13.5" customHeight="1">
      <c r="A980" s="153"/>
      <c r="B980" s="153"/>
      <c r="C980" s="153"/>
      <c r="D980" s="154"/>
      <c r="E980" s="154"/>
      <c r="F980" s="153"/>
      <c r="G980" s="153"/>
      <c r="H980" s="153"/>
      <c r="I980" s="153"/>
      <c r="J980" s="153"/>
      <c r="K980" s="153"/>
      <c r="L980" s="154"/>
      <c r="M980" s="154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ht="13.5" customHeight="1">
      <c r="A981" s="153"/>
      <c r="B981" s="153"/>
      <c r="C981" s="153"/>
      <c r="D981" s="154"/>
      <c r="E981" s="154"/>
      <c r="F981" s="153"/>
      <c r="G981" s="153"/>
      <c r="H981" s="153"/>
      <c r="I981" s="153"/>
      <c r="J981" s="153"/>
      <c r="K981" s="153"/>
      <c r="L981" s="154"/>
      <c r="M981" s="154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ht="13.5" customHeight="1">
      <c r="A982" s="153"/>
      <c r="B982" s="153"/>
      <c r="C982" s="153"/>
      <c r="D982" s="154"/>
      <c r="E982" s="154"/>
      <c r="F982" s="153"/>
      <c r="G982" s="153"/>
      <c r="H982" s="153"/>
      <c r="I982" s="153"/>
      <c r="J982" s="153"/>
      <c r="K982" s="153"/>
      <c r="L982" s="154"/>
      <c r="M982" s="154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ht="13.5" customHeight="1">
      <c r="A983" s="153"/>
      <c r="B983" s="153"/>
      <c r="C983" s="153"/>
      <c r="D983" s="154"/>
      <c r="E983" s="154"/>
      <c r="F983" s="153"/>
      <c r="G983" s="153"/>
      <c r="H983" s="153"/>
      <c r="I983" s="153"/>
      <c r="J983" s="153"/>
      <c r="K983" s="153"/>
      <c r="L983" s="154"/>
      <c r="M983" s="154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ht="13.5" customHeight="1">
      <c r="A984" s="153"/>
      <c r="B984" s="153"/>
      <c r="C984" s="153"/>
      <c r="D984" s="154"/>
      <c r="E984" s="154"/>
      <c r="F984" s="153"/>
      <c r="G984" s="153"/>
      <c r="H984" s="153"/>
      <c r="I984" s="153"/>
      <c r="J984" s="153"/>
      <c r="K984" s="153"/>
      <c r="L984" s="154"/>
      <c r="M984" s="154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ht="13.5" customHeight="1">
      <c r="A985" s="153"/>
      <c r="B985" s="153"/>
      <c r="C985" s="153"/>
      <c r="D985" s="154"/>
      <c r="E985" s="154"/>
      <c r="F985" s="153"/>
      <c r="G985" s="153"/>
      <c r="H985" s="153"/>
      <c r="I985" s="153"/>
      <c r="J985" s="153"/>
      <c r="K985" s="153"/>
      <c r="L985" s="154"/>
      <c r="M985" s="154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ht="13.5" customHeight="1">
      <c r="A986" s="153"/>
      <c r="B986" s="153"/>
      <c r="C986" s="153"/>
      <c r="D986" s="154"/>
      <c r="E986" s="154"/>
      <c r="F986" s="153"/>
      <c r="G986" s="153"/>
      <c r="H986" s="153"/>
      <c r="I986" s="153"/>
      <c r="J986" s="153"/>
      <c r="K986" s="153"/>
      <c r="L986" s="154"/>
      <c r="M986" s="154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ht="13.5" customHeight="1">
      <c r="A987" s="153"/>
      <c r="B987" s="153"/>
      <c r="C987" s="153"/>
      <c r="D987" s="154"/>
      <c r="E987" s="154"/>
      <c r="F987" s="153"/>
      <c r="G987" s="153"/>
      <c r="H987" s="153"/>
      <c r="I987" s="153"/>
      <c r="J987" s="153"/>
      <c r="K987" s="153"/>
      <c r="L987" s="154"/>
      <c r="M987" s="154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ht="13.5" customHeight="1">
      <c r="A988" s="153"/>
      <c r="B988" s="153"/>
      <c r="C988" s="153"/>
      <c r="D988" s="154"/>
      <c r="E988" s="154"/>
      <c r="F988" s="153"/>
      <c r="G988" s="153"/>
      <c r="H988" s="153"/>
      <c r="I988" s="153"/>
      <c r="J988" s="153"/>
      <c r="K988" s="153"/>
      <c r="L988" s="154"/>
      <c r="M988" s="154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 ht="13.5" customHeight="1">
      <c r="A989" s="153"/>
      <c r="B989" s="153"/>
      <c r="C989" s="153"/>
      <c r="D989" s="154"/>
      <c r="E989" s="154"/>
      <c r="F989" s="153"/>
      <c r="G989" s="153"/>
      <c r="H989" s="153"/>
      <c r="I989" s="153"/>
      <c r="J989" s="153"/>
      <c r="K989" s="153"/>
      <c r="L989" s="154"/>
      <c r="M989" s="154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 ht="13.5" customHeight="1">
      <c r="A990" s="153"/>
      <c r="B990" s="153"/>
      <c r="C990" s="153"/>
      <c r="D990" s="154"/>
      <c r="E990" s="154"/>
      <c r="F990" s="153"/>
      <c r="G990" s="153"/>
      <c r="H990" s="153"/>
      <c r="I990" s="153"/>
      <c r="J990" s="153"/>
      <c r="K990" s="153"/>
      <c r="L990" s="154"/>
      <c r="M990" s="154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 ht="13.5" customHeight="1">
      <c r="A991" s="153"/>
      <c r="B991" s="153"/>
      <c r="C991" s="153"/>
      <c r="D991" s="154"/>
      <c r="E991" s="154"/>
      <c r="F991" s="153"/>
      <c r="G991" s="153"/>
      <c r="H991" s="153"/>
      <c r="I991" s="153"/>
      <c r="J991" s="153"/>
      <c r="K991" s="153"/>
      <c r="L991" s="154"/>
      <c r="M991" s="154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 ht="13.5" customHeight="1">
      <c r="A992" s="153"/>
      <c r="B992" s="153"/>
      <c r="C992" s="153"/>
      <c r="D992" s="154"/>
      <c r="E992" s="154"/>
      <c r="F992" s="153"/>
      <c r="G992" s="153"/>
      <c r="H992" s="153"/>
      <c r="I992" s="153"/>
      <c r="J992" s="153"/>
      <c r="K992" s="153"/>
      <c r="L992" s="154"/>
      <c r="M992" s="154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 ht="13.5" customHeight="1">
      <c r="A993" s="153"/>
      <c r="B993" s="153"/>
      <c r="C993" s="153"/>
      <c r="D993" s="154"/>
      <c r="E993" s="154"/>
      <c r="F993" s="153"/>
      <c r="G993" s="153"/>
      <c r="H993" s="153"/>
      <c r="I993" s="153"/>
      <c r="J993" s="153"/>
      <c r="K993" s="153"/>
      <c r="L993" s="154"/>
      <c r="M993" s="154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 ht="13.5" customHeight="1">
      <c r="A994" s="153"/>
      <c r="B994" s="153"/>
      <c r="C994" s="153"/>
      <c r="D994" s="154"/>
      <c r="E994" s="154"/>
      <c r="F994" s="153"/>
      <c r="G994" s="153"/>
      <c r="H994" s="153"/>
      <c r="I994" s="153"/>
      <c r="J994" s="153"/>
      <c r="K994" s="153"/>
      <c r="L994" s="154"/>
      <c r="M994" s="154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 ht="13.5" customHeight="1">
      <c r="A995" s="153"/>
      <c r="B995" s="153"/>
      <c r="C995" s="153"/>
      <c r="D995" s="154"/>
      <c r="E995" s="154"/>
      <c r="F995" s="153"/>
      <c r="G995" s="153"/>
      <c r="H995" s="153"/>
      <c r="I995" s="153"/>
      <c r="J995" s="153"/>
      <c r="K995" s="153"/>
      <c r="L995" s="154"/>
      <c r="M995" s="154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 ht="13.5" customHeight="1">
      <c r="A996" s="153"/>
      <c r="B996" s="153"/>
      <c r="C996" s="153"/>
      <c r="D996" s="154"/>
      <c r="E996" s="154"/>
      <c r="F996" s="153"/>
      <c r="G996" s="153"/>
      <c r="H996" s="153"/>
      <c r="I996" s="153"/>
      <c r="J996" s="153"/>
      <c r="K996" s="153"/>
      <c r="L996" s="154"/>
      <c r="M996" s="154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 ht="13.5" customHeight="1">
      <c r="A997" s="153"/>
      <c r="B997" s="153"/>
      <c r="C997" s="153"/>
      <c r="D997" s="154"/>
      <c r="E997" s="154"/>
      <c r="F997" s="153"/>
      <c r="G997" s="153"/>
      <c r="H997" s="153"/>
      <c r="I997" s="153"/>
      <c r="J997" s="153"/>
      <c r="K997" s="153"/>
      <c r="L997" s="154"/>
      <c r="M997" s="154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 ht="13.5" customHeight="1">
      <c r="A998" s="153"/>
      <c r="B998" s="153"/>
      <c r="C998" s="153"/>
      <c r="D998" s="154"/>
      <c r="E998" s="154"/>
      <c r="F998" s="153"/>
      <c r="G998" s="153"/>
      <c r="H998" s="153"/>
      <c r="I998" s="153"/>
      <c r="J998" s="153"/>
      <c r="K998" s="153"/>
      <c r="L998" s="154"/>
      <c r="M998" s="154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 ht="13.5" customHeight="1">
      <c r="A999" s="153"/>
      <c r="B999" s="153"/>
      <c r="C999" s="153"/>
      <c r="D999" s="154"/>
      <c r="E999" s="154"/>
      <c r="F999" s="153"/>
      <c r="G999" s="153"/>
      <c r="H999" s="153"/>
      <c r="I999" s="153"/>
      <c r="J999" s="153"/>
      <c r="K999" s="153"/>
      <c r="L999" s="154"/>
      <c r="M999" s="154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 ht="13.5" customHeight="1">
      <c r="A1000" s="153"/>
      <c r="B1000" s="153"/>
      <c r="C1000" s="153"/>
      <c r="D1000" s="154"/>
      <c r="E1000" s="154"/>
      <c r="F1000" s="153"/>
      <c r="G1000" s="153"/>
      <c r="H1000" s="153"/>
      <c r="I1000" s="153"/>
      <c r="J1000" s="153"/>
      <c r="K1000" s="153"/>
      <c r="L1000" s="154"/>
      <c r="M1000" s="154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mergeCells count="7">
    <mergeCell ref="B3:E3"/>
    <mergeCell ref="L6:M6"/>
    <mergeCell ref="B18:C18"/>
    <mergeCell ref="B19:C19"/>
    <mergeCell ref="B20:C20"/>
    <mergeCell ref="B21:C22"/>
    <mergeCell ref="D21:D2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71"/>
    <col customWidth="1" min="3" max="3" width="11.71"/>
    <col customWidth="1" min="4" max="4" width="11.14"/>
    <col customWidth="1" min="5" max="5" width="0.29"/>
    <col customWidth="1" min="6" max="6" width="16.29"/>
    <col customWidth="1" min="7" max="7" width="11.71"/>
    <col customWidth="1" min="8" max="8" width="20.14"/>
    <col customWidth="1" min="9" max="9" width="12.29"/>
    <col customWidth="1" min="10" max="10" width="12.86"/>
    <col customWidth="1" min="11" max="11" width="12.29"/>
    <col customWidth="1" min="12" max="12" width="37.71"/>
    <col customWidth="1" min="13" max="13" width="9.71"/>
    <col customWidth="1" min="14" max="14" width="11.43"/>
    <col customWidth="1" min="15" max="15" width="14.0"/>
    <col customWidth="1" min="16" max="16" width="13.0"/>
    <col customWidth="1" min="17" max="17" width="11.57"/>
    <col customWidth="1" min="18" max="18" width="4.71"/>
    <col customWidth="1" min="19" max="19" width="12.43"/>
    <col customWidth="1" min="20" max="20" width="14.14"/>
    <col customWidth="1" min="21" max="24" width="11.14"/>
    <col customWidth="1" min="25" max="25" width="15.29"/>
    <col customWidth="1" min="26" max="26" width="0.14"/>
    <col customWidth="1" min="27" max="27" width="18.43"/>
    <col customWidth="1" min="28" max="28" width="16.86"/>
    <col customWidth="1" min="29" max="29" width="13.14"/>
    <col customWidth="1" min="30" max="30" width="16.0"/>
    <col customWidth="1" min="31" max="31" width="9.71"/>
    <col customWidth="1" min="32" max="32" width="8.71"/>
    <col customWidth="1" min="33" max="33" width="20.0"/>
    <col customWidth="1" min="34" max="34" width="22.86"/>
  </cols>
  <sheetData>
    <row r="1" ht="14.25" customHeight="1">
      <c r="F1" s="119"/>
      <c r="G1" s="119"/>
      <c r="H1" s="120"/>
      <c r="I1" s="119"/>
      <c r="J1" s="119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ht="14.25" customHeight="1">
      <c r="A2" s="5" t="s">
        <v>288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</row>
    <row r="4" ht="17.25" customHeight="1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7"/>
    </row>
    <row r="6" ht="14.25" customHeight="1">
      <c r="A6" s="11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</row>
    <row r="7" ht="14.25" customHeight="1">
      <c r="A7" s="11"/>
      <c r="B7" s="12"/>
      <c r="C7" s="12"/>
      <c r="D7" s="12"/>
      <c r="E7" s="12"/>
      <c r="F7" s="121"/>
      <c r="G7" s="121"/>
      <c r="H7" s="122"/>
      <c r="I7" s="121"/>
      <c r="J7" s="121"/>
      <c r="K7" s="12"/>
      <c r="L7" s="12"/>
      <c r="M7" s="13"/>
      <c r="N7" s="13"/>
      <c r="O7" s="13"/>
      <c r="P7" s="13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</row>
    <row r="8" ht="18.7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</row>
    <row r="9" ht="18.75" customHeight="1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</row>
    <row r="10" ht="18.75" customHeight="1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</row>
    <row r="11" ht="29.25" customHeight="1">
      <c r="A11" s="20" t="s">
        <v>12</v>
      </c>
      <c r="B11" s="21" t="s">
        <v>15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169</v>
      </c>
      <c r="H11" s="24" t="s">
        <v>23</v>
      </c>
      <c r="I11" s="21" t="s">
        <v>27</v>
      </c>
      <c r="J11" s="21" t="s">
        <v>30</v>
      </c>
      <c r="K11" s="21" t="s">
        <v>18</v>
      </c>
      <c r="L11" s="21" t="s">
        <v>31</v>
      </c>
      <c r="M11" s="22" t="s">
        <v>170</v>
      </c>
      <c r="N11" s="21" t="s">
        <v>21</v>
      </c>
      <c r="O11" s="21" t="s">
        <v>22</v>
      </c>
      <c r="P11" s="21" t="s">
        <v>171</v>
      </c>
      <c r="Q11" s="21" t="s">
        <v>172</v>
      </c>
      <c r="R11" s="32" t="s">
        <v>24</v>
      </c>
      <c r="S11" s="23" t="s">
        <v>25</v>
      </c>
      <c r="T11" s="25" t="s">
        <v>174</v>
      </c>
      <c r="U11" s="23" t="s">
        <v>37</v>
      </c>
      <c r="V11" s="25" t="s">
        <v>39</v>
      </c>
      <c r="W11" s="25" t="s">
        <v>40</v>
      </c>
      <c r="X11" s="25" t="s">
        <v>43</v>
      </c>
      <c r="Y11" s="25" t="s">
        <v>45</v>
      </c>
      <c r="Z11" s="25" t="s">
        <v>46</v>
      </c>
      <c r="AA11" s="25" t="s">
        <v>47</v>
      </c>
      <c r="AB11" s="25" t="s">
        <v>48</v>
      </c>
      <c r="AC11" s="23" t="s">
        <v>32</v>
      </c>
      <c r="AD11" s="23" t="s">
        <v>33</v>
      </c>
      <c r="AE11" s="27" t="s">
        <v>34</v>
      </c>
    </row>
    <row r="12" ht="37.5" customHeight="1">
      <c r="A12" s="28"/>
      <c r="B12" s="30"/>
      <c r="C12" s="29"/>
      <c r="D12" s="29"/>
      <c r="E12" s="29"/>
      <c r="F12" s="29"/>
      <c r="G12" s="30"/>
      <c r="H12" s="30"/>
      <c r="I12" s="29"/>
      <c r="J12" s="30"/>
      <c r="K12" s="29"/>
      <c r="L12" s="29"/>
      <c r="M12" s="29"/>
      <c r="N12" s="29"/>
      <c r="O12" s="29"/>
      <c r="P12" s="30"/>
      <c r="Q12" s="30"/>
      <c r="R12" s="29"/>
      <c r="S12" s="29"/>
      <c r="T12" s="29"/>
      <c r="U12" s="29"/>
      <c r="V12" s="30"/>
      <c r="W12" s="30"/>
      <c r="X12" s="30"/>
      <c r="Y12" s="30"/>
      <c r="Z12" s="30"/>
      <c r="AA12" s="30"/>
      <c r="AB12" s="30"/>
      <c r="AC12" s="30"/>
      <c r="AD12" s="30"/>
      <c r="AE12" s="33"/>
    </row>
    <row r="13" ht="14.25" customHeight="1">
      <c r="A13" s="42">
        <v>1.0</v>
      </c>
      <c r="B13" s="42" t="s">
        <v>185</v>
      </c>
      <c r="C13" s="44">
        <v>46034.0</v>
      </c>
      <c r="D13" s="35">
        <v>46035.0</v>
      </c>
      <c r="E13" s="37"/>
      <c r="F13" s="37" t="s">
        <v>176</v>
      </c>
      <c r="G13" s="37" t="s">
        <v>289</v>
      </c>
      <c r="H13" s="49" t="s">
        <v>290</v>
      </c>
      <c r="I13" s="37"/>
      <c r="J13" s="37"/>
      <c r="K13" s="42"/>
      <c r="L13" s="37" t="s">
        <v>291</v>
      </c>
      <c r="M13" s="48">
        <v>1.0</v>
      </c>
      <c r="N13" s="43"/>
      <c r="O13" s="43">
        <v>2315000.0</v>
      </c>
      <c r="P13" s="43"/>
      <c r="Q13" s="43"/>
      <c r="R13" s="5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  <c r="AD13" s="47">
        <f t="shared" ref="AD13:AD14" si="1">O13</f>
        <v>2315000</v>
      </c>
      <c r="AE13" s="52"/>
      <c r="AF13" s="56"/>
      <c r="AG13" s="54"/>
      <c r="AH13" s="54"/>
    </row>
    <row r="14" ht="14.25" customHeight="1">
      <c r="A14" s="42">
        <f t="shared" ref="A14:A21" si="2">A13+1</f>
        <v>2</v>
      </c>
      <c r="B14" s="42" t="s">
        <v>185</v>
      </c>
      <c r="C14" s="44">
        <v>46034.0</v>
      </c>
      <c r="D14" s="35">
        <v>46035.0</v>
      </c>
      <c r="E14" s="37"/>
      <c r="F14" s="37" t="s">
        <v>176</v>
      </c>
      <c r="G14" s="37" t="s">
        <v>289</v>
      </c>
      <c r="H14" s="49" t="s">
        <v>290</v>
      </c>
      <c r="I14" s="37"/>
      <c r="J14" s="37"/>
      <c r="K14" s="42"/>
      <c r="L14" s="37" t="s">
        <v>292</v>
      </c>
      <c r="M14" s="48">
        <v>1.0</v>
      </c>
      <c r="N14" s="43"/>
      <c r="O14" s="43">
        <v>4630000.0</v>
      </c>
      <c r="P14" s="43"/>
      <c r="Q14" s="43"/>
      <c r="R14" s="5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  <c r="AD14" s="47">
        <f t="shared" si="1"/>
        <v>4630000</v>
      </c>
      <c r="AE14" s="52"/>
      <c r="AF14" s="56"/>
      <c r="AG14" s="54"/>
      <c r="AH14" s="54"/>
    </row>
    <row r="15" ht="14.25" customHeight="1">
      <c r="A15" s="42">
        <f t="shared" si="2"/>
        <v>3</v>
      </c>
      <c r="B15" s="42" t="s">
        <v>185</v>
      </c>
      <c r="C15" s="44">
        <v>46035.0</v>
      </c>
      <c r="D15" s="35">
        <v>46035.0</v>
      </c>
      <c r="E15" s="37"/>
      <c r="F15" s="37" t="s">
        <v>63</v>
      </c>
      <c r="G15" s="37" t="s">
        <v>289</v>
      </c>
      <c r="H15" s="49" t="s">
        <v>290</v>
      </c>
      <c r="I15" s="37" t="s">
        <v>293</v>
      </c>
      <c r="J15" s="37" t="s">
        <v>294</v>
      </c>
      <c r="K15" s="42" t="s">
        <v>295</v>
      </c>
      <c r="L15" s="37" t="s">
        <v>296</v>
      </c>
      <c r="M15" s="48">
        <v>1.0</v>
      </c>
      <c r="N15" s="43"/>
      <c r="O15" s="43">
        <v>6000000.0</v>
      </c>
      <c r="P15" s="43"/>
      <c r="Q15" s="43"/>
      <c r="R15" s="59">
        <v>1.0</v>
      </c>
      <c r="S15" s="47">
        <v>1000000.0</v>
      </c>
      <c r="T15" s="60"/>
      <c r="U15" s="47"/>
      <c r="V15" s="47"/>
      <c r="W15" s="47"/>
      <c r="X15" s="47"/>
      <c r="Y15" s="47">
        <v>3400000.0</v>
      </c>
      <c r="Z15" s="47"/>
      <c r="AA15" s="47"/>
      <c r="AB15" s="47"/>
      <c r="AC15" s="47"/>
      <c r="AD15" s="47">
        <f>SUM(O15,S15,Y15)</f>
        <v>10400000</v>
      </c>
      <c r="AE15" s="52"/>
      <c r="AF15" s="56"/>
      <c r="AG15" s="54"/>
      <c r="AH15" s="54"/>
    </row>
    <row r="16" ht="14.25" customHeight="1">
      <c r="A16" s="42">
        <f t="shared" si="2"/>
        <v>4</v>
      </c>
      <c r="B16" s="42" t="s">
        <v>185</v>
      </c>
      <c r="C16" s="44">
        <v>46037.0</v>
      </c>
      <c r="D16" s="35">
        <v>46037.0</v>
      </c>
      <c r="E16" s="37"/>
      <c r="F16" s="37" t="s">
        <v>176</v>
      </c>
      <c r="G16" s="37" t="s">
        <v>186</v>
      </c>
      <c r="H16" s="49" t="s">
        <v>297</v>
      </c>
      <c r="I16" s="37"/>
      <c r="J16" s="37"/>
      <c r="K16" s="42"/>
      <c r="L16" s="37" t="s">
        <v>291</v>
      </c>
      <c r="M16" s="48">
        <v>1.0</v>
      </c>
      <c r="N16" s="43"/>
      <c r="O16" s="43">
        <v>2315000.0</v>
      </c>
      <c r="P16" s="43"/>
      <c r="Q16" s="43"/>
      <c r="R16" s="50"/>
      <c r="S16" s="47"/>
      <c r="T16" s="51"/>
      <c r="U16" s="47"/>
      <c r="V16" s="47"/>
      <c r="W16" s="47"/>
      <c r="X16" s="47"/>
      <c r="Y16" s="47"/>
      <c r="Z16" s="47"/>
      <c r="AA16" s="47"/>
      <c r="AB16" s="47"/>
      <c r="AC16" s="47"/>
      <c r="AD16" s="47">
        <f>O16</f>
        <v>2315000</v>
      </c>
      <c r="AE16" s="52"/>
      <c r="AF16" s="56"/>
      <c r="AG16" s="54"/>
      <c r="AH16" s="54"/>
    </row>
    <row r="17" ht="14.25" customHeight="1">
      <c r="A17" s="42">
        <f t="shared" si="2"/>
        <v>5</v>
      </c>
      <c r="B17" s="42" t="s">
        <v>185</v>
      </c>
      <c r="C17" s="44">
        <v>46037.0</v>
      </c>
      <c r="D17" s="35">
        <v>46037.0</v>
      </c>
      <c r="E17" s="37"/>
      <c r="F17" s="37" t="s">
        <v>176</v>
      </c>
      <c r="G17" s="37" t="s">
        <v>186</v>
      </c>
      <c r="H17" s="49" t="s">
        <v>297</v>
      </c>
      <c r="I17" s="37"/>
      <c r="J17" s="37"/>
      <c r="K17" s="42"/>
      <c r="L17" s="37" t="s">
        <v>189</v>
      </c>
      <c r="M17" s="48">
        <v>1.0</v>
      </c>
      <c r="N17" s="43"/>
      <c r="O17" s="43">
        <v>4630000.0</v>
      </c>
      <c r="P17" s="43"/>
      <c r="Q17" s="43"/>
      <c r="R17" s="59"/>
      <c r="S17" s="47"/>
      <c r="T17" s="63"/>
      <c r="U17" s="47"/>
      <c r="V17" s="47"/>
      <c r="W17" s="47"/>
      <c r="X17" s="47"/>
      <c r="Y17" s="47"/>
      <c r="Z17" s="47"/>
      <c r="AA17" s="47"/>
      <c r="AB17" s="47"/>
      <c r="AC17" s="47"/>
      <c r="AD17" s="47">
        <f>O17+SUM(S17:AB17)</f>
        <v>4630000</v>
      </c>
      <c r="AE17" s="52"/>
      <c r="AF17" s="56"/>
      <c r="AG17" s="56"/>
      <c r="AH17" s="56"/>
    </row>
    <row r="18" ht="14.25" customHeight="1">
      <c r="A18" s="42">
        <f t="shared" si="2"/>
        <v>6</v>
      </c>
      <c r="B18" s="42" t="s">
        <v>185</v>
      </c>
      <c r="C18" s="44">
        <v>46037.0</v>
      </c>
      <c r="D18" s="35">
        <v>46037.0</v>
      </c>
      <c r="E18" s="37"/>
      <c r="F18" s="37" t="s">
        <v>245</v>
      </c>
      <c r="G18" s="37" t="s">
        <v>186</v>
      </c>
      <c r="H18" s="49" t="s">
        <v>297</v>
      </c>
      <c r="I18" s="37" t="s">
        <v>298</v>
      </c>
      <c r="J18" s="37" t="s">
        <v>299</v>
      </c>
      <c r="K18" s="42" t="s">
        <v>188</v>
      </c>
      <c r="L18" s="37" t="s">
        <v>300</v>
      </c>
      <c r="M18" s="48">
        <v>1.0</v>
      </c>
      <c r="N18" s="43"/>
      <c r="O18" s="43">
        <v>4.0E7</v>
      </c>
      <c r="P18" s="43"/>
      <c r="Q18" s="43"/>
      <c r="R18" s="59"/>
      <c r="S18" s="47"/>
      <c r="T18" s="63">
        <v>3000000.0</v>
      </c>
      <c r="U18" s="47">
        <v>800000.0</v>
      </c>
      <c r="V18" s="47">
        <v>600000.0</v>
      </c>
      <c r="W18" s="47">
        <v>500000.0</v>
      </c>
      <c r="X18" s="194">
        <v>1000000.0</v>
      </c>
      <c r="Y18" s="47">
        <v>7776000.0</v>
      </c>
      <c r="Z18" s="47"/>
      <c r="AA18" s="47"/>
      <c r="AB18" s="47"/>
      <c r="AC18" s="47"/>
      <c r="AD18" s="47">
        <f>SUM(O18,T18:Y18)</f>
        <v>53676000</v>
      </c>
      <c r="AE18" s="52"/>
      <c r="AF18" s="56"/>
      <c r="AG18" s="56"/>
      <c r="AH18" s="56"/>
    </row>
    <row r="19" ht="14.25" customHeight="1">
      <c r="A19" s="42">
        <f t="shared" si="2"/>
        <v>7</v>
      </c>
      <c r="B19" s="42" t="s">
        <v>185</v>
      </c>
      <c r="C19" s="44">
        <v>46039.0</v>
      </c>
      <c r="D19" s="35">
        <v>46039.0</v>
      </c>
      <c r="E19" s="37"/>
      <c r="F19" s="37" t="s">
        <v>176</v>
      </c>
      <c r="G19" s="37" t="s">
        <v>186</v>
      </c>
      <c r="H19" s="49" t="s">
        <v>301</v>
      </c>
      <c r="I19" s="37"/>
      <c r="J19" s="37"/>
      <c r="K19" s="42"/>
      <c r="L19" s="37" t="s">
        <v>291</v>
      </c>
      <c r="M19" s="48">
        <v>1.0</v>
      </c>
      <c r="N19" s="43"/>
      <c r="O19" s="43">
        <v>2315000.0</v>
      </c>
      <c r="P19" s="43"/>
      <c r="Q19" s="43"/>
      <c r="R19" s="50"/>
      <c r="S19" s="47"/>
      <c r="T19" s="51"/>
      <c r="U19" s="47"/>
      <c r="V19" s="47"/>
      <c r="W19" s="47"/>
      <c r="X19" s="47"/>
      <c r="Y19" s="47"/>
      <c r="Z19" s="47"/>
      <c r="AA19" s="47"/>
      <c r="AB19" s="47"/>
      <c r="AC19" s="47"/>
      <c r="AD19" s="47">
        <f>O19</f>
        <v>2315000</v>
      </c>
      <c r="AE19" s="52"/>
      <c r="AF19" s="56"/>
      <c r="AG19" s="54"/>
      <c r="AH19" s="54"/>
    </row>
    <row r="20" ht="14.25" customHeight="1">
      <c r="A20" s="42">
        <f t="shared" si="2"/>
        <v>8</v>
      </c>
      <c r="B20" s="42" t="s">
        <v>185</v>
      </c>
      <c r="C20" s="44">
        <v>46039.0</v>
      </c>
      <c r="D20" s="35">
        <v>46039.0</v>
      </c>
      <c r="E20" s="37"/>
      <c r="F20" s="37" t="s">
        <v>176</v>
      </c>
      <c r="G20" s="37" t="s">
        <v>186</v>
      </c>
      <c r="H20" s="49" t="s">
        <v>301</v>
      </c>
      <c r="I20" s="37"/>
      <c r="J20" s="37"/>
      <c r="K20" s="42"/>
      <c r="L20" s="37" t="s">
        <v>189</v>
      </c>
      <c r="M20" s="48">
        <v>1.0</v>
      </c>
      <c r="N20" s="43"/>
      <c r="O20" s="43">
        <v>4630000.0</v>
      </c>
      <c r="P20" s="43"/>
      <c r="Q20" s="43"/>
      <c r="R20" s="59"/>
      <c r="S20" s="47"/>
      <c r="T20" s="63"/>
      <c r="U20" s="47"/>
      <c r="V20" s="47"/>
      <c r="W20" s="47"/>
      <c r="X20" s="47"/>
      <c r="Y20" s="47"/>
      <c r="Z20" s="47"/>
      <c r="AA20" s="47"/>
      <c r="AB20" s="47"/>
      <c r="AC20" s="47"/>
      <c r="AD20" s="47">
        <f>O20+SUM(S20:AB20)</f>
        <v>4630000</v>
      </c>
      <c r="AE20" s="52"/>
      <c r="AF20" s="56"/>
      <c r="AG20" s="56"/>
      <c r="AH20" s="56"/>
    </row>
    <row r="21" ht="14.25" customHeight="1">
      <c r="A21" s="42">
        <f t="shared" si="2"/>
        <v>9</v>
      </c>
      <c r="B21" s="42" t="s">
        <v>185</v>
      </c>
      <c r="C21" s="44">
        <v>46040.0</v>
      </c>
      <c r="D21" s="35">
        <v>46040.0</v>
      </c>
      <c r="E21" s="37"/>
      <c r="F21" s="37" t="s">
        <v>245</v>
      </c>
      <c r="G21" s="37" t="s">
        <v>186</v>
      </c>
      <c r="H21" s="49" t="s">
        <v>301</v>
      </c>
      <c r="I21" s="37" t="s">
        <v>302</v>
      </c>
      <c r="J21" s="37" t="s">
        <v>299</v>
      </c>
      <c r="K21" s="42" t="s">
        <v>188</v>
      </c>
      <c r="L21" s="37" t="s">
        <v>300</v>
      </c>
      <c r="M21" s="48">
        <v>1.0</v>
      </c>
      <c r="N21" s="43"/>
      <c r="O21" s="43">
        <v>4.0E7</v>
      </c>
      <c r="P21" s="43"/>
      <c r="Q21" s="43"/>
      <c r="R21" s="59">
        <v>1.0</v>
      </c>
      <c r="S21" s="47">
        <v>3000000.0</v>
      </c>
      <c r="T21" s="63">
        <v>3000000.0</v>
      </c>
      <c r="U21" s="47">
        <v>800000.0</v>
      </c>
      <c r="V21" s="47">
        <v>600000.0</v>
      </c>
      <c r="W21" s="47">
        <v>500000.0</v>
      </c>
      <c r="X21" s="194">
        <v>1000000.0</v>
      </c>
      <c r="Y21" s="47">
        <v>7344000.0</v>
      </c>
      <c r="Z21" s="47"/>
      <c r="AA21" s="47"/>
      <c r="AB21" s="47"/>
      <c r="AC21" s="47"/>
      <c r="AD21" s="47">
        <f>SUM(O21,S21:Y21)</f>
        <v>56244000</v>
      </c>
      <c r="AE21" s="52"/>
      <c r="AF21" s="56"/>
      <c r="AG21" s="56"/>
      <c r="AH21" s="56"/>
    </row>
    <row r="22" ht="14.25" customHeight="1">
      <c r="A22" s="42">
        <v>10.0</v>
      </c>
      <c r="B22" s="42" t="s">
        <v>185</v>
      </c>
      <c r="C22" s="44">
        <v>46040.0</v>
      </c>
      <c r="D22" s="35">
        <v>46041.0</v>
      </c>
      <c r="E22" s="37"/>
      <c r="F22" s="37" t="s">
        <v>176</v>
      </c>
      <c r="G22" s="37" t="s">
        <v>186</v>
      </c>
      <c r="H22" s="49" t="s">
        <v>303</v>
      </c>
      <c r="I22" s="37"/>
      <c r="J22" s="37"/>
      <c r="K22" s="42"/>
      <c r="L22" s="37" t="s">
        <v>291</v>
      </c>
      <c r="M22" s="48">
        <v>1.0</v>
      </c>
      <c r="N22" s="43"/>
      <c r="O22" s="43">
        <v>2315000.0</v>
      </c>
      <c r="P22" s="43"/>
      <c r="Q22" s="43"/>
      <c r="R22" s="59"/>
      <c r="S22" s="47"/>
      <c r="T22" s="63"/>
      <c r="U22" s="47"/>
      <c r="V22" s="47"/>
      <c r="W22" s="47"/>
      <c r="X22" s="47"/>
      <c r="Y22" s="47"/>
      <c r="Z22" s="47"/>
      <c r="AA22" s="47"/>
      <c r="AB22" s="47"/>
      <c r="AC22" s="47"/>
      <c r="AD22" s="43">
        <f>O22</f>
        <v>2315000</v>
      </c>
      <c r="AE22" s="52"/>
      <c r="AF22" s="56"/>
      <c r="AG22" s="56"/>
      <c r="AH22" s="56"/>
    </row>
    <row r="23" ht="14.25" customHeight="1">
      <c r="A23" s="42">
        <v>11.0</v>
      </c>
      <c r="B23" s="42" t="s">
        <v>185</v>
      </c>
      <c r="C23" s="44">
        <v>46040.0</v>
      </c>
      <c r="D23" s="35">
        <v>46041.0</v>
      </c>
      <c r="E23" s="37"/>
      <c r="F23" s="37" t="s">
        <v>176</v>
      </c>
      <c r="G23" s="37" t="s">
        <v>186</v>
      </c>
      <c r="H23" s="49" t="s">
        <v>303</v>
      </c>
      <c r="I23" s="37"/>
      <c r="J23" s="37"/>
      <c r="K23" s="42"/>
      <c r="L23" s="37" t="s">
        <v>189</v>
      </c>
      <c r="M23" s="48">
        <v>1.0</v>
      </c>
      <c r="N23" s="43"/>
      <c r="O23" s="43">
        <v>4630000.0</v>
      </c>
      <c r="P23" s="43"/>
      <c r="Q23" s="43"/>
      <c r="R23" s="59"/>
      <c r="S23" s="47"/>
      <c r="T23" s="63"/>
      <c r="U23" s="47"/>
      <c r="V23" s="47"/>
      <c r="W23" s="47"/>
      <c r="X23" s="47"/>
      <c r="Y23" s="47"/>
      <c r="Z23" s="47"/>
      <c r="AA23" s="47"/>
      <c r="AB23" s="47"/>
      <c r="AC23" s="47"/>
      <c r="AD23" s="43">
        <v>4630000.0</v>
      </c>
      <c r="AE23" s="52"/>
      <c r="AF23" s="56"/>
      <c r="AG23" s="56"/>
      <c r="AH23" s="56"/>
    </row>
    <row r="24" ht="13.5" customHeight="1">
      <c r="A24" s="42">
        <v>12.0</v>
      </c>
      <c r="B24" s="42" t="s">
        <v>185</v>
      </c>
      <c r="C24" s="44">
        <v>46040.0</v>
      </c>
      <c r="D24" s="35">
        <v>46041.0</v>
      </c>
      <c r="E24" s="37"/>
      <c r="F24" s="37" t="s">
        <v>245</v>
      </c>
      <c r="G24" s="37" t="s">
        <v>186</v>
      </c>
      <c r="H24" s="49" t="s">
        <v>303</v>
      </c>
      <c r="I24" s="68" t="s">
        <v>304</v>
      </c>
      <c r="J24" s="37" t="s">
        <v>305</v>
      </c>
      <c r="K24" s="42" t="s">
        <v>188</v>
      </c>
      <c r="L24" s="37" t="s">
        <v>300</v>
      </c>
      <c r="M24" s="48">
        <v>1.0</v>
      </c>
      <c r="N24" s="43"/>
      <c r="O24" s="43">
        <v>4.0E7</v>
      </c>
      <c r="P24" s="43"/>
      <c r="Q24" s="43"/>
      <c r="R24" s="59"/>
      <c r="S24" s="47"/>
      <c r="T24" s="63">
        <v>3000000.0</v>
      </c>
      <c r="U24" s="47">
        <v>800000.0</v>
      </c>
      <c r="V24" s="47">
        <v>600000.0</v>
      </c>
      <c r="W24" s="47">
        <v>500000.0</v>
      </c>
      <c r="X24" s="194">
        <v>1000000.0</v>
      </c>
      <c r="Y24" s="47">
        <v>7344000.0</v>
      </c>
      <c r="Z24" s="47"/>
      <c r="AA24" s="47"/>
      <c r="AB24" s="47"/>
      <c r="AC24" s="47"/>
      <c r="AD24" s="47">
        <f>SUM(O24,T24:Y24)</f>
        <v>53244000</v>
      </c>
      <c r="AE24" s="52"/>
      <c r="AF24" s="56"/>
      <c r="AG24" s="56"/>
      <c r="AH24" s="56"/>
    </row>
    <row r="25" ht="13.5" customHeight="1">
      <c r="A25" s="42">
        <v>13.0</v>
      </c>
      <c r="B25" s="42" t="s">
        <v>185</v>
      </c>
      <c r="C25" s="35">
        <v>46041.0</v>
      </c>
      <c r="D25" s="35">
        <v>46045.0</v>
      </c>
      <c r="E25" s="37"/>
      <c r="F25" s="37" t="s">
        <v>176</v>
      </c>
      <c r="G25" s="37" t="s">
        <v>186</v>
      </c>
      <c r="H25" s="134" t="s">
        <v>306</v>
      </c>
      <c r="I25" s="68"/>
      <c r="J25" s="37"/>
      <c r="K25" s="42"/>
      <c r="L25" s="37" t="s">
        <v>291</v>
      </c>
      <c r="M25" s="48">
        <v>1.0</v>
      </c>
      <c r="N25" s="43"/>
      <c r="O25" s="43">
        <v>2315000.0</v>
      </c>
      <c r="P25" s="43"/>
      <c r="Q25" s="43"/>
      <c r="R25" s="59"/>
      <c r="S25" s="47"/>
      <c r="T25" s="63"/>
      <c r="U25" s="47"/>
      <c r="V25" s="47"/>
      <c r="W25" s="47"/>
      <c r="X25" s="47"/>
      <c r="Y25" s="56"/>
      <c r="Z25" s="47"/>
      <c r="AA25" s="47"/>
      <c r="AB25" s="47"/>
      <c r="AC25" s="47"/>
      <c r="AD25" s="43">
        <f>O25</f>
        <v>2315000</v>
      </c>
      <c r="AE25" s="52"/>
      <c r="AF25" s="56"/>
      <c r="AG25" s="56"/>
      <c r="AH25" s="56"/>
    </row>
    <row r="26" ht="13.5" customHeight="1">
      <c r="A26" s="42">
        <v>14.0</v>
      </c>
      <c r="B26" s="42" t="s">
        <v>185</v>
      </c>
      <c r="C26" s="35">
        <v>46041.0</v>
      </c>
      <c r="D26" s="35">
        <v>46045.0</v>
      </c>
      <c r="E26" s="37"/>
      <c r="F26" s="37" t="s">
        <v>176</v>
      </c>
      <c r="G26" s="37" t="s">
        <v>186</v>
      </c>
      <c r="H26" s="134" t="s">
        <v>306</v>
      </c>
      <c r="I26" s="68"/>
      <c r="J26" s="37"/>
      <c r="K26" s="42"/>
      <c r="L26" s="37" t="s">
        <v>189</v>
      </c>
      <c r="M26" s="48">
        <v>1.0</v>
      </c>
      <c r="N26" s="43"/>
      <c r="O26" s="43">
        <v>4630000.0</v>
      </c>
      <c r="P26" s="43"/>
      <c r="Q26" s="43"/>
      <c r="R26" s="59"/>
      <c r="S26" s="47"/>
      <c r="T26" s="63"/>
      <c r="U26" s="47"/>
      <c r="V26" s="47"/>
      <c r="W26" s="47"/>
      <c r="X26" s="47"/>
      <c r="Y26" s="47"/>
      <c r="Z26" s="47"/>
      <c r="AA26" s="47"/>
      <c r="AB26" s="47"/>
      <c r="AC26" s="47"/>
      <c r="AD26" s="43">
        <v>4630000.0</v>
      </c>
      <c r="AE26" s="52"/>
      <c r="AF26" s="56"/>
      <c r="AG26" s="56"/>
      <c r="AH26" s="56"/>
    </row>
    <row r="27" ht="15.75" customHeight="1">
      <c r="A27" s="42">
        <v>15.0</v>
      </c>
      <c r="B27" s="42" t="s">
        <v>185</v>
      </c>
      <c r="C27" s="35">
        <v>46041.0</v>
      </c>
      <c r="D27" s="35">
        <v>46045.0</v>
      </c>
      <c r="E27" s="37"/>
      <c r="F27" s="37" t="s">
        <v>276</v>
      </c>
      <c r="G27" s="37" t="s">
        <v>186</v>
      </c>
      <c r="H27" s="134" t="s">
        <v>306</v>
      </c>
      <c r="I27" s="37" t="s">
        <v>307</v>
      </c>
      <c r="J27" s="37" t="s">
        <v>308</v>
      </c>
      <c r="K27" s="42" t="s">
        <v>188</v>
      </c>
      <c r="L27" s="37" t="s">
        <v>300</v>
      </c>
      <c r="M27" s="48">
        <v>1.0</v>
      </c>
      <c r="N27" s="43"/>
      <c r="O27" s="43">
        <v>4.0E7</v>
      </c>
      <c r="P27" s="43"/>
      <c r="Q27" s="43"/>
      <c r="R27" s="59">
        <v>1.0</v>
      </c>
      <c r="S27" s="47">
        <v>3000000.0</v>
      </c>
      <c r="T27" s="63">
        <v>3000000.0</v>
      </c>
      <c r="U27" s="47">
        <v>800000.0</v>
      </c>
      <c r="V27" s="47">
        <v>600000.0</v>
      </c>
      <c r="W27" s="47">
        <v>500000.0</v>
      </c>
      <c r="X27" s="194">
        <v>1000000.0</v>
      </c>
      <c r="Y27" s="47">
        <v>7344000.0</v>
      </c>
      <c r="Z27" s="47"/>
      <c r="AA27" s="47"/>
      <c r="AB27" s="47"/>
      <c r="AC27" s="47"/>
      <c r="AD27" s="47">
        <f>SUM(O27,S27:Y27)</f>
        <v>56244000</v>
      </c>
      <c r="AE27" s="52"/>
      <c r="AF27" s="56"/>
      <c r="AG27" s="56"/>
      <c r="AH27" s="56"/>
    </row>
    <row r="28" ht="15.75" customHeight="1">
      <c r="A28" s="42">
        <v>16.0</v>
      </c>
      <c r="B28" s="42" t="s">
        <v>309</v>
      </c>
      <c r="C28" s="35">
        <v>46042.0</v>
      </c>
      <c r="D28" s="35">
        <v>46045.0</v>
      </c>
      <c r="E28" s="37"/>
      <c r="F28" s="37" t="s">
        <v>176</v>
      </c>
      <c r="G28" s="37" t="s">
        <v>310</v>
      </c>
      <c r="H28" s="134" t="s">
        <v>311</v>
      </c>
      <c r="I28" s="37"/>
      <c r="J28" s="37"/>
      <c r="K28" s="42"/>
      <c r="L28" s="37" t="s">
        <v>291</v>
      </c>
      <c r="M28" s="48">
        <v>1.0</v>
      </c>
      <c r="N28" s="43"/>
      <c r="O28" s="178">
        <v>759273.0</v>
      </c>
      <c r="P28" s="43"/>
      <c r="Q28" s="43"/>
      <c r="R28" s="59"/>
      <c r="S28" s="47"/>
      <c r="T28" s="60"/>
      <c r="U28" s="47"/>
      <c r="V28" s="47"/>
      <c r="W28" s="47"/>
      <c r="X28" s="47"/>
      <c r="Y28" s="47"/>
      <c r="Z28" s="47"/>
      <c r="AA28" s="47"/>
      <c r="AB28" s="47"/>
      <c r="AC28" s="47"/>
      <c r="AD28" s="178">
        <v>759273.0</v>
      </c>
      <c r="AE28" s="52"/>
      <c r="AF28" s="56"/>
      <c r="AG28" s="56"/>
      <c r="AH28" s="56"/>
    </row>
    <row r="29" ht="15.75" customHeight="1">
      <c r="A29" s="42">
        <v>17.0</v>
      </c>
      <c r="B29" s="42" t="s">
        <v>309</v>
      </c>
      <c r="C29" s="35">
        <v>46042.0</v>
      </c>
      <c r="D29" s="35">
        <v>46045.0</v>
      </c>
      <c r="E29" s="37"/>
      <c r="F29" s="37" t="s">
        <v>176</v>
      </c>
      <c r="G29" s="37" t="s">
        <v>310</v>
      </c>
      <c r="H29" s="134" t="s">
        <v>311</v>
      </c>
      <c r="I29" s="37"/>
      <c r="J29" s="37"/>
      <c r="K29" s="42"/>
      <c r="L29" s="37" t="s">
        <v>189</v>
      </c>
      <c r="M29" s="48">
        <v>1.0</v>
      </c>
      <c r="N29" s="43"/>
      <c r="O29" s="43">
        <v>2500000.0</v>
      </c>
      <c r="P29" s="43"/>
      <c r="Q29" s="43"/>
      <c r="R29" s="59"/>
      <c r="S29" s="47"/>
      <c r="T29" s="60"/>
      <c r="U29" s="47"/>
      <c r="V29" s="47"/>
      <c r="W29" s="47"/>
      <c r="X29" s="47"/>
      <c r="Y29" s="47"/>
      <c r="Z29" s="47"/>
      <c r="AA29" s="47"/>
      <c r="AB29" s="47"/>
      <c r="AC29" s="47"/>
      <c r="AD29" s="43">
        <f>O29</f>
        <v>2500000</v>
      </c>
      <c r="AE29" s="52"/>
      <c r="AF29" s="56"/>
      <c r="AG29" s="56"/>
      <c r="AH29" s="56"/>
    </row>
    <row r="30" ht="15.75" customHeight="1">
      <c r="A30" s="42">
        <v>18.0</v>
      </c>
      <c r="B30" s="42" t="s">
        <v>309</v>
      </c>
      <c r="C30" s="35">
        <v>46042.0</v>
      </c>
      <c r="D30" s="35">
        <v>46045.0</v>
      </c>
      <c r="E30" s="37"/>
      <c r="F30" s="37" t="s">
        <v>113</v>
      </c>
      <c r="G30" s="37" t="s">
        <v>310</v>
      </c>
      <c r="H30" s="134" t="s">
        <v>311</v>
      </c>
      <c r="I30" s="37" t="s">
        <v>312</v>
      </c>
      <c r="J30" s="37" t="s">
        <v>313</v>
      </c>
      <c r="K30" s="42" t="s">
        <v>270</v>
      </c>
      <c r="L30" s="37" t="s">
        <v>314</v>
      </c>
      <c r="M30" s="48">
        <v>1.0</v>
      </c>
      <c r="N30" s="43"/>
      <c r="O30" s="43">
        <v>9000000.0</v>
      </c>
      <c r="P30" s="43"/>
      <c r="Q30" s="43"/>
      <c r="R30" s="59"/>
      <c r="S30" s="47"/>
      <c r="T30" s="60"/>
      <c r="U30" s="162">
        <v>324000.0</v>
      </c>
      <c r="V30" s="162">
        <v>162000.0</v>
      </c>
      <c r="W30" s="47"/>
      <c r="X30" s="47"/>
      <c r="Y30" s="47">
        <v>432000.0</v>
      </c>
      <c r="Z30" s="47"/>
      <c r="AA30" s="47"/>
      <c r="AB30" s="47"/>
      <c r="AC30" s="47"/>
      <c r="AD30" s="47">
        <f>SUM(O30,U30:V30,Y30)</f>
        <v>9918000</v>
      </c>
      <c r="AE30" s="52"/>
      <c r="AF30" s="56"/>
      <c r="AG30" s="56"/>
      <c r="AH30" s="56"/>
    </row>
    <row r="31" ht="15.75" customHeight="1">
      <c r="A31" s="42">
        <v>19.0</v>
      </c>
      <c r="B31" s="42" t="s">
        <v>315</v>
      </c>
      <c r="C31" s="35">
        <v>46044.0</v>
      </c>
      <c r="D31" s="35">
        <v>46046.0</v>
      </c>
      <c r="E31" s="37"/>
      <c r="F31" s="37" t="s">
        <v>316</v>
      </c>
      <c r="G31" s="37" t="s">
        <v>315</v>
      </c>
      <c r="H31" s="134" t="s">
        <v>317</v>
      </c>
      <c r="I31" s="37"/>
      <c r="J31" s="37" t="s">
        <v>318</v>
      </c>
      <c r="K31" s="42" t="s">
        <v>203</v>
      </c>
      <c r="L31" s="37" t="s">
        <v>319</v>
      </c>
      <c r="M31" s="48">
        <v>1.0</v>
      </c>
      <c r="N31" s="43"/>
      <c r="O31" s="43">
        <v>3900000.0</v>
      </c>
      <c r="P31" s="43"/>
      <c r="Q31" s="43"/>
      <c r="R31" s="59"/>
      <c r="S31" s="47"/>
      <c r="T31" s="60"/>
      <c r="U31" s="162"/>
      <c r="V31" s="162"/>
      <c r="W31" s="47"/>
      <c r="X31" s="47"/>
      <c r="Y31" s="47"/>
      <c r="Z31" s="47"/>
      <c r="AA31" s="47"/>
      <c r="AB31" s="47"/>
      <c r="AC31" s="47"/>
      <c r="AD31" s="47">
        <v>3900000.0</v>
      </c>
      <c r="AE31" s="52"/>
      <c r="AF31" s="56"/>
      <c r="AG31" s="56"/>
      <c r="AH31" s="56"/>
    </row>
    <row r="32" ht="15.75" customHeight="1">
      <c r="A32" s="42">
        <v>20.0</v>
      </c>
      <c r="B32" s="42" t="s">
        <v>185</v>
      </c>
      <c r="C32" s="35">
        <v>46044.0</v>
      </c>
      <c r="D32" s="35">
        <v>46045.0</v>
      </c>
      <c r="E32" s="37"/>
      <c r="F32" s="37" t="s">
        <v>176</v>
      </c>
      <c r="G32" s="37" t="s">
        <v>213</v>
      </c>
      <c r="H32" s="142" t="s">
        <v>320</v>
      </c>
      <c r="I32" s="37"/>
      <c r="J32" s="37"/>
      <c r="K32" s="42"/>
      <c r="L32" s="37" t="s">
        <v>291</v>
      </c>
      <c r="M32" s="48">
        <v>1.0</v>
      </c>
      <c r="N32" s="43"/>
      <c r="O32" s="43">
        <v>2315000.0</v>
      </c>
      <c r="P32" s="43"/>
      <c r="Q32" s="43"/>
      <c r="R32" s="59"/>
      <c r="S32" s="47"/>
      <c r="T32" s="60"/>
      <c r="U32" s="47"/>
      <c r="V32" s="47"/>
      <c r="W32" s="47"/>
      <c r="X32" s="47"/>
      <c r="Y32" s="47"/>
      <c r="Z32" s="47"/>
      <c r="AA32" s="47"/>
      <c r="AB32" s="47"/>
      <c r="AC32" s="47"/>
      <c r="AD32" s="43">
        <f>O32</f>
        <v>2315000</v>
      </c>
      <c r="AE32" s="52"/>
      <c r="AF32" s="56"/>
      <c r="AG32" s="56"/>
      <c r="AH32" s="56"/>
    </row>
    <row r="33" ht="15.75" customHeight="1">
      <c r="A33" s="42">
        <v>21.0</v>
      </c>
      <c r="B33" s="42" t="s">
        <v>185</v>
      </c>
      <c r="C33" s="35">
        <v>46044.0</v>
      </c>
      <c r="D33" s="35">
        <v>46045.0</v>
      </c>
      <c r="E33" s="37"/>
      <c r="F33" s="37" t="s">
        <v>176</v>
      </c>
      <c r="G33" s="37" t="s">
        <v>213</v>
      </c>
      <c r="H33" s="142" t="s">
        <v>320</v>
      </c>
      <c r="I33" s="37"/>
      <c r="J33" s="37"/>
      <c r="K33" s="42"/>
      <c r="L33" s="37" t="s">
        <v>189</v>
      </c>
      <c r="M33" s="48">
        <v>1.0</v>
      </c>
      <c r="N33" s="43"/>
      <c r="O33" s="43">
        <v>4630000.0</v>
      </c>
      <c r="P33" s="43"/>
      <c r="Q33" s="43"/>
      <c r="R33" s="59"/>
      <c r="S33" s="47"/>
      <c r="T33" s="60"/>
      <c r="U33" s="47"/>
      <c r="V33" s="47"/>
      <c r="W33" s="47"/>
      <c r="X33" s="47"/>
      <c r="Y33" s="47"/>
      <c r="Z33" s="47"/>
      <c r="AA33" s="47"/>
      <c r="AB33" s="47"/>
      <c r="AC33" s="47"/>
      <c r="AD33" s="43">
        <v>4630000.0</v>
      </c>
      <c r="AE33" s="52"/>
      <c r="AF33" s="56"/>
      <c r="AG33" s="56"/>
      <c r="AH33" s="56"/>
    </row>
    <row r="34" ht="15.75" customHeight="1">
      <c r="A34" s="129">
        <v>22.0</v>
      </c>
      <c r="B34" s="42" t="s">
        <v>185</v>
      </c>
      <c r="C34" s="35">
        <v>46044.0</v>
      </c>
      <c r="D34" s="35">
        <v>46045.0</v>
      </c>
      <c r="E34" s="37"/>
      <c r="F34" s="37" t="s">
        <v>113</v>
      </c>
      <c r="G34" s="37" t="s">
        <v>213</v>
      </c>
      <c r="H34" s="142" t="s">
        <v>320</v>
      </c>
      <c r="I34" s="37" t="s">
        <v>321</v>
      </c>
      <c r="J34" s="37" t="s">
        <v>322</v>
      </c>
      <c r="K34" s="42" t="s">
        <v>270</v>
      </c>
      <c r="L34" s="37" t="s">
        <v>323</v>
      </c>
      <c r="M34" s="48">
        <v>1.0</v>
      </c>
      <c r="N34" s="43"/>
      <c r="O34" s="43">
        <v>6000000.0</v>
      </c>
      <c r="P34" s="43"/>
      <c r="Q34" s="43"/>
      <c r="R34" s="59"/>
      <c r="S34" s="47"/>
      <c r="T34" s="60"/>
      <c r="U34" s="165">
        <v>500000.0</v>
      </c>
      <c r="V34" s="165">
        <v>230000.0</v>
      </c>
      <c r="W34" s="47"/>
      <c r="X34" s="47"/>
      <c r="Y34" s="165">
        <v>972000.0</v>
      </c>
      <c r="Z34" s="47"/>
      <c r="AA34" s="47"/>
      <c r="AB34" s="47"/>
      <c r="AC34" s="47"/>
      <c r="AD34" s="43">
        <f>SUM(O34,U34:V34,Y34)</f>
        <v>7702000</v>
      </c>
      <c r="AE34" s="52"/>
      <c r="AF34" s="56"/>
      <c r="AG34" s="56"/>
      <c r="AH34" s="56"/>
    </row>
    <row r="35" ht="15.75" customHeight="1">
      <c r="A35" s="42">
        <v>23.0</v>
      </c>
      <c r="B35" s="42" t="s">
        <v>185</v>
      </c>
      <c r="C35" s="35">
        <v>46046.0</v>
      </c>
      <c r="D35" s="35">
        <v>46046.0</v>
      </c>
      <c r="E35" s="37"/>
      <c r="F35" s="37" t="s">
        <v>176</v>
      </c>
      <c r="G35" s="37" t="s">
        <v>186</v>
      </c>
      <c r="H35" s="195" t="s">
        <v>324</v>
      </c>
      <c r="I35" s="37"/>
      <c r="J35" s="196"/>
      <c r="K35" s="197"/>
      <c r="L35" s="37" t="s">
        <v>291</v>
      </c>
      <c r="M35" s="48">
        <v>1.0</v>
      </c>
      <c r="N35" s="43"/>
      <c r="O35" s="43">
        <v>2315000.0</v>
      </c>
      <c r="P35" s="43"/>
      <c r="Q35" s="43"/>
      <c r="R35" s="59"/>
      <c r="S35" s="47"/>
      <c r="T35" s="60"/>
      <c r="U35" s="47"/>
      <c r="V35" s="47"/>
      <c r="W35" s="47"/>
      <c r="X35" s="47"/>
      <c r="Y35" s="47"/>
      <c r="Z35" s="47"/>
      <c r="AA35" s="47"/>
      <c r="AB35" s="47"/>
      <c r="AC35" s="47"/>
      <c r="AD35" s="43">
        <f>O35</f>
        <v>2315000</v>
      </c>
      <c r="AE35" s="52"/>
      <c r="AF35" s="56"/>
      <c r="AG35" s="56"/>
      <c r="AH35" s="56"/>
    </row>
    <row r="36" ht="15.75" customHeight="1">
      <c r="A36" s="129">
        <v>24.0</v>
      </c>
      <c r="B36" s="42" t="s">
        <v>185</v>
      </c>
      <c r="C36" s="35">
        <v>46046.0</v>
      </c>
      <c r="D36" s="35">
        <v>46046.0</v>
      </c>
      <c r="E36" s="37"/>
      <c r="F36" s="37" t="s">
        <v>176</v>
      </c>
      <c r="G36" s="37" t="s">
        <v>186</v>
      </c>
      <c r="H36" s="195" t="s">
        <v>324</v>
      </c>
      <c r="I36" s="37"/>
      <c r="J36" s="37"/>
      <c r="K36" s="42"/>
      <c r="L36" s="37" t="s">
        <v>189</v>
      </c>
      <c r="M36" s="48">
        <v>1.0</v>
      </c>
      <c r="N36" s="43"/>
      <c r="O36" s="43">
        <v>4630000.0</v>
      </c>
      <c r="P36" s="43"/>
      <c r="Q36" s="43"/>
      <c r="R36" s="59"/>
      <c r="S36" s="47"/>
      <c r="T36" s="60"/>
      <c r="U36" s="47"/>
      <c r="V36" s="47"/>
      <c r="W36" s="47"/>
      <c r="X36" s="47"/>
      <c r="Y36" s="47"/>
      <c r="Z36" s="47"/>
      <c r="AA36" s="47"/>
      <c r="AB36" s="47"/>
      <c r="AC36" s="47"/>
      <c r="AD36" s="43">
        <v>4630000.0</v>
      </c>
      <c r="AE36" s="52"/>
      <c r="AF36" s="56"/>
      <c r="AG36" s="56"/>
      <c r="AH36" s="56"/>
    </row>
    <row r="37" ht="15.75" customHeight="1">
      <c r="A37" s="42">
        <v>25.0</v>
      </c>
      <c r="B37" s="42" t="s">
        <v>185</v>
      </c>
      <c r="C37" s="35">
        <v>46046.0</v>
      </c>
      <c r="D37" s="35">
        <v>46048.0</v>
      </c>
      <c r="E37" s="128"/>
      <c r="F37" s="37" t="s">
        <v>245</v>
      </c>
      <c r="G37" s="37" t="s">
        <v>186</v>
      </c>
      <c r="H37" s="195" t="s">
        <v>324</v>
      </c>
      <c r="I37" s="128" t="s">
        <v>325</v>
      </c>
      <c r="J37" s="128" t="s">
        <v>326</v>
      </c>
      <c r="K37" s="126" t="s">
        <v>188</v>
      </c>
      <c r="L37" s="37" t="s">
        <v>300</v>
      </c>
      <c r="M37" s="48">
        <v>1.0</v>
      </c>
      <c r="N37" s="43"/>
      <c r="O37" s="43">
        <v>4.0E7</v>
      </c>
      <c r="P37" s="43"/>
      <c r="Q37" s="43"/>
      <c r="R37" s="59"/>
      <c r="S37" s="47"/>
      <c r="T37" s="63">
        <v>3000000.0</v>
      </c>
      <c r="U37" s="47">
        <v>800000.0</v>
      </c>
      <c r="V37" s="47">
        <v>600000.0</v>
      </c>
      <c r="W37" s="47">
        <v>500000.0</v>
      </c>
      <c r="X37" s="194">
        <v>1000000.0</v>
      </c>
      <c r="Y37" s="47">
        <v>7776000.0</v>
      </c>
      <c r="Z37" s="47"/>
      <c r="AA37" s="47"/>
      <c r="AB37" s="47"/>
      <c r="AC37" s="47"/>
      <c r="AD37" s="43">
        <f>SUM(O37,T37:Y37)</f>
        <v>53676000</v>
      </c>
      <c r="AE37" s="52"/>
      <c r="AF37" s="56"/>
      <c r="AG37" s="56"/>
      <c r="AH37" s="56"/>
    </row>
    <row r="38" ht="15.75" customHeight="1">
      <c r="A38" s="129">
        <v>26.0</v>
      </c>
      <c r="B38" s="42" t="s">
        <v>185</v>
      </c>
      <c r="C38" s="35">
        <v>46046.0</v>
      </c>
      <c r="D38" s="35">
        <v>46046.0</v>
      </c>
      <c r="E38" s="198"/>
      <c r="F38" s="37" t="s">
        <v>176</v>
      </c>
      <c r="G38" s="37" t="s">
        <v>186</v>
      </c>
      <c r="H38" s="199" t="s">
        <v>327</v>
      </c>
      <c r="I38" s="198"/>
      <c r="J38" s="198"/>
      <c r="K38" s="198"/>
      <c r="L38" s="37" t="s">
        <v>291</v>
      </c>
      <c r="M38" s="48">
        <v>1.0</v>
      </c>
      <c r="N38" s="200"/>
      <c r="O38" s="43">
        <v>2315000.0</v>
      </c>
      <c r="P38" s="43"/>
      <c r="Q38" s="43"/>
      <c r="R38" s="59"/>
      <c r="S38" s="47"/>
      <c r="T38" s="60"/>
      <c r="U38" s="47"/>
      <c r="V38" s="47"/>
      <c r="W38" s="47"/>
      <c r="X38" s="47"/>
      <c r="Y38" s="47"/>
      <c r="Z38" s="47"/>
      <c r="AA38" s="47"/>
      <c r="AB38" s="47"/>
      <c r="AC38" s="47"/>
      <c r="AD38" s="43">
        <f>O38</f>
        <v>2315000</v>
      </c>
      <c r="AE38" s="52"/>
      <c r="AF38" s="56"/>
      <c r="AG38" s="56"/>
      <c r="AH38" s="56"/>
    </row>
    <row r="39" ht="15.75" customHeight="1">
      <c r="A39" s="177">
        <v>27.0</v>
      </c>
      <c r="B39" s="42" t="s">
        <v>185</v>
      </c>
      <c r="C39" s="35">
        <v>46046.0</v>
      </c>
      <c r="D39" s="35">
        <v>46046.0</v>
      </c>
      <c r="E39" s="198"/>
      <c r="F39" s="37" t="s">
        <v>176</v>
      </c>
      <c r="G39" s="37" t="s">
        <v>186</v>
      </c>
      <c r="H39" s="199" t="s">
        <v>327</v>
      </c>
      <c r="I39" s="198"/>
      <c r="J39" s="198"/>
      <c r="K39" s="198"/>
      <c r="L39" s="37" t="s">
        <v>189</v>
      </c>
      <c r="M39" s="48">
        <v>1.0</v>
      </c>
      <c r="N39" s="200"/>
      <c r="O39" s="43">
        <v>4630000.0</v>
      </c>
      <c r="P39" s="43"/>
      <c r="Q39" s="43"/>
      <c r="R39" s="59"/>
      <c r="S39" s="47"/>
      <c r="T39" s="60"/>
      <c r="U39" s="47"/>
      <c r="V39" s="47"/>
      <c r="W39" s="47"/>
      <c r="X39" s="47"/>
      <c r="Y39" s="47"/>
      <c r="Z39" s="47"/>
      <c r="AA39" s="47"/>
      <c r="AB39" s="47"/>
      <c r="AC39" s="47"/>
      <c r="AD39" s="43">
        <v>4630000.0</v>
      </c>
      <c r="AE39" s="52"/>
      <c r="AF39" s="56"/>
      <c r="AG39" s="56"/>
      <c r="AH39" s="56"/>
    </row>
    <row r="40" ht="18.0" customHeight="1">
      <c r="A40" s="129">
        <v>28.0</v>
      </c>
      <c r="B40" s="177" t="s">
        <v>185</v>
      </c>
      <c r="C40" s="201">
        <v>46046.0</v>
      </c>
      <c r="D40" s="35">
        <v>46048.0</v>
      </c>
      <c r="E40" s="133"/>
      <c r="F40" s="123" t="s">
        <v>245</v>
      </c>
      <c r="G40" s="123" t="s">
        <v>186</v>
      </c>
      <c r="H40" s="199" t="s">
        <v>327</v>
      </c>
      <c r="I40" s="133" t="s">
        <v>328</v>
      </c>
      <c r="J40" s="133" t="s">
        <v>329</v>
      </c>
      <c r="K40" s="133" t="s">
        <v>188</v>
      </c>
      <c r="L40" s="37" t="s">
        <v>300</v>
      </c>
      <c r="M40" s="202">
        <v>1.0</v>
      </c>
      <c r="N40" s="203"/>
      <c r="O40" s="43">
        <v>4.0E7</v>
      </c>
      <c r="P40" s="204"/>
      <c r="Q40" s="204"/>
      <c r="R40" s="177"/>
      <c r="S40" s="136"/>
      <c r="T40" s="63">
        <v>3000000.0</v>
      </c>
      <c r="U40" s="47">
        <v>800000.0</v>
      </c>
      <c r="V40" s="47">
        <v>600000.0</v>
      </c>
      <c r="W40" s="47">
        <v>500000.0</v>
      </c>
      <c r="X40" s="194">
        <v>1000000.0</v>
      </c>
      <c r="Y40" s="47">
        <v>7776000.0</v>
      </c>
      <c r="Z40" s="136"/>
      <c r="AA40" s="136"/>
      <c r="AB40" s="136"/>
      <c r="AC40" s="136"/>
      <c r="AD40" s="43">
        <f>SUM(O40,T40:Y40)</f>
        <v>53676000</v>
      </c>
      <c r="AE40" s="205"/>
      <c r="AF40" s="129"/>
      <c r="AG40" s="129"/>
      <c r="AH40" s="129"/>
    </row>
    <row r="41" ht="13.5" customHeight="1">
      <c r="A41" s="42">
        <v>29.0</v>
      </c>
      <c r="B41" s="177" t="s">
        <v>185</v>
      </c>
      <c r="C41" s="201">
        <v>46047.0</v>
      </c>
      <c r="D41" s="201">
        <v>46047.0</v>
      </c>
      <c r="E41" s="198"/>
      <c r="F41" s="37" t="s">
        <v>176</v>
      </c>
      <c r="G41" s="123" t="s">
        <v>186</v>
      </c>
      <c r="H41" s="199" t="s">
        <v>330</v>
      </c>
      <c r="I41" s="198"/>
      <c r="J41" s="198"/>
      <c r="K41" s="198"/>
      <c r="L41" s="37" t="s">
        <v>291</v>
      </c>
      <c r="M41" s="202">
        <v>1.0</v>
      </c>
      <c r="N41" s="206"/>
      <c r="O41" s="43">
        <v>2315000.0</v>
      </c>
      <c r="P41" s="197"/>
      <c r="Q41" s="43"/>
      <c r="R41" s="59"/>
      <c r="S41" s="47"/>
      <c r="T41" s="60"/>
      <c r="U41" s="47"/>
      <c r="V41" s="47"/>
      <c r="W41" s="47"/>
      <c r="X41" s="47"/>
      <c r="Y41" s="47"/>
      <c r="Z41" s="47"/>
      <c r="AA41" s="47"/>
      <c r="AB41" s="47"/>
      <c r="AC41" s="47"/>
      <c r="AD41" s="43">
        <f>O41</f>
        <v>2315000</v>
      </c>
      <c r="AE41" s="52"/>
      <c r="AF41" s="56"/>
      <c r="AG41" s="56"/>
      <c r="AH41" s="56"/>
    </row>
    <row r="42" ht="17.25" customHeight="1">
      <c r="A42" s="129">
        <v>30.0</v>
      </c>
      <c r="B42" s="177" t="s">
        <v>185</v>
      </c>
      <c r="C42" s="201">
        <v>46047.0</v>
      </c>
      <c r="D42" s="201">
        <v>46047.0</v>
      </c>
      <c r="E42" s="37"/>
      <c r="F42" s="37" t="s">
        <v>176</v>
      </c>
      <c r="G42" s="123" t="s">
        <v>186</v>
      </c>
      <c r="H42" s="199" t="s">
        <v>330</v>
      </c>
      <c r="I42" s="41"/>
      <c r="J42" s="41"/>
      <c r="K42" s="42"/>
      <c r="L42" s="37" t="s">
        <v>189</v>
      </c>
      <c r="M42" s="202">
        <v>1.0</v>
      </c>
      <c r="N42" s="200"/>
      <c r="O42" s="43">
        <v>4630000.0</v>
      </c>
      <c r="P42" s="43"/>
      <c r="Q42" s="43"/>
      <c r="R42" s="59"/>
      <c r="S42" s="47"/>
      <c r="T42" s="60"/>
      <c r="U42" s="47"/>
      <c r="V42" s="47"/>
      <c r="W42" s="47"/>
      <c r="X42" s="47"/>
      <c r="Y42" s="47"/>
      <c r="Z42" s="47"/>
      <c r="AA42" s="47"/>
      <c r="AB42" s="47"/>
      <c r="AC42" s="47"/>
      <c r="AD42" s="43">
        <v>4630000.0</v>
      </c>
      <c r="AE42" s="52"/>
      <c r="AF42" s="56"/>
      <c r="AG42" s="56"/>
      <c r="AH42" s="56"/>
    </row>
    <row r="43" ht="13.5" customHeight="1">
      <c r="A43" s="42">
        <v>31.0</v>
      </c>
      <c r="B43" s="177" t="s">
        <v>185</v>
      </c>
      <c r="C43" s="201">
        <v>46047.0</v>
      </c>
      <c r="D43" s="35">
        <v>46049.0</v>
      </c>
      <c r="E43" s="37"/>
      <c r="F43" s="133" t="s">
        <v>276</v>
      </c>
      <c r="G43" s="123" t="s">
        <v>186</v>
      </c>
      <c r="H43" s="199" t="s">
        <v>330</v>
      </c>
      <c r="I43" s="37" t="s">
        <v>331</v>
      </c>
      <c r="J43" s="37" t="s">
        <v>332</v>
      </c>
      <c r="K43" s="133" t="s">
        <v>188</v>
      </c>
      <c r="L43" s="37" t="s">
        <v>300</v>
      </c>
      <c r="M43" s="202">
        <v>1.0</v>
      </c>
      <c r="N43" s="207"/>
      <c r="O43" s="43">
        <v>4.0E7</v>
      </c>
      <c r="P43" s="75"/>
      <c r="Q43" s="75"/>
      <c r="R43" s="59"/>
      <c r="S43" s="47"/>
      <c r="T43" s="63">
        <v>3000000.0</v>
      </c>
      <c r="U43" s="47">
        <v>800000.0</v>
      </c>
      <c r="V43" s="47">
        <v>600000.0</v>
      </c>
      <c r="W43" s="47">
        <v>500000.0</v>
      </c>
      <c r="X43" s="194">
        <v>1000000.0</v>
      </c>
      <c r="Y43" s="208">
        <v>7344000.0</v>
      </c>
      <c r="Z43" s="47"/>
      <c r="AA43" s="47"/>
      <c r="AB43" s="47"/>
      <c r="AC43" s="47"/>
      <c r="AD43" s="47">
        <f>SUM(O43,T43:Y43)</f>
        <v>53244000</v>
      </c>
      <c r="AE43" s="52"/>
      <c r="AF43" s="56"/>
      <c r="AG43" s="56"/>
      <c r="AH43" s="56"/>
    </row>
    <row r="44" ht="15.0" customHeight="1">
      <c r="A44" s="129">
        <v>32.0</v>
      </c>
      <c r="B44" s="177" t="s">
        <v>185</v>
      </c>
      <c r="C44" s="201">
        <v>46047.0</v>
      </c>
      <c r="D44" s="201">
        <v>46047.0</v>
      </c>
      <c r="E44" s="37"/>
      <c r="F44" s="37" t="s">
        <v>176</v>
      </c>
      <c r="G44" s="123" t="s">
        <v>186</v>
      </c>
      <c r="H44" s="209" t="s">
        <v>333</v>
      </c>
      <c r="I44" s="37"/>
      <c r="J44" s="37"/>
      <c r="K44" s="196"/>
      <c r="L44" s="37" t="s">
        <v>291</v>
      </c>
      <c r="M44" s="202">
        <v>1.0</v>
      </c>
      <c r="N44" s="206"/>
      <c r="O44" s="43">
        <v>2315000.0</v>
      </c>
      <c r="P44" s="197"/>
      <c r="Q44" s="197"/>
      <c r="R44" s="59"/>
      <c r="S44" s="47"/>
      <c r="T44" s="60"/>
      <c r="U44" s="47"/>
      <c r="V44" s="47"/>
      <c r="W44" s="47"/>
      <c r="X44" s="47"/>
      <c r="Y44" s="47"/>
      <c r="Z44" s="47"/>
      <c r="AA44" s="47"/>
      <c r="AB44" s="47"/>
      <c r="AC44" s="47"/>
      <c r="AD44" s="43">
        <f>O44</f>
        <v>2315000</v>
      </c>
      <c r="AE44" s="52"/>
      <c r="AF44" s="56"/>
      <c r="AG44" s="56"/>
      <c r="AH44" s="56"/>
    </row>
    <row r="45" ht="14.25" customHeight="1">
      <c r="A45" s="42">
        <v>33.0</v>
      </c>
      <c r="B45" s="177" t="s">
        <v>185</v>
      </c>
      <c r="C45" s="201">
        <v>46047.0</v>
      </c>
      <c r="D45" s="201">
        <v>46047.0</v>
      </c>
      <c r="E45" s="37"/>
      <c r="F45" s="37" t="s">
        <v>176</v>
      </c>
      <c r="G45" s="123" t="s">
        <v>186</v>
      </c>
      <c r="H45" s="209" t="s">
        <v>333</v>
      </c>
      <c r="I45" s="37"/>
      <c r="J45" s="37"/>
      <c r="K45" s="42"/>
      <c r="L45" s="37" t="s">
        <v>189</v>
      </c>
      <c r="M45" s="202">
        <v>1.0</v>
      </c>
      <c r="N45" s="200"/>
      <c r="O45" s="43">
        <v>4630000.0</v>
      </c>
      <c r="P45" s="43"/>
      <c r="Q45" s="43"/>
      <c r="R45" s="59"/>
      <c r="S45" s="47"/>
      <c r="T45" s="60"/>
      <c r="U45" s="47"/>
      <c r="V45" s="47"/>
      <c r="W45" s="47"/>
      <c r="X45" s="47"/>
      <c r="Y45" s="47"/>
      <c r="Z45" s="47"/>
      <c r="AA45" s="47"/>
      <c r="AB45" s="47"/>
      <c r="AC45" s="47"/>
      <c r="AD45" s="43">
        <v>4630000.0</v>
      </c>
      <c r="AE45" s="52"/>
      <c r="AF45" s="56"/>
      <c r="AG45" s="56"/>
      <c r="AH45" s="56"/>
    </row>
    <row r="46" ht="13.5" customHeight="1">
      <c r="A46" s="54">
        <v>34.0</v>
      </c>
      <c r="B46" s="177" t="s">
        <v>185</v>
      </c>
      <c r="C46" s="201">
        <v>46047.0</v>
      </c>
      <c r="D46" s="201">
        <v>46049.0</v>
      </c>
      <c r="E46" s="210"/>
      <c r="F46" s="65" t="s">
        <v>276</v>
      </c>
      <c r="G46" s="123" t="s">
        <v>186</v>
      </c>
      <c r="H46" s="209" t="s">
        <v>333</v>
      </c>
      <c r="I46" s="209" t="s">
        <v>277</v>
      </c>
      <c r="J46" s="209" t="s">
        <v>200</v>
      </c>
      <c r="K46" s="133" t="s">
        <v>188</v>
      </c>
      <c r="L46" s="37" t="s">
        <v>300</v>
      </c>
      <c r="M46" s="202">
        <v>1.0</v>
      </c>
      <c r="N46" s="211"/>
      <c r="O46" s="43">
        <v>4.0E7</v>
      </c>
      <c r="P46" s="162"/>
      <c r="Q46" s="162"/>
      <c r="R46" s="42">
        <v>1.0</v>
      </c>
      <c r="S46" s="47">
        <v>3000000.0</v>
      </c>
      <c r="T46" s="63">
        <v>3000000.0</v>
      </c>
      <c r="U46" s="47">
        <v>800000.0</v>
      </c>
      <c r="V46" s="47">
        <v>600000.0</v>
      </c>
      <c r="W46" s="47">
        <v>500000.0</v>
      </c>
      <c r="X46" s="194">
        <v>1000000.0</v>
      </c>
      <c r="Y46" s="208">
        <v>7344000.0</v>
      </c>
      <c r="Z46" s="63"/>
      <c r="AA46" s="63"/>
      <c r="AB46" s="63"/>
      <c r="AC46" s="63"/>
      <c r="AD46" s="63">
        <f>SUM(O46,S46:Y46)</f>
        <v>56244000</v>
      </c>
      <c r="AE46" s="52"/>
      <c r="AF46" s="54"/>
      <c r="AG46" s="54"/>
      <c r="AH46" s="54"/>
    </row>
    <row r="47" ht="14.25" customHeight="1">
      <c r="A47" s="79" t="s">
        <v>73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1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212">
        <f>SUM(AD13:AD46)</f>
        <v>540877273</v>
      </c>
      <c r="AE47" s="78"/>
    </row>
    <row r="48" ht="17.25" customHeight="1">
      <c r="A48" s="79" t="s">
        <v>76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1"/>
      <c r="M48" s="83"/>
      <c r="N48" s="83"/>
      <c r="O48" s="83"/>
      <c r="P48" s="83"/>
      <c r="Q48" s="83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212">
        <f>SUM(AD13:AD46)</f>
        <v>540877273</v>
      </c>
      <c r="AE48" s="87"/>
    </row>
    <row r="49" ht="17.25" customHeight="1">
      <c r="A49" s="79" t="s">
        <v>86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1"/>
      <c r="M49" s="83"/>
      <c r="N49" s="83"/>
      <c r="O49" s="83"/>
      <c r="P49" s="83"/>
      <c r="Q49" s="83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91">
        <f>AD48*8%</f>
        <v>43270181.84</v>
      </c>
      <c r="AE49" s="87"/>
    </row>
    <row r="50" ht="17.25" customHeight="1">
      <c r="A50" s="79" t="s">
        <v>88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1"/>
      <c r="M50" s="83"/>
      <c r="N50" s="83"/>
      <c r="O50" s="83"/>
      <c r="P50" s="83"/>
      <c r="Q50" s="83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91">
        <f>AD48+AD49</f>
        <v>584147454.8</v>
      </c>
      <c r="AE50" s="87"/>
    </row>
    <row r="51" ht="14.25" customHeight="1">
      <c r="A51" s="93" t="s">
        <v>89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5"/>
    </row>
    <row r="52" ht="37.5" customHeight="1">
      <c r="A52" s="96"/>
      <c r="B52" s="97"/>
      <c r="C52" s="97"/>
      <c r="D52" s="97"/>
      <c r="E52" s="97"/>
      <c r="F52" s="97"/>
      <c r="G52" s="97"/>
      <c r="H52" s="97"/>
      <c r="I52" s="98"/>
      <c r="J52" s="108"/>
      <c r="K52" s="99"/>
      <c r="L52" s="99"/>
      <c r="M52" s="100"/>
      <c r="N52" s="100"/>
      <c r="O52" s="100"/>
      <c r="P52" s="193"/>
      <c r="Q52" s="193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2"/>
      <c r="AE52" s="98"/>
    </row>
    <row r="53" ht="19.5" customHeight="1">
      <c r="A53" s="103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</row>
    <row r="54" ht="14.25" customHeight="1">
      <c r="A54" s="104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6"/>
    </row>
    <row r="55" ht="14.25" customHeight="1">
      <c r="F55" s="119"/>
      <c r="G55" s="119"/>
      <c r="H55" s="120"/>
      <c r="I55" s="119"/>
      <c r="J55" s="119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4"/>
    </row>
    <row r="56" ht="14.25" customHeight="1">
      <c r="F56" s="119"/>
      <c r="G56" s="119"/>
      <c r="H56" s="120"/>
      <c r="I56" s="119"/>
      <c r="J56" s="119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4"/>
    </row>
    <row r="57" ht="14.25" customHeight="1">
      <c r="F57" s="119"/>
      <c r="G57" s="119"/>
      <c r="H57" s="120"/>
      <c r="I57" s="119"/>
      <c r="J57" s="119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4"/>
    </row>
    <row r="58" ht="14.25" customHeight="1">
      <c r="F58" s="119"/>
      <c r="G58" s="119"/>
      <c r="H58" s="120"/>
      <c r="I58" s="119"/>
      <c r="J58" s="119"/>
      <c r="M58" s="2"/>
      <c r="N58" s="2"/>
      <c r="O58" s="2"/>
      <c r="P58" s="2"/>
      <c r="Q58" s="2"/>
      <c r="R58" s="3"/>
      <c r="S58" s="3"/>
      <c r="T58" s="3"/>
      <c r="U58" s="3"/>
      <c r="V58" s="3"/>
      <c r="W58" s="3">
        <v>5.76695455E8</v>
      </c>
      <c r="X58" s="3"/>
      <c r="Y58" s="3"/>
      <c r="Z58" s="3"/>
      <c r="AA58" s="3"/>
      <c r="AB58" s="3"/>
      <c r="AC58" s="3"/>
      <c r="AD58" s="3"/>
      <c r="AE58" s="4"/>
    </row>
    <row r="59" ht="14.25" customHeight="1">
      <c r="F59" s="119"/>
      <c r="G59" s="119"/>
      <c r="H59" s="120"/>
      <c r="I59" s="119"/>
      <c r="J59" s="119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4"/>
    </row>
    <row r="60" ht="14.25" customHeight="1">
      <c r="F60" s="119"/>
      <c r="G60" s="119"/>
      <c r="H60" s="120"/>
      <c r="I60" s="119"/>
      <c r="J60" s="119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4"/>
    </row>
    <row r="61" ht="14.25" customHeight="1">
      <c r="F61" s="119"/>
      <c r="G61" s="119"/>
      <c r="H61" s="120"/>
      <c r="I61" s="119"/>
      <c r="J61" s="119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</row>
    <row r="62" ht="14.25" customHeight="1">
      <c r="F62" s="119"/>
      <c r="G62" s="119"/>
      <c r="H62" s="120"/>
      <c r="I62" s="119"/>
      <c r="J62" s="119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4"/>
    </row>
    <row r="63" ht="14.25" customHeight="1">
      <c r="F63" s="119"/>
      <c r="G63" s="119"/>
      <c r="H63" s="120"/>
      <c r="I63" s="119"/>
      <c r="J63" s="119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4"/>
    </row>
    <row r="64" ht="14.25" customHeight="1">
      <c r="F64" s="119"/>
      <c r="G64" s="119"/>
      <c r="H64" s="120"/>
      <c r="I64" s="119"/>
      <c r="J64" s="119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4"/>
    </row>
    <row r="65" ht="14.25" customHeight="1">
      <c r="F65" s="119"/>
      <c r="G65" s="119"/>
      <c r="H65" s="120"/>
      <c r="I65" s="119"/>
      <c r="J65" s="119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4"/>
    </row>
    <row r="66" ht="14.25" customHeight="1">
      <c r="F66" s="119"/>
      <c r="G66" s="119"/>
      <c r="H66" s="120"/>
      <c r="I66" s="119"/>
      <c r="J66" s="119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</row>
    <row r="67" ht="14.25" customHeight="1">
      <c r="F67" s="119"/>
      <c r="G67" s="119"/>
      <c r="H67" s="120"/>
      <c r="I67" s="119"/>
      <c r="J67" s="119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4"/>
    </row>
    <row r="68" ht="14.25" customHeight="1">
      <c r="F68" s="119"/>
      <c r="G68" s="119"/>
      <c r="H68" s="120"/>
      <c r="I68" s="119"/>
      <c r="J68" s="119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4"/>
    </row>
    <row r="69" ht="14.25" customHeight="1">
      <c r="F69" s="119"/>
      <c r="G69" s="119"/>
      <c r="H69" s="120"/>
      <c r="I69" s="119"/>
      <c r="J69" s="119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</row>
    <row r="70" ht="14.25" customHeight="1">
      <c r="F70" s="119"/>
      <c r="G70" s="119"/>
      <c r="H70" s="120"/>
      <c r="I70" s="119"/>
      <c r="J70" s="119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4"/>
    </row>
    <row r="71" ht="14.25" customHeight="1">
      <c r="F71" s="119"/>
      <c r="G71" s="119"/>
      <c r="H71" s="120"/>
      <c r="I71" s="119"/>
      <c r="J71" s="119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4"/>
    </row>
    <row r="72" ht="14.25" customHeight="1">
      <c r="F72" s="119"/>
      <c r="G72" s="119"/>
      <c r="H72" s="120"/>
      <c r="I72" s="119"/>
      <c r="J72" s="119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4"/>
    </row>
    <row r="73" ht="14.25" customHeight="1">
      <c r="F73" s="119"/>
      <c r="G73" s="119"/>
      <c r="H73" s="120"/>
      <c r="I73" s="119"/>
      <c r="J73" s="119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4"/>
    </row>
    <row r="74" ht="14.25" customHeight="1">
      <c r="F74" s="119"/>
      <c r="G74" s="119"/>
      <c r="H74" s="120"/>
      <c r="I74" s="119"/>
      <c r="J74" s="119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4"/>
    </row>
    <row r="75" ht="14.25" customHeight="1">
      <c r="F75" s="119"/>
      <c r="G75" s="119"/>
      <c r="H75" s="120"/>
      <c r="I75" s="119"/>
      <c r="J75" s="119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4"/>
    </row>
    <row r="76" ht="14.25" customHeight="1">
      <c r="F76" s="119"/>
      <c r="G76" s="119"/>
      <c r="H76" s="120"/>
      <c r="I76" s="119"/>
      <c r="J76" s="119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4"/>
    </row>
    <row r="77" ht="14.25" customHeight="1">
      <c r="F77" s="119"/>
      <c r="G77" s="119"/>
      <c r="H77" s="120"/>
      <c r="I77" s="119"/>
      <c r="J77" s="119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</row>
    <row r="78" ht="14.25" customHeight="1">
      <c r="F78" s="119"/>
      <c r="G78" s="119"/>
      <c r="H78" s="120"/>
      <c r="I78" s="119"/>
      <c r="J78" s="119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4"/>
    </row>
    <row r="79" ht="14.25" customHeight="1">
      <c r="F79" s="119"/>
      <c r="G79" s="119"/>
      <c r="H79" s="120"/>
      <c r="I79" s="119"/>
      <c r="J79" s="119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4"/>
    </row>
    <row r="80" ht="14.25" customHeight="1">
      <c r="F80" s="119"/>
      <c r="G80" s="119"/>
      <c r="H80" s="120"/>
      <c r="I80" s="119"/>
      <c r="J80" s="119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4"/>
    </row>
    <row r="81" ht="14.25" customHeight="1">
      <c r="F81" s="119"/>
      <c r="G81" s="119"/>
      <c r="H81" s="120"/>
      <c r="I81" s="119"/>
      <c r="J81" s="119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4"/>
    </row>
    <row r="82" ht="14.25" customHeight="1">
      <c r="F82" s="119"/>
      <c r="G82" s="119"/>
      <c r="H82" s="120"/>
      <c r="I82" s="119"/>
      <c r="J82" s="119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4"/>
    </row>
    <row r="83" ht="14.25" customHeight="1">
      <c r="F83" s="119"/>
      <c r="G83" s="119"/>
      <c r="H83" s="120"/>
      <c r="I83" s="119"/>
      <c r="J83" s="119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4"/>
    </row>
    <row r="84" ht="14.25" customHeight="1">
      <c r="F84" s="119"/>
      <c r="G84" s="119"/>
      <c r="H84" s="120"/>
      <c r="I84" s="119"/>
      <c r="J84" s="119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4"/>
    </row>
    <row r="85" ht="14.25" customHeight="1">
      <c r="F85" s="119"/>
      <c r="G85" s="119"/>
      <c r="H85" s="120"/>
      <c r="I85" s="119"/>
      <c r="J85" s="119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4"/>
    </row>
    <row r="86" ht="14.25" customHeight="1">
      <c r="F86" s="119"/>
      <c r="G86" s="119"/>
      <c r="H86" s="120"/>
      <c r="I86" s="119"/>
      <c r="J86" s="119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4"/>
    </row>
    <row r="87" ht="14.25" customHeight="1">
      <c r="F87" s="119"/>
      <c r="G87" s="119"/>
      <c r="H87" s="120"/>
      <c r="I87" s="119"/>
      <c r="J87" s="119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"/>
    </row>
    <row r="88" ht="14.25" customHeight="1">
      <c r="F88" s="119"/>
      <c r="G88" s="119"/>
      <c r="H88" s="120"/>
      <c r="I88" s="119"/>
      <c r="J88" s="119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4"/>
    </row>
    <row r="89" ht="14.25" customHeight="1">
      <c r="F89" s="119"/>
      <c r="G89" s="119"/>
      <c r="H89" s="120"/>
      <c r="I89" s="119"/>
      <c r="J89" s="119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4"/>
    </row>
    <row r="90" ht="14.25" customHeight="1">
      <c r="F90" s="119"/>
      <c r="G90" s="119"/>
      <c r="H90" s="120"/>
      <c r="I90" s="119"/>
      <c r="J90" s="119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4"/>
    </row>
    <row r="91" ht="14.25" customHeight="1">
      <c r="F91" s="119"/>
      <c r="G91" s="119"/>
      <c r="H91" s="120"/>
      <c r="I91" s="119"/>
      <c r="J91" s="119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4"/>
    </row>
    <row r="92" ht="14.25" customHeight="1">
      <c r="F92" s="119"/>
      <c r="G92" s="119"/>
      <c r="H92" s="120"/>
      <c r="I92" s="119"/>
      <c r="J92" s="119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4"/>
    </row>
    <row r="93" ht="14.25" customHeight="1">
      <c r="F93" s="119"/>
      <c r="G93" s="119"/>
      <c r="H93" s="120"/>
      <c r="I93" s="119"/>
      <c r="J93" s="119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4"/>
    </row>
    <row r="94" ht="14.25" customHeight="1">
      <c r="F94" s="119"/>
      <c r="G94" s="119"/>
      <c r="H94" s="120"/>
      <c r="I94" s="119"/>
      <c r="J94" s="119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4"/>
    </row>
    <row r="95" ht="14.25" customHeight="1">
      <c r="F95" s="119"/>
      <c r="G95" s="119"/>
      <c r="H95" s="120"/>
      <c r="I95" s="119"/>
      <c r="J95" s="119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4"/>
    </row>
    <row r="96" ht="14.25" customHeight="1">
      <c r="F96" s="119"/>
      <c r="G96" s="119"/>
      <c r="H96" s="120"/>
      <c r="I96" s="119"/>
      <c r="J96" s="119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4"/>
    </row>
    <row r="97" ht="14.25" customHeight="1">
      <c r="F97" s="119"/>
      <c r="G97" s="119"/>
      <c r="H97" s="120"/>
      <c r="I97" s="119"/>
      <c r="J97" s="119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4"/>
    </row>
    <row r="98" ht="14.25" customHeight="1">
      <c r="F98" s="119"/>
      <c r="G98" s="119"/>
      <c r="H98" s="120"/>
      <c r="I98" s="119"/>
      <c r="J98" s="119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4"/>
    </row>
    <row r="99" ht="14.25" customHeight="1">
      <c r="F99" s="119"/>
      <c r="G99" s="119"/>
      <c r="H99" s="120"/>
      <c r="I99" s="119"/>
      <c r="J99" s="119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4"/>
    </row>
    <row r="100" ht="14.25" customHeight="1">
      <c r="F100" s="119"/>
      <c r="G100" s="119"/>
      <c r="H100" s="120"/>
      <c r="I100" s="119"/>
      <c r="J100" s="119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4"/>
    </row>
    <row r="101" ht="14.25" customHeight="1">
      <c r="F101" s="119"/>
      <c r="G101" s="119"/>
      <c r="H101" s="120"/>
      <c r="I101" s="119"/>
      <c r="J101" s="119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4"/>
    </row>
    <row r="102" ht="14.25" customHeight="1">
      <c r="F102" s="119"/>
      <c r="G102" s="119"/>
      <c r="H102" s="120"/>
      <c r="I102" s="119"/>
      <c r="J102" s="119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4"/>
    </row>
    <row r="103" ht="14.25" customHeight="1">
      <c r="F103" s="119"/>
      <c r="G103" s="119"/>
      <c r="H103" s="120"/>
      <c r="I103" s="119"/>
      <c r="J103" s="119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4"/>
    </row>
    <row r="104" ht="14.25" customHeight="1">
      <c r="F104" s="119"/>
      <c r="G104" s="119"/>
      <c r="H104" s="120"/>
      <c r="I104" s="119"/>
      <c r="J104" s="119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4"/>
    </row>
    <row r="105" ht="14.25" customHeight="1">
      <c r="F105" s="119"/>
      <c r="G105" s="119"/>
      <c r="H105" s="120"/>
      <c r="I105" s="119"/>
      <c r="J105" s="119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4"/>
    </row>
    <row r="106" ht="14.25" customHeight="1">
      <c r="F106" s="119"/>
      <c r="G106" s="119"/>
      <c r="H106" s="120"/>
      <c r="I106" s="119"/>
      <c r="J106" s="119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4"/>
    </row>
    <row r="107" ht="14.25" customHeight="1">
      <c r="F107" s="119"/>
      <c r="G107" s="119"/>
      <c r="H107" s="120"/>
      <c r="I107" s="119"/>
      <c r="J107" s="119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4"/>
    </row>
    <row r="108" ht="14.25" customHeight="1">
      <c r="F108" s="119"/>
      <c r="G108" s="119"/>
      <c r="H108" s="120"/>
      <c r="I108" s="119"/>
      <c r="J108" s="119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4"/>
    </row>
    <row r="109" ht="14.25" customHeight="1">
      <c r="F109" s="119"/>
      <c r="G109" s="119"/>
      <c r="H109" s="120"/>
      <c r="I109" s="119"/>
      <c r="J109" s="119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4"/>
    </row>
    <row r="110" ht="14.25" customHeight="1">
      <c r="F110" s="119"/>
      <c r="G110" s="119"/>
      <c r="H110" s="120"/>
      <c r="I110" s="119"/>
      <c r="J110" s="119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4"/>
    </row>
    <row r="111" ht="14.25" customHeight="1">
      <c r="F111" s="119"/>
      <c r="G111" s="119"/>
      <c r="H111" s="120"/>
      <c r="I111" s="119"/>
      <c r="J111" s="119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4"/>
    </row>
    <row r="112" ht="14.25" customHeight="1">
      <c r="F112" s="119"/>
      <c r="G112" s="119"/>
      <c r="H112" s="120"/>
      <c r="I112" s="119"/>
      <c r="J112" s="119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4"/>
    </row>
    <row r="113" ht="14.25" customHeight="1">
      <c r="F113" s="119"/>
      <c r="G113" s="119"/>
      <c r="H113" s="120"/>
      <c r="I113" s="119"/>
      <c r="J113" s="119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4"/>
    </row>
    <row r="114" ht="14.25" customHeight="1">
      <c r="F114" s="119"/>
      <c r="G114" s="119"/>
      <c r="H114" s="120"/>
      <c r="I114" s="119"/>
      <c r="J114" s="119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4"/>
    </row>
    <row r="115" ht="14.25" customHeight="1">
      <c r="F115" s="119"/>
      <c r="G115" s="119"/>
      <c r="H115" s="120"/>
      <c r="I115" s="119"/>
      <c r="J115" s="119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4"/>
    </row>
    <row r="116" ht="14.25" customHeight="1">
      <c r="F116" s="119"/>
      <c r="G116" s="119"/>
      <c r="H116" s="120"/>
      <c r="I116" s="119"/>
      <c r="J116" s="119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4"/>
    </row>
    <row r="117" ht="14.25" customHeight="1">
      <c r="F117" s="119"/>
      <c r="G117" s="119"/>
      <c r="H117" s="120"/>
      <c r="I117" s="119"/>
      <c r="J117" s="119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4"/>
    </row>
    <row r="118" ht="14.25" customHeight="1">
      <c r="F118" s="119"/>
      <c r="G118" s="119"/>
      <c r="H118" s="120"/>
      <c r="I118" s="119"/>
      <c r="J118" s="119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/>
    </row>
    <row r="119" ht="14.25" customHeight="1">
      <c r="F119" s="119"/>
      <c r="G119" s="119"/>
      <c r="H119" s="120"/>
      <c r="I119" s="119"/>
      <c r="J119" s="119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4"/>
    </row>
    <row r="120" ht="14.25" customHeight="1">
      <c r="F120" s="119"/>
      <c r="G120" s="119"/>
      <c r="H120" s="120"/>
      <c r="I120" s="119"/>
      <c r="J120" s="119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4"/>
    </row>
    <row r="121" ht="14.25" customHeight="1">
      <c r="F121" s="119"/>
      <c r="G121" s="119"/>
      <c r="H121" s="120"/>
      <c r="I121" s="119"/>
      <c r="J121" s="119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4"/>
    </row>
    <row r="122" ht="14.25" customHeight="1">
      <c r="F122" s="119"/>
      <c r="G122" s="119"/>
      <c r="H122" s="120"/>
      <c r="I122" s="119"/>
      <c r="J122" s="119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4"/>
    </row>
    <row r="123" ht="14.25" customHeight="1">
      <c r="F123" s="119"/>
      <c r="G123" s="119"/>
      <c r="H123" s="120"/>
      <c r="I123" s="119"/>
      <c r="J123" s="119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4"/>
    </row>
    <row r="124" ht="14.25" customHeight="1">
      <c r="F124" s="119"/>
      <c r="G124" s="119"/>
      <c r="H124" s="120"/>
      <c r="I124" s="119"/>
      <c r="J124" s="119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4"/>
    </row>
    <row r="125" ht="14.25" customHeight="1">
      <c r="F125" s="119"/>
      <c r="G125" s="119"/>
      <c r="H125" s="120"/>
      <c r="I125" s="119"/>
      <c r="J125" s="119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4"/>
    </row>
    <row r="126" ht="14.25" customHeight="1">
      <c r="F126" s="119"/>
      <c r="G126" s="119"/>
      <c r="H126" s="120"/>
      <c r="I126" s="119"/>
      <c r="J126" s="119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4"/>
    </row>
    <row r="127" ht="14.25" customHeight="1">
      <c r="F127" s="119"/>
      <c r="G127" s="119"/>
      <c r="H127" s="120"/>
      <c r="I127" s="119"/>
      <c r="J127" s="119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4"/>
    </row>
    <row r="128" ht="14.25" customHeight="1">
      <c r="F128" s="119"/>
      <c r="G128" s="119"/>
      <c r="H128" s="120"/>
      <c r="I128" s="119"/>
      <c r="J128" s="119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4"/>
    </row>
    <row r="129" ht="14.25" customHeight="1">
      <c r="F129" s="119"/>
      <c r="G129" s="119"/>
      <c r="H129" s="120"/>
      <c r="I129" s="119"/>
      <c r="J129" s="119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4"/>
    </row>
    <row r="130" ht="14.25" customHeight="1">
      <c r="F130" s="119"/>
      <c r="G130" s="119"/>
      <c r="H130" s="120"/>
      <c r="I130" s="119"/>
      <c r="J130" s="119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4"/>
    </row>
    <row r="131" ht="14.25" customHeight="1">
      <c r="F131" s="119"/>
      <c r="G131" s="119"/>
      <c r="H131" s="120"/>
      <c r="I131" s="119"/>
      <c r="J131" s="119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4"/>
    </row>
    <row r="132" ht="14.25" customHeight="1">
      <c r="F132" s="119"/>
      <c r="G132" s="119"/>
      <c r="H132" s="120"/>
      <c r="I132" s="119"/>
      <c r="J132" s="119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4"/>
    </row>
    <row r="133" ht="14.25" customHeight="1">
      <c r="F133" s="119"/>
      <c r="G133" s="119"/>
      <c r="H133" s="120"/>
      <c r="I133" s="119"/>
      <c r="J133" s="119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4"/>
    </row>
    <row r="134" ht="14.25" customHeight="1">
      <c r="F134" s="119"/>
      <c r="G134" s="119"/>
      <c r="H134" s="120"/>
      <c r="I134" s="119"/>
      <c r="J134" s="119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4"/>
    </row>
    <row r="135" ht="14.25" customHeight="1">
      <c r="F135" s="119"/>
      <c r="G135" s="119"/>
      <c r="H135" s="120"/>
      <c r="I135" s="119"/>
      <c r="J135" s="119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4"/>
    </row>
    <row r="136" ht="14.25" customHeight="1">
      <c r="F136" s="119"/>
      <c r="G136" s="119"/>
      <c r="H136" s="120"/>
      <c r="I136" s="119"/>
      <c r="J136" s="119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4"/>
    </row>
    <row r="137" ht="14.25" customHeight="1">
      <c r="F137" s="119"/>
      <c r="G137" s="119"/>
      <c r="H137" s="120"/>
      <c r="I137" s="119"/>
      <c r="J137" s="119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4"/>
    </row>
    <row r="138" ht="14.25" customHeight="1">
      <c r="F138" s="119"/>
      <c r="G138" s="119"/>
      <c r="H138" s="120"/>
      <c r="I138" s="119"/>
      <c r="J138" s="119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4"/>
    </row>
    <row r="139" ht="14.25" customHeight="1">
      <c r="F139" s="119"/>
      <c r="G139" s="119"/>
      <c r="H139" s="120"/>
      <c r="I139" s="119"/>
      <c r="J139" s="119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4"/>
    </row>
    <row r="140" ht="14.25" customHeight="1">
      <c r="F140" s="119"/>
      <c r="G140" s="119"/>
      <c r="H140" s="120"/>
      <c r="I140" s="119"/>
      <c r="J140" s="119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4"/>
    </row>
    <row r="141" ht="14.25" customHeight="1">
      <c r="F141" s="119"/>
      <c r="G141" s="119"/>
      <c r="H141" s="120"/>
      <c r="I141" s="119"/>
      <c r="J141" s="119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4"/>
    </row>
    <row r="142" ht="14.25" customHeight="1">
      <c r="F142" s="119"/>
      <c r="G142" s="119"/>
      <c r="H142" s="120"/>
      <c r="I142" s="119"/>
      <c r="J142" s="119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4"/>
    </row>
    <row r="143" ht="14.25" customHeight="1">
      <c r="F143" s="119"/>
      <c r="G143" s="119"/>
      <c r="H143" s="120"/>
      <c r="I143" s="119"/>
      <c r="J143" s="119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4"/>
    </row>
    <row r="144" ht="14.25" customHeight="1">
      <c r="F144" s="119"/>
      <c r="G144" s="119"/>
      <c r="H144" s="120"/>
      <c r="I144" s="119"/>
      <c r="J144" s="119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4"/>
    </row>
    <row r="145" ht="14.25" customHeight="1">
      <c r="F145" s="119"/>
      <c r="G145" s="119"/>
      <c r="H145" s="120"/>
      <c r="I145" s="119"/>
      <c r="J145" s="119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4"/>
    </row>
    <row r="146" ht="14.25" customHeight="1">
      <c r="F146" s="119"/>
      <c r="G146" s="119"/>
      <c r="H146" s="120"/>
      <c r="I146" s="119"/>
      <c r="J146" s="119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4"/>
    </row>
    <row r="147" ht="14.25" customHeight="1">
      <c r="F147" s="119"/>
      <c r="G147" s="119"/>
      <c r="H147" s="120"/>
      <c r="I147" s="119"/>
      <c r="J147" s="119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4"/>
    </row>
    <row r="148" ht="14.25" customHeight="1">
      <c r="F148" s="119"/>
      <c r="G148" s="119"/>
      <c r="H148" s="120"/>
      <c r="I148" s="119"/>
      <c r="J148" s="119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4"/>
    </row>
    <row r="149" ht="14.25" customHeight="1">
      <c r="F149" s="119"/>
      <c r="G149" s="119"/>
      <c r="H149" s="120"/>
      <c r="I149" s="119"/>
      <c r="J149" s="119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4"/>
    </row>
    <row r="150" ht="14.25" customHeight="1">
      <c r="F150" s="119"/>
      <c r="G150" s="119"/>
      <c r="H150" s="120"/>
      <c r="I150" s="119"/>
      <c r="J150" s="119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4"/>
    </row>
    <row r="151" ht="14.25" customHeight="1">
      <c r="F151" s="119"/>
      <c r="G151" s="119"/>
      <c r="H151" s="120"/>
      <c r="I151" s="119"/>
      <c r="J151" s="119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4"/>
    </row>
    <row r="152" ht="14.25" customHeight="1">
      <c r="F152" s="119"/>
      <c r="G152" s="119"/>
      <c r="H152" s="120"/>
      <c r="I152" s="119"/>
      <c r="J152" s="119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4"/>
    </row>
    <row r="153" ht="14.25" customHeight="1">
      <c r="F153" s="119"/>
      <c r="G153" s="119"/>
      <c r="H153" s="120"/>
      <c r="I153" s="119"/>
      <c r="J153" s="119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4"/>
    </row>
    <row r="154" ht="14.25" customHeight="1">
      <c r="F154" s="119"/>
      <c r="G154" s="119"/>
      <c r="H154" s="120"/>
      <c r="I154" s="119"/>
      <c r="J154" s="119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4"/>
    </row>
    <row r="155" ht="14.25" customHeight="1">
      <c r="F155" s="119"/>
      <c r="G155" s="119"/>
      <c r="H155" s="120"/>
      <c r="I155" s="119"/>
      <c r="J155" s="119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4"/>
    </row>
    <row r="156" ht="14.25" customHeight="1">
      <c r="F156" s="119"/>
      <c r="G156" s="119"/>
      <c r="H156" s="120"/>
      <c r="I156" s="119"/>
      <c r="J156" s="119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4"/>
    </row>
    <row r="157" ht="14.25" customHeight="1">
      <c r="F157" s="119"/>
      <c r="G157" s="119"/>
      <c r="H157" s="120"/>
      <c r="I157" s="119"/>
      <c r="J157" s="119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4"/>
    </row>
    <row r="158" ht="14.25" customHeight="1">
      <c r="F158" s="119"/>
      <c r="G158" s="119"/>
      <c r="H158" s="120"/>
      <c r="I158" s="119"/>
      <c r="J158" s="119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4"/>
    </row>
    <row r="159" ht="14.25" customHeight="1">
      <c r="F159" s="119"/>
      <c r="G159" s="119"/>
      <c r="H159" s="120"/>
      <c r="I159" s="119"/>
      <c r="J159" s="119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4"/>
    </row>
    <row r="160" ht="14.25" customHeight="1">
      <c r="F160" s="119"/>
      <c r="G160" s="119"/>
      <c r="H160" s="120"/>
      <c r="I160" s="119"/>
      <c r="J160" s="119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4"/>
    </row>
    <row r="161" ht="14.25" customHeight="1">
      <c r="F161" s="119"/>
      <c r="G161" s="119"/>
      <c r="H161" s="120"/>
      <c r="I161" s="119"/>
      <c r="J161" s="119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4"/>
    </row>
    <row r="162" ht="14.25" customHeight="1">
      <c r="F162" s="119"/>
      <c r="G162" s="119"/>
      <c r="H162" s="120"/>
      <c r="I162" s="119"/>
      <c r="J162" s="119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4"/>
    </row>
    <row r="163" ht="14.25" customHeight="1">
      <c r="F163" s="119"/>
      <c r="G163" s="119"/>
      <c r="H163" s="120"/>
      <c r="I163" s="119"/>
      <c r="J163" s="119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4"/>
    </row>
    <row r="164" ht="14.25" customHeight="1">
      <c r="F164" s="119"/>
      <c r="G164" s="119"/>
      <c r="H164" s="120"/>
      <c r="I164" s="119"/>
      <c r="J164" s="119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4"/>
    </row>
    <row r="165" ht="14.25" customHeight="1">
      <c r="F165" s="119"/>
      <c r="G165" s="119"/>
      <c r="H165" s="120"/>
      <c r="I165" s="119"/>
      <c r="J165" s="119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4"/>
    </row>
    <row r="166" ht="14.25" customHeight="1">
      <c r="F166" s="119"/>
      <c r="G166" s="119"/>
      <c r="H166" s="120"/>
      <c r="I166" s="119"/>
      <c r="J166" s="119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4"/>
    </row>
    <row r="167" ht="14.25" customHeight="1">
      <c r="F167" s="119"/>
      <c r="G167" s="119"/>
      <c r="H167" s="120"/>
      <c r="I167" s="119"/>
      <c r="J167" s="119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4"/>
    </row>
    <row r="168" ht="14.25" customHeight="1">
      <c r="F168" s="119"/>
      <c r="G168" s="119"/>
      <c r="H168" s="120"/>
      <c r="I168" s="119"/>
      <c r="J168" s="119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4"/>
    </row>
    <row r="169" ht="14.25" customHeight="1">
      <c r="F169" s="119"/>
      <c r="G169" s="119"/>
      <c r="H169" s="120"/>
      <c r="I169" s="119"/>
      <c r="J169" s="119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4"/>
    </row>
    <row r="170" ht="14.25" customHeight="1">
      <c r="F170" s="119"/>
      <c r="G170" s="119"/>
      <c r="H170" s="120"/>
      <c r="I170" s="119"/>
      <c r="J170" s="119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4"/>
    </row>
    <row r="171" ht="14.25" customHeight="1">
      <c r="F171" s="119"/>
      <c r="G171" s="119"/>
      <c r="H171" s="120"/>
      <c r="I171" s="119"/>
      <c r="J171" s="119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4"/>
    </row>
    <row r="172" ht="14.25" customHeight="1">
      <c r="F172" s="119"/>
      <c r="G172" s="119"/>
      <c r="H172" s="120"/>
      <c r="I172" s="119"/>
      <c r="J172" s="119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4"/>
    </row>
    <row r="173" ht="14.25" customHeight="1">
      <c r="F173" s="119"/>
      <c r="G173" s="119"/>
      <c r="H173" s="120"/>
      <c r="I173" s="119"/>
      <c r="J173" s="119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4"/>
    </row>
    <row r="174" ht="14.25" customHeight="1">
      <c r="F174" s="119"/>
      <c r="G174" s="119"/>
      <c r="H174" s="120"/>
      <c r="I174" s="119"/>
      <c r="J174" s="119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4"/>
    </row>
    <row r="175" ht="14.25" customHeight="1">
      <c r="F175" s="119"/>
      <c r="G175" s="119"/>
      <c r="H175" s="120"/>
      <c r="I175" s="119"/>
      <c r="J175" s="119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4"/>
    </row>
    <row r="176" ht="14.25" customHeight="1">
      <c r="F176" s="119"/>
      <c r="G176" s="119"/>
      <c r="H176" s="120"/>
      <c r="I176" s="119"/>
      <c r="J176" s="119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4"/>
    </row>
    <row r="177" ht="14.25" customHeight="1">
      <c r="F177" s="119"/>
      <c r="G177" s="119"/>
      <c r="H177" s="120"/>
      <c r="I177" s="119"/>
      <c r="J177" s="119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4"/>
    </row>
    <row r="178" ht="14.25" customHeight="1">
      <c r="F178" s="119"/>
      <c r="G178" s="119"/>
      <c r="H178" s="120"/>
      <c r="I178" s="119"/>
      <c r="J178" s="119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4"/>
    </row>
    <row r="179" ht="14.25" customHeight="1">
      <c r="F179" s="119"/>
      <c r="G179" s="119"/>
      <c r="H179" s="120"/>
      <c r="I179" s="119"/>
      <c r="J179" s="119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4"/>
    </row>
    <row r="180" ht="14.25" customHeight="1">
      <c r="F180" s="119"/>
      <c r="G180" s="119"/>
      <c r="H180" s="120"/>
      <c r="I180" s="119"/>
      <c r="J180" s="119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4"/>
    </row>
    <row r="181" ht="14.25" customHeight="1">
      <c r="F181" s="119"/>
      <c r="G181" s="119"/>
      <c r="H181" s="120"/>
      <c r="I181" s="119"/>
      <c r="J181" s="119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4"/>
    </row>
    <row r="182" ht="14.25" customHeight="1">
      <c r="F182" s="119"/>
      <c r="G182" s="119"/>
      <c r="H182" s="120"/>
      <c r="I182" s="119"/>
      <c r="J182" s="119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4"/>
    </row>
    <row r="183" ht="14.25" customHeight="1">
      <c r="F183" s="119"/>
      <c r="G183" s="119"/>
      <c r="H183" s="120"/>
      <c r="I183" s="119"/>
      <c r="J183" s="119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4"/>
    </row>
    <row r="184" ht="14.25" customHeight="1">
      <c r="F184" s="119"/>
      <c r="G184" s="119"/>
      <c r="H184" s="120"/>
      <c r="I184" s="119"/>
      <c r="J184" s="119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4"/>
    </row>
    <row r="185" ht="14.25" customHeight="1">
      <c r="F185" s="119"/>
      <c r="G185" s="119"/>
      <c r="H185" s="120"/>
      <c r="I185" s="119"/>
      <c r="J185" s="119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4"/>
    </row>
    <row r="186" ht="14.25" customHeight="1">
      <c r="F186" s="119"/>
      <c r="G186" s="119"/>
      <c r="H186" s="120"/>
      <c r="I186" s="119"/>
      <c r="J186" s="119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4"/>
    </row>
    <row r="187" ht="14.25" customHeight="1">
      <c r="F187" s="119"/>
      <c r="G187" s="119"/>
      <c r="H187" s="120"/>
      <c r="I187" s="119"/>
      <c r="J187" s="119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4"/>
    </row>
    <row r="188" ht="14.25" customHeight="1">
      <c r="F188" s="119"/>
      <c r="G188" s="119"/>
      <c r="H188" s="120"/>
      <c r="I188" s="119"/>
      <c r="J188" s="119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4"/>
    </row>
    <row r="189" ht="14.25" customHeight="1">
      <c r="F189" s="119"/>
      <c r="G189" s="119"/>
      <c r="H189" s="120"/>
      <c r="I189" s="119"/>
      <c r="J189" s="119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4"/>
    </row>
    <row r="190" ht="14.25" customHeight="1">
      <c r="F190" s="119"/>
      <c r="G190" s="119"/>
      <c r="H190" s="120"/>
      <c r="I190" s="119"/>
      <c r="J190" s="119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4"/>
    </row>
    <row r="191" ht="14.25" customHeight="1">
      <c r="F191" s="119"/>
      <c r="G191" s="119"/>
      <c r="H191" s="120"/>
      <c r="I191" s="119"/>
      <c r="J191" s="119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4"/>
    </row>
    <row r="192" ht="14.25" customHeight="1">
      <c r="F192" s="119"/>
      <c r="G192" s="119"/>
      <c r="H192" s="120"/>
      <c r="I192" s="119"/>
      <c r="J192" s="119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4"/>
    </row>
    <row r="193" ht="14.25" customHeight="1">
      <c r="F193" s="119"/>
      <c r="G193" s="119"/>
      <c r="H193" s="120"/>
      <c r="I193" s="119"/>
      <c r="J193" s="119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4"/>
    </row>
    <row r="194" ht="14.25" customHeight="1">
      <c r="F194" s="119"/>
      <c r="G194" s="119"/>
      <c r="H194" s="120"/>
      <c r="I194" s="119"/>
      <c r="J194" s="119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4"/>
    </row>
    <row r="195" ht="14.25" customHeight="1">
      <c r="F195" s="119"/>
      <c r="G195" s="119"/>
      <c r="H195" s="120"/>
      <c r="I195" s="119"/>
      <c r="J195" s="119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4"/>
    </row>
    <row r="196" ht="14.25" customHeight="1">
      <c r="F196" s="119"/>
      <c r="G196" s="119"/>
      <c r="H196" s="120"/>
      <c r="I196" s="119"/>
      <c r="J196" s="119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4"/>
    </row>
    <row r="197" ht="14.25" customHeight="1">
      <c r="F197" s="119"/>
      <c r="G197" s="119"/>
      <c r="H197" s="120"/>
      <c r="I197" s="119"/>
      <c r="J197" s="119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4"/>
    </row>
    <row r="198" ht="14.25" customHeight="1">
      <c r="F198" s="119"/>
      <c r="G198" s="119"/>
      <c r="H198" s="120"/>
      <c r="I198" s="119"/>
      <c r="J198" s="119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4"/>
    </row>
    <row r="199" ht="14.25" customHeight="1">
      <c r="F199" s="119"/>
      <c r="G199" s="119"/>
      <c r="H199" s="120"/>
      <c r="I199" s="119"/>
      <c r="J199" s="119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4"/>
    </row>
    <row r="200" ht="14.25" customHeight="1">
      <c r="F200" s="119"/>
      <c r="G200" s="119"/>
      <c r="H200" s="120"/>
      <c r="I200" s="119"/>
      <c r="J200" s="119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4"/>
    </row>
    <row r="201" ht="14.25" customHeight="1">
      <c r="F201" s="119"/>
      <c r="G201" s="119"/>
      <c r="H201" s="120"/>
      <c r="I201" s="119"/>
      <c r="J201" s="119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4"/>
    </row>
    <row r="202" ht="14.25" customHeight="1">
      <c r="F202" s="119"/>
      <c r="G202" s="119"/>
      <c r="H202" s="120"/>
      <c r="I202" s="119"/>
      <c r="J202" s="119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4"/>
    </row>
    <row r="203" ht="14.25" customHeight="1">
      <c r="F203" s="119"/>
      <c r="G203" s="119"/>
      <c r="H203" s="120"/>
      <c r="I203" s="119"/>
      <c r="J203" s="119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4"/>
    </row>
    <row r="204" ht="14.25" customHeight="1">
      <c r="F204" s="119"/>
      <c r="G204" s="119"/>
      <c r="H204" s="120"/>
      <c r="I204" s="119"/>
      <c r="J204" s="119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4"/>
    </row>
    <row r="205" ht="14.25" customHeight="1">
      <c r="F205" s="119"/>
      <c r="G205" s="119"/>
      <c r="H205" s="120"/>
      <c r="I205" s="119"/>
      <c r="J205" s="119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4"/>
    </row>
    <row r="206" ht="14.25" customHeight="1">
      <c r="F206" s="119"/>
      <c r="G206" s="119"/>
      <c r="H206" s="120"/>
      <c r="I206" s="119"/>
      <c r="J206" s="119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4"/>
    </row>
    <row r="207" ht="14.25" customHeight="1">
      <c r="F207" s="119"/>
      <c r="G207" s="119"/>
      <c r="H207" s="120"/>
      <c r="I207" s="119"/>
      <c r="J207" s="119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4"/>
    </row>
    <row r="208" ht="14.25" customHeight="1">
      <c r="F208" s="119"/>
      <c r="G208" s="119"/>
      <c r="H208" s="120"/>
      <c r="I208" s="119"/>
      <c r="J208" s="119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4"/>
    </row>
    <row r="209" ht="14.25" customHeight="1">
      <c r="F209" s="119"/>
      <c r="G209" s="119"/>
      <c r="H209" s="120"/>
      <c r="I209" s="119"/>
      <c r="J209" s="119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4"/>
    </row>
    <row r="210" ht="14.25" customHeight="1">
      <c r="F210" s="119"/>
      <c r="G210" s="119"/>
      <c r="H210" s="120"/>
      <c r="I210" s="119"/>
      <c r="J210" s="119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4"/>
    </row>
    <row r="211" ht="14.25" customHeight="1">
      <c r="F211" s="119"/>
      <c r="G211" s="119"/>
      <c r="H211" s="120"/>
      <c r="I211" s="119"/>
      <c r="J211" s="119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4"/>
    </row>
    <row r="212" ht="14.25" customHeight="1">
      <c r="F212" s="119"/>
      <c r="G212" s="119"/>
      <c r="H212" s="120"/>
      <c r="I212" s="119"/>
      <c r="J212" s="119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4"/>
    </row>
    <row r="213" ht="14.25" customHeight="1">
      <c r="F213" s="119"/>
      <c r="G213" s="119"/>
      <c r="H213" s="120"/>
      <c r="I213" s="119"/>
      <c r="J213" s="119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4"/>
    </row>
    <row r="214" ht="14.25" customHeight="1">
      <c r="F214" s="119"/>
      <c r="G214" s="119"/>
      <c r="H214" s="120"/>
      <c r="I214" s="119"/>
      <c r="J214" s="119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4"/>
    </row>
    <row r="215" ht="14.25" customHeight="1">
      <c r="F215" s="119"/>
      <c r="G215" s="119"/>
      <c r="H215" s="120"/>
      <c r="I215" s="119"/>
      <c r="J215" s="119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4"/>
    </row>
    <row r="216" ht="14.25" customHeight="1">
      <c r="F216" s="119"/>
      <c r="G216" s="119"/>
      <c r="H216" s="120"/>
      <c r="I216" s="119"/>
      <c r="J216" s="119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4"/>
    </row>
    <row r="217" ht="14.25" customHeight="1">
      <c r="F217" s="119"/>
      <c r="G217" s="119"/>
      <c r="H217" s="120"/>
      <c r="I217" s="119"/>
      <c r="J217" s="119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4"/>
    </row>
    <row r="218" ht="14.25" customHeight="1">
      <c r="F218" s="119"/>
      <c r="G218" s="119"/>
      <c r="H218" s="120"/>
      <c r="I218" s="119"/>
      <c r="J218" s="119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4"/>
    </row>
    <row r="219" ht="14.25" customHeight="1">
      <c r="F219" s="119"/>
      <c r="G219" s="119"/>
      <c r="H219" s="120"/>
      <c r="I219" s="119"/>
      <c r="J219" s="119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4"/>
    </row>
    <row r="220" ht="14.25" customHeight="1">
      <c r="F220" s="119"/>
      <c r="G220" s="119"/>
      <c r="H220" s="120"/>
      <c r="I220" s="119"/>
      <c r="J220" s="119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4"/>
    </row>
    <row r="221" ht="14.25" customHeight="1">
      <c r="F221" s="119"/>
      <c r="G221" s="119"/>
      <c r="H221" s="120"/>
      <c r="I221" s="119"/>
      <c r="J221" s="119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4"/>
    </row>
    <row r="222" ht="14.25" customHeight="1">
      <c r="F222" s="119"/>
      <c r="G222" s="119"/>
      <c r="H222" s="120"/>
      <c r="I222" s="119"/>
      <c r="J222" s="119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4"/>
    </row>
    <row r="223" ht="14.25" customHeight="1">
      <c r="F223" s="119"/>
      <c r="G223" s="119"/>
      <c r="H223" s="120"/>
      <c r="I223" s="119"/>
      <c r="J223" s="119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4"/>
    </row>
    <row r="224" ht="14.25" customHeight="1">
      <c r="F224" s="119"/>
      <c r="G224" s="119"/>
      <c r="H224" s="120"/>
      <c r="I224" s="119"/>
      <c r="J224" s="119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4"/>
    </row>
    <row r="225" ht="14.25" customHeight="1">
      <c r="F225" s="119"/>
      <c r="G225" s="119"/>
      <c r="H225" s="120"/>
      <c r="I225" s="119"/>
      <c r="J225" s="119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4"/>
    </row>
    <row r="226" ht="14.25" customHeight="1">
      <c r="F226" s="119"/>
      <c r="G226" s="119"/>
      <c r="H226" s="120"/>
      <c r="I226" s="119"/>
      <c r="J226" s="119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/>
    </row>
    <row r="227" ht="14.25" customHeight="1">
      <c r="F227" s="119"/>
      <c r="G227" s="119"/>
      <c r="H227" s="120"/>
      <c r="I227" s="119"/>
      <c r="J227" s="119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4"/>
    </row>
    <row r="228" ht="14.25" customHeight="1">
      <c r="F228" s="119"/>
      <c r="G228" s="119"/>
      <c r="H228" s="120"/>
      <c r="I228" s="119"/>
      <c r="J228" s="119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4"/>
    </row>
    <row r="229" ht="14.25" customHeight="1">
      <c r="F229" s="119"/>
      <c r="G229" s="119"/>
      <c r="H229" s="120"/>
      <c r="I229" s="119"/>
      <c r="J229" s="119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4"/>
    </row>
    <row r="230" ht="14.25" customHeight="1">
      <c r="F230" s="119"/>
      <c r="G230" s="119"/>
      <c r="H230" s="120"/>
      <c r="I230" s="119"/>
      <c r="J230" s="119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4"/>
    </row>
    <row r="231" ht="14.25" customHeight="1">
      <c r="F231" s="119"/>
      <c r="G231" s="119"/>
      <c r="H231" s="120"/>
      <c r="I231" s="119"/>
      <c r="J231" s="119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4"/>
    </row>
    <row r="232" ht="14.25" customHeight="1">
      <c r="F232" s="119"/>
      <c r="G232" s="119"/>
      <c r="H232" s="120"/>
      <c r="I232" s="119"/>
      <c r="J232" s="119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4"/>
    </row>
    <row r="233" ht="14.25" customHeight="1">
      <c r="F233" s="119"/>
      <c r="G233" s="119"/>
      <c r="H233" s="120"/>
      <c r="I233" s="119"/>
      <c r="J233" s="119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4"/>
    </row>
    <row r="234" ht="14.25" customHeight="1">
      <c r="F234" s="119"/>
      <c r="G234" s="119"/>
      <c r="H234" s="120"/>
      <c r="I234" s="119"/>
      <c r="J234" s="119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4"/>
    </row>
    <row r="235" ht="14.25" customHeight="1">
      <c r="F235" s="119"/>
      <c r="G235" s="119"/>
      <c r="H235" s="120"/>
      <c r="I235" s="119"/>
      <c r="J235" s="119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4"/>
    </row>
    <row r="236" ht="14.25" customHeight="1">
      <c r="F236" s="119"/>
      <c r="G236" s="119"/>
      <c r="H236" s="120"/>
      <c r="I236" s="119"/>
      <c r="J236" s="119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4"/>
    </row>
    <row r="237" ht="14.25" customHeight="1">
      <c r="F237" s="119"/>
      <c r="G237" s="119"/>
      <c r="H237" s="120"/>
      <c r="I237" s="119"/>
      <c r="J237" s="119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4"/>
    </row>
    <row r="238" ht="14.25" customHeight="1">
      <c r="F238" s="119"/>
      <c r="G238" s="119"/>
      <c r="H238" s="120"/>
      <c r="I238" s="119"/>
      <c r="J238" s="119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4"/>
    </row>
    <row r="239" ht="14.25" customHeight="1">
      <c r="F239" s="119"/>
      <c r="G239" s="119"/>
      <c r="H239" s="120"/>
      <c r="I239" s="119"/>
      <c r="J239" s="119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4"/>
    </row>
    <row r="240" ht="14.25" customHeight="1">
      <c r="F240" s="119"/>
      <c r="G240" s="119"/>
      <c r="H240" s="120"/>
      <c r="I240" s="119"/>
      <c r="J240" s="119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4"/>
    </row>
    <row r="241" ht="14.25" customHeight="1">
      <c r="F241" s="119"/>
      <c r="G241" s="119"/>
      <c r="H241" s="120"/>
      <c r="I241" s="119"/>
      <c r="J241" s="119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4"/>
    </row>
    <row r="242" ht="14.25" customHeight="1">
      <c r="F242" s="119"/>
      <c r="G242" s="119"/>
      <c r="H242" s="120"/>
      <c r="I242" s="119"/>
      <c r="J242" s="119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4"/>
    </row>
    <row r="243" ht="14.25" customHeight="1">
      <c r="F243" s="119"/>
      <c r="G243" s="119"/>
      <c r="H243" s="120"/>
      <c r="I243" s="119"/>
      <c r="J243" s="119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4"/>
    </row>
    <row r="244" ht="14.25" customHeight="1">
      <c r="F244" s="119"/>
      <c r="G244" s="119"/>
      <c r="H244" s="120"/>
      <c r="I244" s="119"/>
      <c r="J244" s="119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4"/>
    </row>
    <row r="245" ht="14.25" customHeight="1">
      <c r="F245" s="119"/>
      <c r="G245" s="119"/>
      <c r="H245" s="120"/>
      <c r="I245" s="119"/>
      <c r="J245" s="119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4"/>
    </row>
    <row r="246" ht="14.25" customHeight="1">
      <c r="F246" s="119"/>
      <c r="G246" s="119"/>
      <c r="H246" s="120"/>
      <c r="I246" s="119"/>
      <c r="J246" s="119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4"/>
    </row>
    <row r="247" ht="14.25" customHeight="1">
      <c r="F247" s="119"/>
      <c r="G247" s="119"/>
      <c r="H247" s="120"/>
      <c r="I247" s="119"/>
      <c r="J247" s="119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4"/>
    </row>
    <row r="248" ht="14.25" customHeight="1">
      <c r="F248" s="119"/>
      <c r="G248" s="119"/>
      <c r="H248" s="120"/>
      <c r="I248" s="119"/>
      <c r="J248" s="119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4"/>
    </row>
    <row r="249" ht="14.25" customHeight="1">
      <c r="F249" s="119"/>
      <c r="G249" s="119"/>
      <c r="H249" s="120"/>
      <c r="I249" s="119"/>
      <c r="J249" s="119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4"/>
    </row>
    <row r="250" ht="14.25" customHeight="1">
      <c r="F250" s="119"/>
      <c r="G250" s="119"/>
      <c r="H250" s="120"/>
      <c r="I250" s="119"/>
      <c r="J250" s="119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4"/>
    </row>
    <row r="251" ht="14.25" customHeight="1">
      <c r="F251" s="119"/>
      <c r="G251" s="119"/>
      <c r="H251" s="120"/>
      <c r="I251" s="119"/>
      <c r="J251" s="119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4"/>
    </row>
    <row r="252" ht="14.25" customHeight="1">
      <c r="F252" s="119"/>
      <c r="G252" s="119"/>
      <c r="H252" s="120"/>
      <c r="I252" s="119"/>
      <c r="J252" s="119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4"/>
    </row>
    <row r="253" ht="14.25" customHeight="1">
      <c r="F253" s="119"/>
      <c r="G253" s="119"/>
      <c r="H253" s="120"/>
      <c r="I253" s="119"/>
      <c r="J253" s="119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4"/>
    </row>
    <row r="254" ht="14.25" customHeight="1">
      <c r="F254" s="119"/>
      <c r="G254" s="119"/>
      <c r="H254" s="120"/>
      <c r="I254" s="119"/>
      <c r="J254" s="119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4"/>
    </row>
    <row r="255" ht="14.25" customHeight="1">
      <c r="F255" s="119"/>
      <c r="G255" s="119"/>
      <c r="H255" s="120"/>
      <c r="I255" s="119"/>
      <c r="J255" s="119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4"/>
    </row>
    <row r="256" ht="14.25" customHeight="1">
      <c r="F256" s="119"/>
      <c r="G256" s="119"/>
      <c r="H256" s="120"/>
      <c r="I256" s="119"/>
      <c r="J256" s="119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4"/>
    </row>
    <row r="257" ht="14.25" customHeight="1">
      <c r="F257" s="119"/>
      <c r="G257" s="119"/>
      <c r="H257" s="120"/>
      <c r="I257" s="119"/>
      <c r="J257" s="119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4"/>
    </row>
    <row r="258" ht="14.25" customHeight="1">
      <c r="F258" s="119"/>
      <c r="G258" s="119"/>
      <c r="H258" s="120"/>
      <c r="I258" s="119"/>
      <c r="J258" s="119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4"/>
    </row>
    <row r="259" ht="14.25" customHeight="1">
      <c r="F259" s="119"/>
      <c r="G259" s="119"/>
      <c r="H259" s="120"/>
      <c r="I259" s="119"/>
      <c r="J259" s="119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4"/>
    </row>
    <row r="260" ht="14.25" customHeight="1">
      <c r="F260" s="119"/>
      <c r="G260" s="119"/>
      <c r="H260" s="120"/>
      <c r="I260" s="119"/>
      <c r="J260" s="119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4"/>
    </row>
    <row r="261" ht="14.25" customHeight="1">
      <c r="F261" s="119"/>
      <c r="G261" s="119"/>
      <c r="H261" s="120"/>
      <c r="I261" s="119"/>
      <c r="J261" s="119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4"/>
    </row>
    <row r="262" ht="14.25" customHeight="1">
      <c r="F262" s="119"/>
      <c r="G262" s="119"/>
      <c r="H262" s="120"/>
      <c r="I262" s="119"/>
      <c r="J262" s="119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4"/>
    </row>
    <row r="263" ht="14.25" customHeight="1">
      <c r="F263" s="119"/>
      <c r="G263" s="119"/>
      <c r="H263" s="120"/>
      <c r="I263" s="119"/>
      <c r="J263" s="119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4"/>
    </row>
    <row r="264" ht="14.25" customHeight="1">
      <c r="F264" s="119"/>
      <c r="G264" s="119"/>
      <c r="H264" s="120"/>
      <c r="I264" s="119"/>
      <c r="J264" s="119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4"/>
    </row>
    <row r="265" ht="14.25" customHeight="1">
      <c r="F265" s="119"/>
      <c r="G265" s="119"/>
      <c r="H265" s="120"/>
      <c r="I265" s="119"/>
      <c r="J265" s="119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4"/>
    </row>
    <row r="266" ht="14.25" customHeight="1">
      <c r="F266" s="119"/>
      <c r="G266" s="119"/>
      <c r="H266" s="120"/>
      <c r="I266" s="119"/>
      <c r="J266" s="119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4"/>
    </row>
    <row r="267" ht="14.25" customHeight="1">
      <c r="F267" s="119"/>
      <c r="G267" s="119"/>
      <c r="H267" s="120"/>
      <c r="I267" s="119"/>
      <c r="J267" s="119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4"/>
    </row>
    <row r="268" ht="14.25" customHeight="1">
      <c r="F268" s="119"/>
      <c r="G268" s="119"/>
      <c r="H268" s="120"/>
      <c r="I268" s="119"/>
      <c r="J268" s="119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4"/>
    </row>
    <row r="269" ht="14.25" customHeight="1">
      <c r="F269" s="119"/>
      <c r="G269" s="119"/>
      <c r="H269" s="120"/>
      <c r="I269" s="119"/>
      <c r="J269" s="119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4"/>
    </row>
    <row r="270" ht="14.25" customHeight="1">
      <c r="F270" s="119"/>
      <c r="G270" s="119"/>
      <c r="H270" s="120"/>
      <c r="I270" s="119"/>
      <c r="J270" s="119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4"/>
    </row>
    <row r="271" ht="14.25" customHeight="1">
      <c r="F271" s="119"/>
      <c r="G271" s="119"/>
      <c r="H271" s="120"/>
      <c r="I271" s="119"/>
      <c r="J271" s="119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4"/>
    </row>
    <row r="272" ht="14.25" customHeight="1">
      <c r="F272" s="119"/>
      <c r="G272" s="119"/>
      <c r="H272" s="120"/>
      <c r="I272" s="119"/>
      <c r="J272" s="119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4"/>
    </row>
    <row r="273" ht="14.25" customHeight="1">
      <c r="F273" s="119"/>
      <c r="G273" s="119"/>
      <c r="H273" s="120"/>
      <c r="I273" s="119"/>
      <c r="J273" s="119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4"/>
    </row>
    <row r="274" ht="14.25" customHeight="1">
      <c r="F274" s="119"/>
      <c r="G274" s="119"/>
      <c r="H274" s="120"/>
      <c r="I274" s="119"/>
      <c r="J274" s="119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4"/>
    </row>
    <row r="275" ht="14.25" customHeight="1">
      <c r="F275" s="119"/>
      <c r="G275" s="119"/>
      <c r="H275" s="120"/>
      <c r="I275" s="119"/>
      <c r="J275" s="119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4"/>
    </row>
    <row r="276" ht="14.25" customHeight="1">
      <c r="F276" s="119"/>
      <c r="G276" s="119"/>
      <c r="H276" s="120"/>
      <c r="I276" s="119"/>
      <c r="J276" s="119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4"/>
    </row>
    <row r="277" ht="14.25" customHeight="1">
      <c r="F277" s="119"/>
      <c r="G277" s="119"/>
      <c r="H277" s="120"/>
      <c r="I277" s="119"/>
      <c r="J277" s="119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4"/>
    </row>
    <row r="278" ht="14.25" customHeight="1">
      <c r="F278" s="119"/>
      <c r="G278" s="119"/>
      <c r="H278" s="120"/>
      <c r="I278" s="119"/>
      <c r="J278" s="119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4"/>
    </row>
    <row r="279" ht="14.25" customHeight="1">
      <c r="F279" s="119"/>
      <c r="G279" s="119"/>
      <c r="H279" s="120"/>
      <c r="I279" s="119"/>
      <c r="J279" s="119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4"/>
    </row>
    <row r="280" ht="14.25" customHeight="1">
      <c r="F280" s="119"/>
      <c r="G280" s="119"/>
      <c r="H280" s="120"/>
      <c r="I280" s="119"/>
      <c r="J280" s="119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4"/>
    </row>
    <row r="281" ht="14.25" customHeight="1">
      <c r="F281" s="119"/>
      <c r="G281" s="119"/>
      <c r="H281" s="120"/>
      <c r="I281" s="119"/>
      <c r="J281" s="119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4"/>
    </row>
    <row r="282" ht="14.25" customHeight="1">
      <c r="F282" s="119"/>
      <c r="G282" s="119"/>
      <c r="H282" s="120"/>
      <c r="I282" s="119"/>
      <c r="J282" s="119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4"/>
    </row>
    <row r="283" ht="14.25" customHeight="1">
      <c r="F283" s="119"/>
      <c r="G283" s="119"/>
      <c r="H283" s="120"/>
      <c r="I283" s="119"/>
      <c r="J283" s="119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4"/>
    </row>
    <row r="284" ht="14.25" customHeight="1">
      <c r="F284" s="119"/>
      <c r="G284" s="119"/>
      <c r="H284" s="120"/>
      <c r="I284" s="119"/>
      <c r="J284" s="119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4"/>
    </row>
    <row r="285" ht="14.25" customHeight="1">
      <c r="F285" s="119"/>
      <c r="G285" s="119"/>
      <c r="H285" s="120"/>
      <c r="I285" s="119"/>
      <c r="J285" s="119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4"/>
    </row>
    <row r="286" ht="14.25" customHeight="1">
      <c r="F286" s="119"/>
      <c r="G286" s="119"/>
      <c r="H286" s="120"/>
      <c r="I286" s="119"/>
      <c r="J286" s="119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4"/>
    </row>
    <row r="287" ht="14.25" customHeight="1">
      <c r="F287" s="119"/>
      <c r="G287" s="119"/>
      <c r="H287" s="120"/>
      <c r="I287" s="119"/>
      <c r="J287" s="119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4"/>
    </row>
    <row r="288" ht="14.25" customHeight="1">
      <c r="F288" s="119"/>
      <c r="G288" s="119"/>
      <c r="H288" s="120"/>
      <c r="I288" s="119"/>
      <c r="J288" s="119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4"/>
    </row>
    <row r="289" ht="14.25" customHeight="1">
      <c r="F289" s="119"/>
      <c r="G289" s="119"/>
      <c r="H289" s="120"/>
      <c r="I289" s="119"/>
      <c r="J289" s="119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4"/>
    </row>
    <row r="290" ht="14.25" customHeight="1">
      <c r="F290" s="119"/>
      <c r="G290" s="119"/>
      <c r="H290" s="120"/>
      <c r="I290" s="119"/>
      <c r="J290" s="119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4"/>
    </row>
    <row r="291" ht="14.25" customHeight="1">
      <c r="F291" s="119"/>
      <c r="G291" s="119"/>
      <c r="H291" s="120"/>
      <c r="I291" s="119"/>
      <c r="J291" s="119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4"/>
    </row>
    <row r="292" ht="14.25" customHeight="1">
      <c r="F292" s="119"/>
      <c r="G292" s="119"/>
      <c r="H292" s="120"/>
      <c r="I292" s="119"/>
      <c r="J292" s="119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4"/>
    </row>
    <row r="293" ht="14.25" customHeight="1">
      <c r="F293" s="119"/>
      <c r="G293" s="119"/>
      <c r="H293" s="120"/>
      <c r="I293" s="119"/>
      <c r="J293" s="119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4"/>
    </row>
    <row r="294" ht="14.25" customHeight="1">
      <c r="F294" s="119"/>
      <c r="G294" s="119"/>
      <c r="H294" s="120"/>
      <c r="I294" s="119"/>
      <c r="J294" s="119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4"/>
    </row>
    <row r="295" ht="14.25" customHeight="1">
      <c r="F295" s="119"/>
      <c r="G295" s="119"/>
      <c r="H295" s="120"/>
      <c r="I295" s="119"/>
      <c r="J295" s="119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4"/>
    </row>
    <row r="296" ht="14.25" customHeight="1">
      <c r="F296" s="119"/>
      <c r="G296" s="119"/>
      <c r="H296" s="120"/>
      <c r="I296" s="119"/>
      <c r="J296" s="119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4"/>
    </row>
    <row r="297" ht="14.25" customHeight="1">
      <c r="F297" s="119"/>
      <c r="G297" s="119"/>
      <c r="H297" s="120"/>
      <c r="I297" s="119"/>
      <c r="J297" s="119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4"/>
    </row>
    <row r="298" ht="14.25" customHeight="1">
      <c r="F298" s="119"/>
      <c r="G298" s="119"/>
      <c r="H298" s="120"/>
      <c r="I298" s="119"/>
      <c r="J298" s="119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4"/>
    </row>
    <row r="299" ht="14.25" customHeight="1">
      <c r="F299" s="119"/>
      <c r="G299" s="119"/>
      <c r="H299" s="120"/>
      <c r="I299" s="119"/>
      <c r="J299" s="119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4"/>
    </row>
    <row r="300" ht="14.25" customHeight="1">
      <c r="F300" s="119"/>
      <c r="G300" s="119"/>
      <c r="H300" s="120"/>
      <c r="I300" s="119"/>
      <c r="J300" s="119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4"/>
    </row>
    <row r="301" ht="14.25" customHeight="1">
      <c r="F301" s="119"/>
      <c r="G301" s="119"/>
      <c r="H301" s="120"/>
      <c r="I301" s="119"/>
      <c r="J301" s="119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4"/>
    </row>
    <row r="302" ht="14.25" customHeight="1">
      <c r="F302" s="119"/>
      <c r="G302" s="119"/>
      <c r="H302" s="120"/>
      <c r="I302" s="119"/>
      <c r="J302" s="119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4"/>
    </row>
    <row r="303" ht="14.25" customHeight="1">
      <c r="F303" s="119"/>
      <c r="G303" s="119"/>
      <c r="H303" s="120"/>
      <c r="I303" s="119"/>
      <c r="J303" s="119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4"/>
    </row>
    <row r="304" ht="14.25" customHeight="1">
      <c r="F304" s="119"/>
      <c r="G304" s="119"/>
      <c r="H304" s="120"/>
      <c r="I304" s="119"/>
      <c r="J304" s="119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4"/>
    </row>
    <row r="305" ht="14.25" customHeight="1">
      <c r="F305" s="119"/>
      <c r="G305" s="119"/>
      <c r="H305" s="120"/>
      <c r="I305" s="119"/>
      <c r="J305" s="119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4"/>
    </row>
    <row r="306" ht="14.25" customHeight="1">
      <c r="F306" s="119"/>
      <c r="G306" s="119"/>
      <c r="H306" s="120"/>
      <c r="I306" s="119"/>
      <c r="J306" s="119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4"/>
    </row>
    <row r="307" ht="14.25" customHeight="1">
      <c r="F307" s="119"/>
      <c r="G307" s="119"/>
      <c r="H307" s="120"/>
      <c r="I307" s="119"/>
      <c r="J307" s="119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4"/>
    </row>
    <row r="308" ht="14.25" customHeight="1">
      <c r="F308" s="119"/>
      <c r="G308" s="119"/>
      <c r="H308" s="120"/>
      <c r="I308" s="119"/>
      <c r="J308" s="119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4"/>
    </row>
    <row r="309" ht="14.25" customHeight="1">
      <c r="F309" s="119"/>
      <c r="G309" s="119"/>
      <c r="H309" s="120"/>
      <c r="I309" s="119"/>
      <c r="J309" s="119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4"/>
    </row>
    <row r="310" ht="14.25" customHeight="1">
      <c r="F310" s="119"/>
      <c r="G310" s="119"/>
      <c r="H310" s="120"/>
      <c r="I310" s="119"/>
      <c r="J310" s="119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4"/>
    </row>
    <row r="311" ht="14.25" customHeight="1">
      <c r="F311" s="119"/>
      <c r="G311" s="119"/>
      <c r="H311" s="120"/>
      <c r="I311" s="119"/>
      <c r="J311" s="119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4"/>
    </row>
    <row r="312" ht="14.25" customHeight="1">
      <c r="F312" s="119"/>
      <c r="G312" s="119"/>
      <c r="H312" s="120"/>
      <c r="I312" s="119"/>
      <c r="J312" s="119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4"/>
    </row>
    <row r="313" ht="14.25" customHeight="1">
      <c r="F313" s="119"/>
      <c r="G313" s="119"/>
      <c r="H313" s="120"/>
      <c r="I313" s="119"/>
      <c r="J313" s="119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4"/>
    </row>
    <row r="314" ht="14.25" customHeight="1">
      <c r="F314" s="119"/>
      <c r="G314" s="119"/>
      <c r="H314" s="120"/>
      <c r="I314" s="119"/>
      <c r="J314" s="119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4"/>
    </row>
    <row r="315" ht="14.25" customHeight="1">
      <c r="F315" s="119"/>
      <c r="G315" s="119"/>
      <c r="H315" s="120"/>
      <c r="I315" s="119"/>
      <c r="J315" s="119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4"/>
    </row>
    <row r="316" ht="14.25" customHeight="1">
      <c r="F316" s="119"/>
      <c r="G316" s="119"/>
      <c r="H316" s="120"/>
      <c r="I316" s="119"/>
      <c r="J316" s="119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4"/>
    </row>
    <row r="317" ht="14.25" customHeight="1">
      <c r="F317" s="119"/>
      <c r="G317" s="119"/>
      <c r="H317" s="120"/>
      <c r="I317" s="119"/>
      <c r="J317" s="119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4"/>
    </row>
    <row r="318" ht="14.25" customHeight="1">
      <c r="F318" s="119"/>
      <c r="G318" s="119"/>
      <c r="H318" s="120"/>
      <c r="I318" s="119"/>
      <c r="J318" s="119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4"/>
    </row>
    <row r="319" ht="14.25" customHeight="1">
      <c r="F319" s="119"/>
      <c r="G319" s="119"/>
      <c r="H319" s="120"/>
      <c r="I319" s="119"/>
      <c r="J319" s="119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4"/>
    </row>
    <row r="320" ht="14.25" customHeight="1">
      <c r="F320" s="119"/>
      <c r="G320" s="119"/>
      <c r="H320" s="120"/>
      <c r="I320" s="119"/>
      <c r="J320" s="119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4"/>
    </row>
    <row r="321" ht="14.25" customHeight="1">
      <c r="F321" s="119"/>
      <c r="G321" s="119"/>
      <c r="H321" s="120"/>
      <c r="I321" s="119"/>
      <c r="J321" s="119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4"/>
    </row>
    <row r="322" ht="14.25" customHeight="1">
      <c r="F322" s="119"/>
      <c r="G322" s="119"/>
      <c r="H322" s="120"/>
      <c r="I322" s="119"/>
      <c r="J322" s="119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4"/>
    </row>
    <row r="323" ht="14.25" customHeight="1">
      <c r="F323" s="119"/>
      <c r="G323" s="119"/>
      <c r="H323" s="120"/>
      <c r="I323" s="119"/>
      <c r="J323" s="119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4"/>
    </row>
    <row r="324" ht="14.25" customHeight="1">
      <c r="F324" s="119"/>
      <c r="G324" s="119"/>
      <c r="H324" s="120"/>
      <c r="I324" s="119"/>
      <c r="J324" s="119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4"/>
    </row>
    <row r="325" ht="14.25" customHeight="1">
      <c r="F325" s="119"/>
      <c r="G325" s="119"/>
      <c r="H325" s="120"/>
      <c r="I325" s="119"/>
      <c r="J325" s="119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4"/>
    </row>
    <row r="326" ht="14.25" customHeight="1">
      <c r="F326" s="119"/>
      <c r="G326" s="119"/>
      <c r="H326" s="120"/>
      <c r="I326" s="119"/>
      <c r="J326" s="119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4"/>
    </row>
    <row r="327" ht="14.25" customHeight="1">
      <c r="F327" s="119"/>
      <c r="G327" s="119"/>
      <c r="H327" s="120"/>
      <c r="I327" s="119"/>
      <c r="J327" s="119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4"/>
    </row>
    <row r="328" ht="14.25" customHeight="1">
      <c r="F328" s="119"/>
      <c r="G328" s="119"/>
      <c r="H328" s="120"/>
      <c r="I328" s="119"/>
      <c r="J328" s="119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4"/>
    </row>
    <row r="329" ht="14.25" customHeight="1">
      <c r="F329" s="119"/>
      <c r="G329" s="119"/>
      <c r="H329" s="120"/>
      <c r="I329" s="119"/>
      <c r="J329" s="119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4"/>
    </row>
    <row r="330" ht="14.25" customHeight="1">
      <c r="F330" s="119"/>
      <c r="G330" s="119"/>
      <c r="H330" s="120"/>
      <c r="I330" s="119"/>
      <c r="J330" s="119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4"/>
    </row>
    <row r="331" ht="14.25" customHeight="1">
      <c r="F331" s="119"/>
      <c r="G331" s="119"/>
      <c r="H331" s="120"/>
      <c r="I331" s="119"/>
      <c r="J331" s="119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4"/>
    </row>
    <row r="332" ht="14.25" customHeight="1">
      <c r="F332" s="119"/>
      <c r="G332" s="119"/>
      <c r="H332" s="120"/>
      <c r="I332" s="119"/>
      <c r="J332" s="119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4"/>
    </row>
    <row r="333" ht="14.25" customHeight="1">
      <c r="F333" s="119"/>
      <c r="G333" s="119"/>
      <c r="H333" s="120"/>
      <c r="I333" s="119"/>
      <c r="J333" s="119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4"/>
    </row>
    <row r="334" ht="14.25" customHeight="1">
      <c r="F334" s="119"/>
      <c r="G334" s="119"/>
      <c r="H334" s="120"/>
      <c r="I334" s="119"/>
      <c r="J334" s="119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4"/>
    </row>
    <row r="335" ht="14.25" customHeight="1">
      <c r="F335" s="119"/>
      <c r="G335" s="119"/>
      <c r="H335" s="120"/>
      <c r="I335" s="119"/>
      <c r="J335" s="119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4"/>
    </row>
    <row r="336" ht="14.25" customHeight="1">
      <c r="F336" s="119"/>
      <c r="G336" s="119"/>
      <c r="H336" s="120"/>
      <c r="I336" s="119"/>
      <c r="J336" s="119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4"/>
    </row>
    <row r="337" ht="14.25" customHeight="1">
      <c r="F337" s="119"/>
      <c r="G337" s="119"/>
      <c r="H337" s="120"/>
      <c r="I337" s="119"/>
      <c r="J337" s="119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4"/>
    </row>
    <row r="338" ht="14.25" customHeight="1">
      <c r="F338" s="119"/>
      <c r="G338" s="119"/>
      <c r="H338" s="120"/>
      <c r="I338" s="119"/>
      <c r="J338" s="119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4"/>
    </row>
    <row r="339" ht="14.25" customHeight="1">
      <c r="F339" s="119"/>
      <c r="G339" s="119"/>
      <c r="H339" s="120"/>
      <c r="I339" s="119"/>
      <c r="J339" s="119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4"/>
    </row>
    <row r="340" ht="14.25" customHeight="1">
      <c r="F340" s="119"/>
      <c r="G340" s="119"/>
      <c r="H340" s="120"/>
      <c r="I340" s="119"/>
      <c r="J340" s="119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4"/>
    </row>
    <row r="341" ht="14.25" customHeight="1">
      <c r="F341" s="119"/>
      <c r="G341" s="119"/>
      <c r="H341" s="120"/>
      <c r="I341" s="119"/>
      <c r="J341" s="119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4"/>
    </row>
    <row r="342" ht="14.25" customHeight="1">
      <c r="F342" s="119"/>
      <c r="G342" s="119"/>
      <c r="H342" s="120"/>
      <c r="I342" s="119"/>
      <c r="J342" s="119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4"/>
    </row>
    <row r="343" ht="14.25" customHeight="1">
      <c r="F343" s="119"/>
      <c r="G343" s="119"/>
      <c r="H343" s="120"/>
      <c r="I343" s="119"/>
      <c r="J343" s="119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4"/>
    </row>
    <row r="344" ht="14.25" customHeight="1">
      <c r="F344" s="119"/>
      <c r="G344" s="119"/>
      <c r="H344" s="120"/>
      <c r="I344" s="119"/>
      <c r="J344" s="119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4"/>
    </row>
    <row r="345" ht="14.25" customHeight="1">
      <c r="F345" s="119"/>
      <c r="G345" s="119"/>
      <c r="H345" s="120"/>
      <c r="I345" s="119"/>
      <c r="J345" s="119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4"/>
    </row>
    <row r="346" ht="14.25" customHeight="1">
      <c r="F346" s="119"/>
      <c r="G346" s="119"/>
      <c r="H346" s="120"/>
      <c r="I346" s="119"/>
      <c r="J346" s="119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4"/>
    </row>
    <row r="347" ht="14.25" customHeight="1">
      <c r="F347" s="119"/>
      <c r="G347" s="119"/>
      <c r="H347" s="120"/>
      <c r="I347" s="119"/>
      <c r="J347" s="119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4"/>
    </row>
    <row r="348" ht="14.25" customHeight="1">
      <c r="F348" s="119"/>
      <c r="G348" s="119"/>
      <c r="H348" s="120"/>
      <c r="I348" s="119"/>
      <c r="J348" s="119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4"/>
    </row>
    <row r="349" ht="14.25" customHeight="1">
      <c r="F349" s="119"/>
      <c r="G349" s="119"/>
      <c r="H349" s="120"/>
      <c r="I349" s="119"/>
      <c r="J349" s="119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4"/>
    </row>
    <row r="350" ht="14.25" customHeight="1">
      <c r="F350" s="119"/>
      <c r="G350" s="119"/>
      <c r="H350" s="120"/>
      <c r="I350" s="119"/>
      <c r="J350" s="119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4"/>
    </row>
    <row r="351" ht="14.25" customHeight="1">
      <c r="F351" s="119"/>
      <c r="G351" s="119"/>
      <c r="H351" s="120"/>
      <c r="I351" s="119"/>
      <c r="J351" s="119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4"/>
    </row>
    <row r="352" ht="14.25" customHeight="1">
      <c r="F352" s="119"/>
      <c r="G352" s="119"/>
      <c r="H352" s="120"/>
      <c r="I352" s="119"/>
      <c r="J352" s="119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4"/>
    </row>
    <row r="353" ht="14.25" customHeight="1">
      <c r="F353" s="119"/>
      <c r="G353" s="119"/>
      <c r="H353" s="120"/>
      <c r="I353" s="119"/>
      <c r="J353" s="119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4"/>
    </row>
    <row r="354" ht="14.25" customHeight="1">
      <c r="F354" s="119"/>
      <c r="G354" s="119"/>
      <c r="H354" s="120"/>
      <c r="I354" s="119"/>
      <c r="J354" s="119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4"/>
    </row>
    <row r="355" ht="14.25" customHeight="1">
      <c r="F355" s="119"/>
      <c r="G355" s="119"/>
      <c r="H355" s="120"/>
      <c r="I355" s="119"/>
      <c r="J355" s="119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4"/>
    </row>
    <row r="356" ht="14.25" customHeight="1">
      <c r="F356" s="119"/>
      <c r="G356" s="119"/>
      <c r="H356" s="120"/>
      <c r="I356" s="119"/>
      <c r="J356" s="119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4"/>
    </row>
    <row r="357" ht="14.25" customHeight="1">
      <c r="F357" s="119"/>
      <c r="G357" s="119"/>
      <c r="H357" s="120"/>
      <c r="I357" s="119"/>
      <c r="J357" s="119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4"/>
    </row>
    <row r="358" ht="14.25" customHeight="1">
      <c r="F358" s="119"/>
      <c r="G358" s="119"/>
      <c r="H358" s="120"/>
      <c r="I358" s="119"/>
      <c r="J358" s="119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4"/>
    </row>
    <row r="359" ht="14.25" customHeight="1">
      <c r="F359" s="119"/>
      <c r="G359" s="119"/>
      <c r="H359" s="120"/>
      <c r="I359" s="119"/>
      <c r="J359" s="119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4"/>
    </row>
    <row r="360" ht="14.25" customHeight="1">
      <c r="F360" s="119"/>
      <c r="G360" s="119"/>
      <c r="H360" s="120"/>
      <c r="I360" s="119"/>
      <c r="J360" s="119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4"/>
    </row>
    <row r="361" ht="14.25" customHeight="1">
      <c r="F361" s="119"/>
      <c r="G361" s="119"/>
      <c r="H361" s="120"/>
      <c r="I361" s="119"/>
      <c r="J361" s="119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4"/>
    </row>
    <row r="362" ht="14.25" customHeight="1">
      <c r="F362" s="119"/>
      <c r="G362" s="119"/>
      <c r="H362" s="120"/>
      <c r="I362" s="119"/>
      <c r="J362" s="119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4"/>
    </row>
    <row r="363" ht="14.25" customHeight="1">
      <c r="F363" s="119"/>
      <c r="G363" s="119"/>
      <c r="H363" s="120"/>
      <c r="I363" s="119"/>
      <c r="J363" s="119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4"/>
    </row>
    <row r="364" ht="14.25" customHeight="1">
      <c r="F364" s="119"/>
      <c r="G364" s="119"/>
      <c r="H364" s="120"/>
      <c r="I364" s="119"/>
      <c r="J364" s="119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4"/>
    </row>
    <row r="365" ht="14.25" customHeight="1">
      <c r="F365" s="119"/>
      <c r="G365" s="119"/>
      <c r="H365" s="120"/>
      <c r="I365" s="119"/>
      <c r="J365" s="119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4"/>
    </row>
    <row r="366" ht="14.25" customHeight="1">
      <c r="F366" s="119"/>
      <c r="G366" s="119"/>
      <c r="H366" s="120"/>
      <c r="I366" s="119"/>
      <c r="J366" s="119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4"/>
    </row>
    <row r="367" ht="14.25" customHeight="1">
      <c r="F367" s="119"/>
      <c r="G367" s="119"/>
      <c r="H367" s="120"/>
      <c r="I367" s="119"/>
      <c r="J367" s="119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4"/>
    </row>
    <row r="368" ht="14.25" customHeight="1">
      <c r="F368" s="119"/>
      <c r="G368" s="119"/>
      <c r="H368" s="120"/>
      <c r="I368" s="119"/>
      <c r="J368" s="119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4"/>
    </row>
    <row r="369" ht="14.25" customHeight="1">
      <c r="F369" s="119"/>
      <c r="G369" s="119"/>
      <c r="H369" s="120"/>
      <c r="I369" s="119"/>
      <c r="J369" s="119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4"/>
    </row>
    <row r="370" ht="14.25" customHeight="1">
      <c r="F370" s="119"/>
      <c r="G370" s="119"/>
      <c r="H370" s="120"/>
      <c r="I370" s="119"/>
      <c r="J370" s="119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4"/>
    </row>
    <row r="371" ht="14.25" customHeight="1">
      <c r="F371" s="119"/>
      <c r="G371" s="119"/>
      <c r="H371" s="120"/>
      <c r="I371" s="119"/>
      <c r="J371" s="119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4"/>
    </row>
    <row r="372" ht="14.25" customHeight="1">
      <c r="F372" s="119"/>
      <c r="G372" s="119"/>
      <c r="H372" s="120"/>
      <c r="I372" s="119"/>
      <c r="J372" s="119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4"/>
    </row>
    <row r="373" ht="14.25" customHeight="1">
      <c r="F373" s="119"/>
      <c r="G373" s="119"/>
      <c r="H373" s="120"/>
      <c r="I373" s="119"/>
      <c r="J373" s="119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4"/>
    </row>
    <row r="374" ht="14.25" customHeight="1">
      <c r="F374" s="119"/>
      <c r="G374" s="119"/>
      <c r="H374" s="120"/>
      <c r="I374" s="119"/>
      <c r="J374" s="119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4"/>
    </row>
    <row r="375" ht="14.25" customHeight="1">
      <c r="F375" s="119"/>
      <c r="G375" s="119"/>
      <c r="H375" s="120"/>
      <c r="I375" s="119"/>
      <c r="J375" s="119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4"/>
    </row>
    <row r="376" ht="14.25" customHeight="1">
      <c r="F376" s="119"/>
      <c r="G376" s="119"/>
      <c r="H376" s="120"/>
      <c r="I376" s="119"/>
      <c r="J376" s="119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4"/>
    </row>
    <row r="377" ht="14.25" customHeight="1">
      <c r="F377" s="119"/>
      <c r="G377" s="119"/>
      <c r="H377" s="120"/>
      <c r="I377" s="119"/>
      <c r="J377" s="119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4"/>
    </row>
    <row r="378" ht="14.25" customHeight="1">
      <c r="F378" s="119"/>
      <c r="G378" s="119"/>
      <c r="H378" s="120"/>
      <c r="I378" s="119"/>
      <c r="J378" s="119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4"/>
    </row>
    <row r="379" ht="14.25" customHeight="1">
      <c r="F379" s="119"/>
      <c r="G379" s="119"/>
      <c r="H379" s="120"/>
      <c r="I379" s="119"/>
      <c r="J379" s="119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4"/>
    </row>
    <row r="380" ht="14.25" customHeight="1">
      <c r="F380" s="119"/>
      <c r="G380" s="119"/>
      <c r="H380" s="120"/>
      <c r="I380" s="119"/>
      <c r="J380" s="119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4"/>
    </row>
    <row r="381" ht="14.25" customHeight="1">
      <c r="F381" s="119"/>
      <c r="G381" s="119"/>
      <c r="H381" s="120"/>
      <c r="I381" s="119"/>
      <c r="J381" s="119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4"/>
    </row>
    <row r="382" ht="14.25" customHeight="1">
      <c r="F382" s="119"/>
      <c r="G382" s="119"/>
      <c r="H382" s="120"/>
      <c r="I382" s="119"/>
      <c r="J382" s="119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4"/>
    </row>
    <row r="383" ht="14.25" customHeight="1">
      <c r="F383" s="119"/>
      <c r="G383" s="119"/>
      <c r="H383" s="120"/>
      <c r="I383" s="119"/>
      <c r="J383" s="119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4"/>
    </row>
    <row r="384" ht="14.25" customHeight="1">
      <c r="F384" s="119"/>
      <c r="G384" s="119"/>
      <c r="H384" s="120"/>
      <c r="I384" s="119"/>
      <c r="J384" s="119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4"/>
    </row>
    <row r="385" ht="14.25" customHeight="1">
      <c r="F385" s="119"/>
      <c r="G385" s="119"/>
      <c r="H385" s="120"/>
      <c r="I385" s="119"/>
      <c r="J385" s="119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4"/>
    </row>
    <row r="386" ht="14.25" customHeight="1">
      <c r="F386" s="119"/>
      <c r="G386" s="119"/>
      <c r="H386" s="120"/>
      <c r="I386" s="119"/>
      <c r="J386" s="119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4"/>
    </row>
    <row r="387" ht="14.25" customHeight="1">
      <c r="F387" s="119"/>
      <c r="G387" s="119"/>
      <c r="H387" s="120"/>
      <c r="I387" s="119"/>
      <c r="J387" s="119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4"/>
    </row>
    <row r="388" ht="14.25" customHeight="1">
      <c r="F388" s="119"/>
      <c r="G388" s="119"/>
      <c r="H388" s="120"/>
      <c r="I388" s="119"/>
      <c r="J388" s="119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4"/>
    </row>
    <row r="389" ht="14.25" customHeight="1">
      <c r="F389" s="119"/>
      <c r="G389" s="119"/>
      <c r="H389" s="120"/>
      <c r="I389" s="119"/>
      <c r="J389" s="119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4"/>
    </row>
    <row r="390" ht="14.25" customHeight="1">
      <c r="F390" s="119"/>
      <c r="G390" s="119"/>
      <c r="H390" s="120"/>
      <c r="I390" s="119"/>
      <c r="J390" s="119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4"/>
    </row>
    <row r="391" ht="14.25" customHeight="1">
      <c r="F391" s="119"/>
      <c r="G391" s="119"/>
      <c r="H391" s="120"/>
      <c r="I391" s="119"/>
      <c r="J391" s="119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4"/>
    </row>
    <row r="392" ht="14.25" customHeight="1">
      <c r="F392" s="119"/>
      <c r="G392" s="119"/>
      <c r="H392" s="120"/>
      <c r="I392" s="119"/>
      <c r="J392" s="119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4"/>
    </row>
    <row r="393" ht="14.25" customHeight="1">
      <c r="F393" s="119"/>
      <c r="G393" s="119"/>
      <c r="H393" s="120"/>
      <c r="I393" s="119"/>
      <c r="J393" s="119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4"/>
    </row>
    <row r="394" ht="14.25" customHeight="1">
      <c r="F394" s="119"/>
      <c r="G394" s="119"/>
      <c r="H394" s="120"/>
      <c r="I394" s="119"/>
      <c r="J394" s="119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4"/>
    </row>
    <row r="395" ht="14.25" customHeight="1">
      <c r="F395" s="119"/>
      <c r="G395" s="119"/>
      <c r="H395" s="120"/>
      <c r="I395" s="119"/>
      <c r="J395" s="119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4"/>
    </row>
    <row r="396" ht="14.25" customHeight="1">
      <c r="F396" s="119"/>
      <c r="G396" s="119"/>
      <c r="H396" s="120"/>
      <c r="I396" s="119"/>
      <c r="J396" s="119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4"/>
    </row>
    <row r="397" ht="14.25" customHeight="1">
      <c r="F397" s="119"/>
      <c r="G397" s="119"/>
      <c r="H397" s="120"/>
      <c r="I397" s="119"/>
      <c r="J397" s="119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4"/>
    </row>
    <row r="398" ht="14.25" customHeight="1">
      <c r="F398" s="119"/>
      <c r="G398" s="119"/>
      <c r="H398" s="120"/>
      <c r="I398" s="119"/>
      <c r="J398" s="119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4"/>
    </row>
    <row r="399" ht="14.25" customHeight="1">
      <c r="F399" s="119"/>
      <c r="G399" s="119"/>
      <c r="H399" s="120"/>
      <c r="I399" s="119"/>
      <c r="J399" s="119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4"/>
    </row>
    <row r="400" ht="14.25" customHeight="1">
      <c r="F400" s="119"/>
      <c r="G400" s="119"/>
      <c r="H400" s="120"/>
      <c r="I400" s="119"/>
      <c r="J400" s="119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4"/>
    </row>
    <row r="401" ht="14.25" customHeight="1">
      <c r="F401" s="119"/>
      <c r="G401" s="119"/>
      <c r="H401" s="120"/>
      <c r="I401" s="119"/>
      <c r="J401" s="119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4"/>
    </row>
    <row r="402" ht="14.25" customHeight="1">
      <c r="F402" s="119"/>
      <c r="G402" s="119"/>
      <c r="H402" s="120"/>
      <c r="I402" s="119"/>
      <c r="J402" s="119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4"/>
    </row>
    <row r="403" ht="14.25" customHeight="1">
      <c r="F403" s="119"/>
      <c r="G403" s="119"/>
      <c r="H403" s="120"/>
      <c r="I403" s="119"/>
      <c r="J403" s="119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4"/>
    </row>
    <row r="404" ht="14.25" customHeight="1">
      <c r="F404" s="119"/>
      <c r="G404" s="119"/>
      <c r="H404" s="120"/>
      <c r="I404" s="119"/>
      <c r="J404" s="119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4"/>
    </row>
    <row r="405" ht="14.25" customHeight="1">
      <c r="F405" s="119"/>
      <c r="G405" s="119"/>
      <c r="H405" s="120"/>
      <c r="I405" s="119"/>
      <c r="J405" s="119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4"/>
    </row>
    <row r="406" ht="14.25" customHeight="1">
      <c r="F406" s="119"/>
      <c r="G406" s="119"/>
      <c r="H406" s="120"/>
      <c r="I406" s="119"/>
      <c r="J406" s="119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4"/>
    </row>
    <row r="407" ht="14.25" customHeight="1">
      <c r="F407" s="119"/>
      <c r="G407" s="119"/>
      <c r="H407" s="120"/>
      <c r="I407" s="119"/>
      <c r="J407" s="119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4"/>
    </row>
    <row r="408" ht="14.25" customHeight="1">
      <c r="F408" s="119"/>
      <c r="G408" s="119"/>
      <c r="H408" s="120"/>
      <c r="I408" s="119"/>
      <c r="J408" s="119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4"/>
    </row>
    <row r="409" ht="14.25" customHeight="1">
      <c r="F409" s="119"/>
      <c r="G409" s="119"/>
      <c r="H409" s="120"/>
      <c r="I409" s="119"/>
      <c r="J409" s="119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4"/>
    </row>
    <row r="410" ht="14.25" customHeight="1">
      <c r="F410" s="119"/>
      <c r="G410" s="119"/>
      <c r="H410" s="120"/>
      <c r="I410" s="119"/>
      <c r="J410" s="119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4"/>
    </row>
    <row r="411" ht="14.25" customHeight="1">
      <c r="F411" s="119"/>
      <c r="G411" s="119"/>
      <c r="H411" s="120"/>
      <c r="I411" s="119"/>
      <c r="J411" s="119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4"/>
    </row>
    <row r="412" ht="14.25" customHeight="1">
      <c r="F412" s="119"/>
      <c r="G412" s="119"/>
      <c r="H412" s="120"/>
      <c r="I412" s="119"/>
      <c r="J412" s="119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4"/>
    </row>
    <row r="413" ht="14.25" customHeight="1">
      <c r="F413" s="119"/>
      <c r="G413" s="119"/>
      <c r="H413" s="120"/>
      <c r="I413" s="119"/>
      <c r="J413" s="119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4"/>
    </row>
    <row r="414" ht="14.25" customHeight="1">
      <c r="F414" s="119"/>
      <c r="G414" s="119"/>
      <c r="H414" s="120"/>
      <c r="I414" s="119"/>
      <c r="J414" s="119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4"/>
    </row>
    <row r="415" ht="14.25" customHeight="1">
      <c r="F415" s="119"/>
      <c r="G415" s="119"/>
      <c r="H415" s="120"/>
      <c r="I415" s="119"/>
      <c r="J415" s="119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4"/>
    </row>
    <row r="416" ht="14.25" customHeight="1">
      <c r="F416" s="119"/>
      <c r="G416" s="119"/>
      <c r="H416" s="120"/>
      <c r="I416" s="119"/>
      <c r="J416" s="119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4"/>
    </row>
    <row r="417" ht="14.25" customHeight="1">
      <c r="F417" s="119"/>
      <c r="G417" s="119"/>
      <c r="H417" s="120"/>
      <c r="I417" s="119"/>
      <c r="J417" s="119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4"/>
    </row>
    <row r="418" ht="14.25" customHeight="1">
      <c r="F418" s="119"/>
      <c r="G418" s="119"/>
      <c r="H418" s="120"/>
      <c r="I418" s="119"/>
      <c r="J418" s="119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4"/>
    </row>
    <row r="419" ht="14.25" customHeight="1">
      <c r="F419" s="119"/>
      <c r="G419" s="119"/>
      <c r="H419" s="120"/>
      <c r="I419" s="119"/>
      <c r="J419" s="119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4"/>
    </row>
    <row r="420" ht="14.25" customHeight="1">
      <c r="F420" s="119"/>
      <c r="G420" s="119"/>
      <c r="H420" s="120"/>
      <c r="I420" s="119"/>
      <c r="J420" s="119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4"/>
    </row>
    <row r="421" ht="14.25" customHeight="1">
      <c r="F421" s="119"/>
      <c r="G421" s="119"/>
      <c r="H421" s="120"/>
      <c r="I421" s="119"/>
      <c r="J421" s="119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4"/>
    </row>
    <row r="422" ht="14.25" customHeight="1">
      <c r="F422" s="119"/>
      <c r="G422" s="119"/>
      <c r="H422" s="120"/>
      <c r="I422" s="119"/>
      <c r="J422" s="119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4"/>
    </row>
    <row r="423" ht="14.25" customHeight="1">
      <c r="F423" s="119"/>
      <c r="G423" s="119"/>
      <c r="H423" s="120"/>
      <c r="I423" s="119"/>
      <c r="J423" s="119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4"/>
    </row>
    <row r="424" ht="14.25" customHeight="1">
      <c r="F424" s="119"/>
      <c r="G424" s="119"/>
      <c r="H424" s="120"/>
      <c r="I424" s="119"/>
      <c r="J424" s="119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4"/>
    </row>
    <row r="425" ht="14.25" customHeight="1">
      <c r="F425" s="119"/>
      <c r="G425" s="119"/>
      <c r="H425" s="120"/>
      <c r="I425" s="119"/>
      <c r="J425" s="119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4"/>
    </row>
    <row r="426" ht="14.25" customHeight="1">
      <c r="F426" s="119"/>
      <c r="G426" s="119"/>
      <c r="H426" s="120"/>
      <c r="I426" s="119"/>
      <c r="J426" s="119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4"/>
    </row>
    <row r="427" ht="14.25" customHeight="1">
      <c r="F427" s="119"/>
      <c r="G427" s="119"/>
      <c r="H427" s="120"/>
      <c r="I427" s="119"/>
      <c r="J427" s="119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4"/>
    </row>
    <row r="428" ht="14.25" customHeight="1">
      <c r="F428" s="119"/>
      <c r="G428" s="119"/>
      <c r="H428" s="120"/>
      <c r="I428" s="119"/>
      <c r="J428" s="119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4"/>
    </row>
    <row r="429" ht="14.25" customHeight="1">
      <c r="F429" s="119"/>
      <c r="G429" s="119"/>
      <c r="H429" s="120"/>
      <c r="I429" s="119"/>
      <c r="J429" s="119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4"/>
    </row>
    <row r="430" ht="14.25" customHeight="1">
      <c r="F430" s="119"/>
      <c r="G430" s="119"/>
      <c r="H430" s="120"/>
      <c r="I430" s="119"/>
      <c r="J430" s="119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4"/>
    </row>
    <row r="431" ht="14.25" customHeight="1">
      <c r="F431" s="119"/>
      <c r="G431" s="119"/>
      <c r="H431" s="120"/>
      <c r="I431" s="119"/>
      <c r="J431" s="119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4"/>
    </row>
    <row r="432" ht="14.25" customHeight="1">
      <c r="F432" s="119"/>
      <c r="G432" s="119"/>
      <c r="H432" s="120"/>
      <c r="I432" s="119"/>
      <c r="J432" s="119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4"/>
    </row>
    <row r="433" ht="14.25" customHeight="1">
      <c r="F433" s="119"/>
      <c r="G433" s="119"/>
      <c r="H433" s="120"/>
      <c r="I433" s="119"/>
      <c r="J433" s="119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4"/>
    </row>
    <row r="434" ht="14.25" customHeight="1">
      <c r="F434" s="119"/>
      <c r="G434" s="119"/>
      <c r="H434" s="120"/>
      <c r="I434" s="119"/>
      <c r="J434" s="119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4"/>
    </row>
    <row r="435" ht="14.25" customHeight="1">
      <c r="F435" s="119"/>
      <c r="G435" s="119"/>
      <c r="H435" s="120"/>
      <c r="I435" s="119"/>
      <c r="J435" s="119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4"/>
    </row>
    <row r="436" ht="14.25" customHeight="1">
      <c r="F436" s="119"/>
      <c r="G436" s="119"/>
      <c r="H436" s="120"/>
      <c r="I436" s="119"/>
      <c r="J436" s="119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4"/>
    </row>
    <row r="437" ht="14.25" customHeight="1">
      <c r="F437" s="119"/>
      <c r="G437" s="119"/>
      <c r="H437" s="120"/>
      <c r="I437" s="119"/>
      <c r="J437" s="119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4"/>
    </row>
    <row r="438" ht="14.25" customHeight="1">
      <c r="F438" s="119"/>
      <c r="G438" s="119"/>
      <c r="H438" s="120"/>
      <c r="I438" s="119"/>
      <c r="J438" s="119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4"/>
    </row>
    <row r="439" ht="14.25" customHeight="1">
      <c r="F439" s="119"/>
      <c r="G439" s="119"/>
      <c r="H439" s="120"/>
      <c r="I439" s="119"/>
      <c r="J439" s="119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4"/>
    </row>
    <row r="440" ht="14.25" customHeight="1">
      <c r="F440" s="119"/>
      <c r="G440" s="119"/>
      <c r="H440" s="120"/>
      <c r="I440" s="119"/>
      <c r="J440" s="119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4"/>
    </row>
    <row r="441" ht="14.25" customHeight="1">
      <c r="F441" s="119"/>
      <c r="G441" s="119"/>
      <c r="H441" s="120"/>
      <c r="I441" s="119"/>
      <c r="J441" s="119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4"/>
    </row>
    <row r="442" ht="14.25" customHeight="1">
      <c r="F442" s="119"/>
      <c r="G442" s="119"/>
      <c r="H442" s="120"/>
      <c r="I442" s="119"/>
      <c r="J442" s="119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4"/>
    </row>
    <row r="443" ht="14.25" customHeight="1">
      <c r="F443" s="119"/>
      <c r="G443" s="119"/>
      <c r="H443" s="120"/>
      <c r="I443" s="119"/>
      <c r="J443" s="119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4"/>
    </row>
    <row r="444" ht="14.25" customHeight="1">
      <c r="F444" s="119"/>
      <c r="G444" s="119"/>
      <c r="H444" s="120"/>
      <c r="I444" s="119"/>
      <c r="J444" s="119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4"/>
    </row>
    <row r="445" ht="14.25" customHeight="1">
      <c r="F445" s="119"/>
      <c r="G445" s="119"/>
      <c r="H445" s="120"/>
      <c r="I445" s="119"/>
      <c r="J445" s="119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4"/>
    </row>
    <row r="446" ht="14.25" customHeight="1">
      <c r="F446" s="119"/>
      <c r="G446" s="119"/>
      <c r="H446" s="120"/>
      <c r="I446" s="119"/>
      <c r="J446" s="119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4"/>
    </row>
    <row r="447" ht="14.25" customHeight="1">
      <c r="F447" s="119"/>
      <c r="G447" s="119"/>
      <c r="H447" s="120"/>
      <c r="I447" s="119"/>
      <c r="J447" s="119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4"/>
    </row>
    <row r="448" ht="14.25" customHeight="1">
      <c r="F448" s="119"/>
      <c r="G448" s="119"/>
      <c r="H448" s="120"/>
      <c r="I448" s="119"/>
      <c r="J448" s="119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4"/>
    </row>
    <row r="449" ht="14.25" customHeight="1">
      <c r="F449" s="119"/>
      <c r="G449" s="119"/>
      <c r="H449" s="120"/>
      <c r="I449" s="119"/>
      <c r="J449" s="119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4"/>
    </row>
    <row r="450" ht="14.25" customHeight="1">
      <c r="F450" s="119"/>
      <c r="G450" s="119"/>
      <c r="H450" s="120"/>
      <c r="I450" s="119"/>
      <c r="J450" s="119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4"/>
    </row>
    <row r="451" ht="14.25" customHeight="1">
      <c r="F451" s="119"/>
      <c r="G451" s="119"/>
      <c r="H451" s="120"/>
      <c r="I451" s="119"/>
      <c r="J451" s="119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4"/>
    </row>
    <row r="452" ht="14.25" customHeight="1">
      <c r="F452" s="119"/>
      <c r="G452" s="119"/>
      <c r="H452" s="120"/>
      <c r="I452" s="119"/>
      <c r="J452" s="119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4"/>
    </row>
    <row r="453" ht="14.25" customHeight="1">
      <c r="F453" s="119"/>
      <c r="G453" s="119"/>
      <c r="H453" s="120"/>
      <c r="I453" s="119"/>
      <c r="J453" s="119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4"/>
    </row>
    <row r="454" ht="14.25" customHeight="1">
      <c r="F454" s="119"/>
      <c r="G454" s="119"/>
      <c r="H454" s="120"/>
      <c r="I454" s="119"/>
      <c r="J454" s="119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4"/>
    </row>
    <row r="455" ht="14.25" customHeight="1">
      <c r="F455" s="119"/>
      <c r="G455" s="119"/>
      <c r="H455" s="120"/>
      <c r="I455" s="119"/>
      <c r="J455" s="119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4"/>
    </row>
    <row r="456" ht="14.25" customHeight="1">
      <c r="F456" s="119"/>
      <c r="G456" s="119"/>
      <c r="H456" s="120"/>
      <c r="I456" s="119"/>
      <c r="J456" s="119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4"/>
    </row>
    <row r="457" ht="14.25" customHeight="1">
      <c r="F457" s="119"/>
      <c r="G457" s="119"/>
      <c r="H457" s="120"/>
      <c r="I457" s="119"/>
      <c r="J457" s="119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4"/>
    </row>
    <row r="458" ht="14.25" customHeight="1">
      <c r="F458" s="119"/>
      <c r="G458" s="119"/>
      <c r="H458" s="120"/>
      <c r="I458" s="119"/>
      <c r="J458" s="119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4"/>
    </row>
    <row r="459" ht="14.25" customHeight="1">
      <c r="F459" s="119"/>
      <c r="G459" s="119"/>
      <c r="H459" s="120"/>
      <c r="I459" s="119"/>
      <c r="J459" s="119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4"/>
    </row>
    <row r="460" ht="14.25" customHeight="1">
      <c r="F460" s="119"/>
      <c r="G460" s="119"/>
      <c r="H460" s="120"/>
      <c r="I460" s="119"/>
      <c r="J460" s="119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4"/>
    </row>
    <row r="461" ht="14.25" customHeight="1">
      <c r="F461" s="119"/>
      <c r="G461" s="119"/>
      <c r="H461" s="120"/>
      <c r="I461" s="119"/>
      <c r="J461" s="119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4"/>
    </row>
    <row r="462" ht="14.25" customHeight="1">
      <c r="F462" s="119"/>
      <c r="G462" s="119"/>
      <c r="H462" s="120"/>
      <c r="I462" s="119"/>
      <c r="J462" s="119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4"/>
    </row>
    <row r="463" ht="14.25" customHeight="1">
      <c r="F463" s="119"/>
      <c r="G463" s="119"/>
      <c r="H463" s="120"/>
      <c r="I463" s="119"/>
      <c r="J463" s="119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4"/>
    </row>
    <row r="464" ht="14.25" customHeight="1">
      <c r="F464" s="119"/>
      <c r="G464" s="119"/>
      <c r="H464" s="120"/>
      <c r="I464" s="119"/>
      <c r="J464" s="119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4"/>
    </row>
    <row r="465" ht="14.25" customHeight="1">
      <c r="F465" s="119"/>
      <c r="G465" s="119"/>
      <c r="H465" s="120"/>
      <c r="I465" s="119"/>
      <c r="J465" s="119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4"/>
    </row>
    <row r="466" ht="14.25" customHeight="1">
      <c r="F466" s="119"/>
      <c r="G466" s="119"/>
      <c r="H466" s="120"/>
      <c r="I466" s="119"/>
      <c r="J466" s="119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4"/>
    </row>
    <row r="467" ht="14.25" customHeight="1">
      <c r="F467" s="119"/>
      <c r="G467" s="119"/>
      <c r="H467" s="120"/>
      <c r="I467" s="119"/>
      <c r="J467" s="119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4"/>
    </row>
    <row r="468" ht="14.25" customHeight="1">
      <c r="F468" s="119"/>
      <c r="G468" s="119"/>
      <c r="H468" s="120"/>
      <c r="I468" s="119"/>
      <c r="J468" s="119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4"/>
    </row>
    <row r="469" ht="14.25" customHeight="1">
      <c r="F469" s="119"/>
      <c r="G469" s="119"/>
      <c r="H469" s="120"/>
      <c r="I469" s="119"/>
      <c r="J469" s="119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4"/>
    </row>
    <row r="470" ht="14.25" customHeight="1">
      <c r="F470" s="119"/>
      <c r="G470" s="119"/>
      <c r="H470" s="120"/>
      <c r="I470" s="119"/>
      <c r="J470" s="119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4"/>
    </row>
    <row r="471" ht="14.25" customHeight="1">
      <c r="F471" s="119"/>
      <c r="G471" s="119"/>
      <c r="H471" s="120"/>
      <c r="I471" s="119"/>
      <c r="J471" s="119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4"/>
    </row>
    <row r="472" ht="14.25" customHeight="1">
      <c r="F472" s="119"/>
      <c r="G472" s="119"/>
      <c r="H472" s="120"/>
      <c r="I472" s="119"/>
      <c r="J472" s="119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4"/>
    </row>
    <row r="473" ht="14.25" customHeight="1">
      <c r="F473" s="119"/>
      <c r="G473" s="119"/>
      <c r="H473" s="120"/>
      <c r="I473" s="119"/>
      <c r="J473" s="119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4"/>
    </row>
    <row r="474" ht="14.25" customHeight="1">
      <c r="F474" s="119"/>
      <c r="G474" s="119"/>
      <c r="H474" s="120"/>
      <c r="I474" s="119"/>
      <c r="J474" s="119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4"/>
    </row>
    <row r="475" ht="14.25" customHeight="1">
      <c r="F475" s="119"/>
      <c r="G475" s="119"/>
      <c r="H475" s="120"/>
      <c r="I475" s="119"/>
      <c r="J475" s="119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4"/>
    </row>
    <row r="476" ht="14.25" customHeight="1">
      <c r="F476" s="119"/>
      <c r="G476" s="119"/>
      <c r="H476" s="120"/>
      <c r="I476" s="119"/>
      <c r="J476" s="119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4"/>
    </row>
    <row r="477" ht="14.25" customHeight="1">
      <c r="F477" s="119"/>
      <c r="G477" s="119"/>
      <c r="H477" s="120"/>
      <c r="I477" s="119"/>
      <c r="J477" s="119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4"/>
    </row>
    <row r="478" ht="14.25" customHeight="1">
      <c r="F478" s="119"/>
      <c r="G478" s="119"/>
      <c r="H478" s="120"/>
      <c r="I478" s="119"/>
      <c r="J478" s="119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4"/>
    </row>
    <row r="479" ht="14.25" customHeight="1">
      <c r="F479" s="119"/>
      <c r="G479" s="119"/>
      <c r="H479" s="120"/>
      <c r="I479" s="119"/>
      <c r="J479" s="119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4"/>
    </row>
    <row r="480" ht="14.25" customHeight="1">
      <c r="F480" s="119"/>
      <c r="G480" s="119"/>
      <c r="H480" s="120"/>
      <c r="I480" s="119"/>
      <c r="J480" s="119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4"/>
    </row>
    <row r="481" ht="14.25" customHeight="1">
      <c r="F481" s="119"/>
      <c r="G481" s="119"/>
      <c r="H481" s="120"/>
      <c r="I481" s="119"/>
      <c r="J481" s="119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4"/>
    </row>
    <row r="482" ht="14.25" customHeight="1">
      <c r="F482" s="119"/>
      <c r="G482" s="119"/>
      <c r="H482" s="120"/>
      <c r="I482" s="119"/>
      <c r="J482" s="119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4"/>
    </row>
    <row r="483" ht="14.25" customHeight="1">
      <c r="F483" s="119"/>
      <c r="G483" s="119"/>
      <c r="H483" s="120"/>
      <c r="I483" s="119"/>
      <c r="J483" s="119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4"/>
    </row>
    <row r="484" ht="14.25" customHeight="1">
      <c r="F484" s="119"/>
      <c r="G484" s="119"/>
      <c r="H484" s="120"/>
      <c r="I484" s="119"/>
      <c r="J484" s="119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4"/>
    </row>
    <row r="485" ht="14.25" customHeight="1">
      <c r="F485" s="119"/>
      <c r="G485" s="119"/>
      <c r="H485" s="120"/>
      <c r="I485" s="119"/>
      <c r="J485" s="119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4"/>
    </row>
    <row r="486" ht="14.25" customHeight="1">
      <c r="F486" s="119"/>
      <c r="G486" s="119"/>
      <c r="H486" s="120"/>
      <c r="I486" s="119"/>
      <c r="J486" s="119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4"/>
    </row>
    <row r="487" ht="14.25" customHeight="1">
      <c r="F487" s="119"/>
      <c r="G487" s="119"/>
      <c r="H487" s="120"/>
      <c r="I487" s="119"/>
      <c r="J487" s="119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4"/>
    </row>
    <row r="488" ht="14.25" customHeight="1">
      <c r="F488" s="119"/>
      <c r="G488" s="119"/>
      <c r="H488" s="120"/>
      <c r="I488" s="119"/>
      <c r="J488" s="119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4"/>
    </row>
    <row r="489" ht="14.25" customHeight="1">
      <c r="F489" s="119"/>
      <c r="G489" s="119"/>
      <c r="H489" s="120"/>
      <c r="I489" s="119"/>
      <c r="J489" s="119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4"/>
    </row>
    <row r="490" ht="14.25" customHeight="1">
      <c r="F490" s="119"/>
      <c r="G490" s="119"/>
      <c r="H490" s="120"/>
      <c r="I490" s="119"/>
      <c r="J490" s="119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4"/>
    </row>
    <row r="491" ht="14.25" customHeight="1">
      <c r="F491" s="119"/>
      <c r="G491" s="119"/>
      <c r="H491" s="120"/>
      <c r="I491" s="119"/>
      <c r="J491" s="119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4"/>
    </row>
    <row r="492" ht="14.25" customHeight="1">
      <c r="F492" s="119"/>
      <c r="G492" s="119"/>
      <c r="H492" s="120"/>
      <c r="I492" s="119"/>
      <c r="J492" s="119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4"/>
    </row>
    <row r="493" ht="14.25" customHeight="1">
      <c r="F493" s="119"/>
      <c r="G493" s="119"/>
      <c r="H493" s="120"/>
      <c r="I493" s="119"/>
      <c r="J493" s="119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4"/>
    </row>
    <row r="494" ht="14.25" customHeight="1">
      <c r="F494" s="119"/>
      <c r="G494" s="119"/>
      <c r="H494" s="120"/>
      <c r="I494" s="119"/>
      <c r="J494" s="119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4"/>
    </row>
    <row r="495" ht="14.25" customHeight="1">
      <c r="F495" s="119"/>
      <c r="G495" s="119"/>
      <c r="H495" s="120"/>
      <c r="I495" s="119"/>
      <c r="J495" s="119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4"/>
    </row>
    <row r="496" ht="14.25" customHeight="1">
      <c r="F496" s="119"/>
      <c r="G496" s="119"/>
      <c r="H496" s="120"/>
      <c r="I496" s="119"/>
      <c r="J496" s="119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4"/>
    </row>
    <row r="497" ht="14.25" customHeight="1">
      <c r="F497" s="119"/>
      <c r="G497" s="119"/>
      <c r="H497" s="120"/>
      <c r="I497" s="119"/>
      <c r="J497" s="119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4"/>
    </row>
    <row r="498" ht="14.25" customHeight="1">
      <c r="F498" s="119"/>
      <c r="G498" s="119"/>
      <c r="H498" s="120"/>
      <c r="I498" s="119"/>
      <c r="J498" s="119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4"/>
    </row>
    <row r="499" ht="14.25" customHeight="1">
      <c r="F499" s="119"/>
      <c r="G499" s="119"/>
      <c r="H499" s="120"/>
      <c r="I499" s="119"/>
      <c r="J499" s="119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4"/>
    </row>
    <row r="500" ht="14.25" customHeight="1">
      <c r="F500" s="119"/>
      <c r="G500" s="119"/>
      <c r="H500" s="120"/>
      <c r="I500" s="119"/>
      <c r="J500" s="119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4"/>
    </row>
    <row r="501" ht="14.25" customHeight="1">
      <c r="F501" s="119"/>
      <c r="G501" s="119"/>
      <c r="H501" s="120"/>
      <c r="I501" s="119"/>
      <c r="J501" s="119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4"/>
    </row>
    <row r="502" ht="14.25" customHeight="1">
      <c r="F502" s="119"/>
      <c r="G502" s="119"/>
      <c r="H502" s="120"/>
      <c r="I502" s="119"/>
      <c r="J502" s="119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4"/>
    </row>
    <row r="503" ht="14.25" customHeight="1">
      <c r="F503" s="119"/>
      <c r="G503" s="119"/>
      <c r="H503" s="120"/>
      <c r="I503" s="119"/>
      <c r="J503" s="119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4"/>
    </row>
    <row r="504" ht="14.25" customHeight="1">
      <c r="F504" s="119"/>
      <c r="G504" s="119"/>
      <c r="H504" s="120"/>
      <c r="I504" s="119"/>
      <c r="J504" s="119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4"/>
    </row>
    <row r="505" ht="14.25" customHeight="1">
      <c r="F505" s="119"/>
      <c r="G505" s="119"/>
      <c r="H505" s="120"/>
      <c r="I505" s="119"/>
      <c r="J505" s="119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4"/>
    </row>
    <row r="506" ht="14.25" customHeight="1">
      <c r="F506" s="119"/>
      <c r="G506" s="119"/>
      <c r="H506" s="120"/>
      <c r="I506" s="119"/>
      <c r="J506" s="119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4"/>
    </row>
    <row r="507" ht="14.25" customHeight="1">
      <c r="F507" s="119"/>
      <c r="G507" s="119"/>
      <c r="H507" s="120"/>
      <c r="I507" s="119"/>
      <c r="J507" s="119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4"/>
    </row>
    <row r="508" ht="14.25" customHeight="1">
      <c r="F508" s="119"/>
      <c r="G508" s="119"/>
      <c r="H508" s="120"/>
      <c r="I508" s="119"/>
      <c r="J508" s="119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4"/>
    </row>
    <row r="509" ht="14.25" customHeight="1">
      <c r="F509" s="119"/>
      <c r="G509" s="119"/>
      <c r="H509" s="120"/>
      <c r="I509" s="119"/>
      <c r="J509" s="119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4"/>
    </row>
    <row r="510" ht="14.25" customHeight="1">
      <c r="F510" s="119"/>
      <c r="G510" s="119"/>
      <c r="H510" s="120"/>
      <c r="I510" s="119"/>
      <c r="J510" s="119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4"/>
    </row>
    <row r="511" ht="14.25" customHeight="1">
      <c r="F511" s="119"/>
      <c r="G511" s="119"/>
      <c r="H511" s="120"/>
      <c r="I511" s="119"/>
      <c r="J511" s="119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4"/>
    </row>
    <row r="512" ht="14.25" customHeight="1">
      <c r="F512" s="119"/>
      <c r="G512" s="119"/>
      <c r="H512" s="120"/>
      <c r="I512" s="119"/>
      <c r="J512" s="119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4"/>
    </row>
    <row r="513" ht="14.25" customHeight="1">
      <c r="F513" s="119"/>
      <c r="G513" s="119"/>
      <c r="H513" s="120"/>
      <c r="I513" s="119"/>
      <c r="J513" s="119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4"/>
    </row>
    <row r="514" ht="14.25" customHeight="1">
      <c r="F514" s="119"/>
      <c r="G514" s="119"/>
      <c r="H514" s="120"/>
      <c r="I514" s="119"/>
      <c r="J514" s="119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4"/>
    </row>
    <row r="515" ht="14.25" customHeight="1">
      <c r="F515" s="119"/>
      <c r="G515" s="119"/>
      <c r="H515" s="120"/>
      <c r="I515" s="119"/>
      <c r="J515" s="119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4"/>
    </row>
    <row r="516" ht="14.25" customHeight="1">
      <c r="F516" s="119"/>
      <c r="G516" s="119"/>
      <c r="H516" s="120"/>
      <c r="I516" s="119"/>
      <c r="J516" s="119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4"/>
    </row>
    <row r="517" ht="14.25" customHeight="1">
      <c r="F517" s="119"/>
      <c r="G517" s="119"/>
      <c r="H517" s="120"/>
      <c r="I517" s="119"/>
      <c r="J517" s="119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4"/>
    </row>
    <row r="518" ht="14.25" customHeight="1">
      <c r="F518" s="119"/>
      <c r="G518" s="119"/>
      <c r="H518" s="120"/>
      <c r="I518" s="119"/>
      <c r="J518" s="119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4"/>
    </row>
    <row r="519" ht="14.25" customHeight="1">
      <c r="F519" s="119"/>
      <c r="G519" s="119"/>
      <c r="H519" s="120"/>
      <c r="I519" s="119"/>
      <c r="J519" s="119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4"/>
    </row>
    <row r="520" ht="14.25" customHeight="1">
      <c r="F520" s="119"/>
      <c r="G520" s="119"/>
      <c r="H520" s="120"/>
      <c r="I520" s="119"/>
      <c r="J520" s="119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4"/>
    </row>
    <row r="521" ht="14.25" customHeight="1">
      <c r="F521" s="119"/>
      <c r="G521" s="119"/>
      <c r="H521" s="120"/>
      <c r="I521" s="119"/>
      <c r="J521" s="119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4"/>
    </row>
    <row r="522" ht="14.25" customHeight="1">
      <c r="F522" s="119"/>
      <c r="G522" s="119"/>
      <c r="H522" s="120"/>
      <c r="I522" s="119"/>
      <c r="J522" s="119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4"/>
    </row>
    <row r="523" ht="14.25" customHeight="1">
      <c r="F523" s="119"/>
      <c r="G523" s="119"/>
      <c r="H523" s="120"/>
      <c r="I523" s="119"/>
      <c r="J523" s="119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4"/>
    </row>
    <row r="524" ht="14.25" customHeight="1">
      <c r="F524" s="119"/>
      <c r="G524" s="119"/>
      <c r="H524" s="120"/>
      <c r="I524" s="119"/>
      <c r="J524" s="119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4"/>
    </row>
    <row r="525" ht="14.25" customHeight="1">
      <c r="F525" s="119"/>
      <c r="G525" s="119"/>
      <c r="H525" s="120"/>
      <c r="I525" s="119"/>
      <c r="J525" s="119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4"/>
    </row>
    <row r="526" ht="14.25" customHeight="1">
      <c r="F526" s="119"/>
      <c r="G526" s="119"/>
      <c r="H526" s="120"/>
      <c r="I526" s="119"/>
      <c r="J526" s="119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4"/>
    </row>
    <row r="527" ht="14.25" customHeight="1">
      <c r="F527" s="119"/>
      <c r="G527" s="119"/>
      <c r="H527" s="120"/>
      <c r="I527" s="119"/>
      <c r="J527" s="119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4"/>
    </row>
    <row r="528" ht="14.25" customHeight="1">
      <c r="F528" s="119"/>
      <c r="G528" s="119"/>
      <c r="H528" s="120"/>
      <c r="I528" s="119"/>
      <c r="J528" s="119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4"/>
    </row>
    <row r="529" ht="14.25" customHeight="1">
      <c r="F529" s="119"/>
      <c r="G529" s="119"/>
      <c r="H529" s="120"/>
      <c r="I529" s="119"/>
      <c r="J529" s="119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4"/>
    </row>
    <row r="530" ht="14.25" customHeight="1">
      <c r="F530" s="119"/>
      <c r="G530" s="119"/>
      <c r="H530" s="120"/>
      <c r="I530" s="119"/>
      <c r="J530" s="119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4"/>
    </row>
    <row r="531" ht="14.25" customHeight="1">
      <c r="F531" s="119"/>
      <c r="G531" s="119"/>
      <c r="H531" s="120"/>
      <c r="I531" s="119"/>
      <c r="J531" s="119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4"/>
    </row>
    <row r="532" ht="14.25" customHeight="1">
      <c r="F532" s="119"/>
      <c r="G532" s="119"/>
      <c r="H532" s="120"/>
      <c r="I532" s="119"/>
      <c r="J532" s="119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4"/>
    </row>
    <row r="533" ht="14.25" customHeight="1">
      <c r="F533" s="119"/>
      <c r="G533" s="119"/>
      <c r="H533" s="120"/>
      <c r="I533" s="119"/>
      <c r="J533" s="119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4"/>
    </row>
    <row r="534" ht="14.25" customHeight="1">
      <c r="F534" s="119"/>
      <c r="G534" s="119"/>
      <c r="H534" s="120"/>
      <c r="I534" s="119"/>
      <c r="J534" s="119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4"/>
    </row>
    <row r="535" ht="14.25" customHeight="1">
      <c r="F535" s="119"/>
      <c r="G535" s="119"/>
      <c r="H535" s="120"/>
      <c r="I535" s="119"/>
      <c r="J535" s="119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4"/>
    </row>
    <row r="536" ht="14.25" customHeight="1">
      <c r="F536" s="119"/>
      <c r="G536" s="119"/>
      <c r="H536" s="120"/>
      <c r="I536" s="119"/>
      <c r="J536" s="119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4"/>
    </row>
    <row r="537" ht="14.25" customHeight="1">
      <c r="F537" s="119"/>
      <c r="G537" s="119"/>
      <c r="H537" s="120"/>
      <c r="I537" s="119"/>
      <c r="J537" s="119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4"/>
    </row>
    <row r="538" ht="14.25" customHeight="1">
      <c r="F538" s="119"/>
      <c r="G538" s="119"/>
      <c r="H538" s="120"/>
      <c r="I538" s="119"/>
      <c r="J538" s="119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4"/>
    </row>
    <row r="539" ht="14.25" customHeight="1">
      <c r="F539" s="119"/>
      <c r="G539" s="119"/>
      <c r="H539" s="120"/>
      <c r="I539" s="119"/>
      <c r="J539" s="119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4"/>
    </row>
    <row r="540" ht="14.25" customHeight="1">
      <c r="F540" s="119"/>
      <c r="G540" s="119"/>
      <c r="H540" s="120"/>
      <c r="I540" s="119"/>
      <c r="J540" s="119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4"/>
    </row>
    <row r="541" ht="14.25" customHeight="1">
      <c r="F541" s="119"/>
      <c r="G541" s="119"/>
      <c r="H541" s="120"/>
      <c r="I541" s="119"/>
      <c r="J541" s="119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4"/>
    </row>
    <row r="542" ht="14.25" customHeight="1">
      <c r="F542" s="119"/>
      <c r="G542" s="119"/>
      <c r="H542" s="120"/>
      <c r="I542" s="119"/>
      <c r="J542" s="119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4"/>
    </row>
    <row r="543" ht="14.25" customHeight="1">
      <c r="F543" s="119"/>
      <c r="G543" s="119"/>
      <c r="H543" s="120"/>
      <c r="I543" s="119"/>
      <c r="J543" s="119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4"/>
    </row>
    <row r="544" ht="14.25" customHeight="1">
      <c r="F544" s="119"/>
      <c r="G544" s="119"/>
      <c r="H544" s="120"/>
      <c r="I544" s="119"/>
      <c r="J544" s="119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4"/>
    </row>
    <row r="545" ht="14.25" customHeight="1">
      <c r="F545" s="119"/>
      <c r="G545" s="119"/>
      <c r="H545" s="120"/>
      <c r="I545" s="119"/>
      <c r="J545" s="119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4"/>
    </row>
    <row r="546" ht="14.25" customHeight="1">
      <c r="F546" s="119"/>
      <c r="G546" s="119"/>
      <c r="H546" s="120"/>
      <c r="I546" s="119"/>
      <c r="J546" s="119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4"/>
    </row>
    <row r="547" ht="14.25" customHeight="1">
      <c r="F547" s="119"/>
      <c r="G547" s="119"/>
      <c r="H547" s="120"/>
      <c r="I547" s="119"/>
      <c r="J547" s="119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4"/>
    </row>
    <row r="548" ht="14.25" customHeight="1">
      <c r="F548" s="119"/>
      <c r="G548" s="119"/>
      <c r="H548" s="120"/>
      <c r="I548" s="119"/>
      <c r="J548" s="119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4"/>
    </row>
    <row r="549" ht="14.25" customHeight="1">
      <c r="F549" s="119"/>
      <c r="G549" s="119"/>
      <c r="H549" s="120"/>
      <c r="I549" s="119"/>
      <c r="J549" s="119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4"/>
    </row>
    <row r="550" ht="14.25" customHeight="1">
      <c r="F550" s="119"/>
      <c r="G550" s="119"/>
      <c r="H550" s="120"/>
      <c r="I550" s="119"/>
      <c r="J550" s="119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4"/>
    </row>
    <row r="551" ht="14.25" customHeight="1">
      <c r="F551" s="119"/>
      <c r="G551" s="119"/>
      <c r="H551" s="120"/>
      <c r="I551" s="119"/>
      <c r="J551" s="119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4"/>
    </row>
    <row r="552" ht="14.25" customHeight="1">
      <c r="F552" s="119"/>
      <c r="G552" s="119"/>
      <c r="H552" s="120"/>
      <c r="I552" s="119"/>
      <c r="J552" s="119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4"/>
    </row>
    <row r="553" ht="14.25" customHeight="1">
      <c r="F553" s="119"/>
      <c r="G553" s="119"/>
      <c r="H553" s="120"/>
      <c r="I553" s="119"/>
      <c r="J553" s="119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4"/>
    </row>
    <row r="554" ht="14.25" customHeight="1">
      <c r="F554" s="119"/>
      <c r="G554" s="119"/>
      <c r="H554" s="120"/>
      <c r="I554" s="119"/>
      <c r="J554" s="119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4"/>
    </row>
    <row r="555" ht="14.25" customHeight="1">
      <c r="F555" s="119"/>
      <c r="G555" s="119"/>
      <c r="H555" s="120"/>
      <c r="I555" s="119"/>
      <c r="J555" s="119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4"/>
    </row>
    <row r="556" ht="14.25" customHeight="1">
      <c r="F556" s="119"/>
      <c r="G556" s="119"/>
      <c r="H556" s="120"/>
      <c r="I556" s="119"/>
      <c r="J556" s="119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4"/>
    </row>
    <row r="557" ht="14.25" customHeight="1">
      <c r="F557" s="119"/>
      <c r="G557" s="119"/>
      <c r="H557" s="120"/>
      <c r="I557" s="119"/>
      <c r="J557" s="119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4"/>
    </row>
    <row r="558" ht="14.25" customHeight="1">
      <c r="F558" s="119"/>
      <c r="G558" s="119"/>
      <c r="H558" s="120"/>
      <c r="I558" s="119"/>
      <c r="J558" s="119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4"/>
    </row>
    <row r="559" ht="14.25" customHeight="1">
      <c r="F559" s="119"/>
      <c r="G559" s="119"/>
      <c r="H559" s="120"/>
      <c r="I559" s="119"/>
      <c r="J559" s="119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4"/>
    </row>
    <row r="560" ht="14.25" customHeight="1">
      <c r="F560" s="119"/>
      <c r="G560" s="119"/>
      <c r="H560" s="120"/>
      <c r="I560" s="119"/>
      <c r="J560" s="119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4"/>
    </row>
    <row r="561" ht="14.25" customHeight="1">
      <c r="F561" s="119"/>
      <c r="G561" s="119"/>
      <c r="H561" s="120"/>
      <c r="I561" s="119"/>
      <c r="J561" s="119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4"/>
    </row>
    <row r="562" ht="14.25" customHeight="1">
      <c r="F562" s="119"/>
      <c r="G562" s="119"/>
      <c r="H562" s="120"/>
      <c r="I562" s="119"/>
      <c r="J562" s="119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4"/>
    </row>
    <row r="563" ht="14.25" customHeight="1">
      <c r="F563" s="119"/>
      <c r="G563" s="119"/>
      <c r="H563" s="120"/>
      <c r="I563" s="119"/>
      <c r="J563" s="119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4"/>
    </row>
    <row r="564" ht="14.25" customHeight="1">
      <c r="F564" s="119"/>
      <c r="G564" s="119"/>
      <c r="H564" s="120"/>
      <c r="I564" s="119"/>
      <c r="J564" s="119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4"/>
    </row>
    <row r="565" ht="14.25" customHeight="1">
      <c r="F565" s="119"/>
      <c r="G565" s="119"/>
      <c r="H565" s="120"/>
      <c r="I565" s="119"/>
      <c r="J565" s="119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4"/>
    </row>
    <row r="566" ht="14.25" customHeight="1">
      <c r="F566" s="119"/>
      <c r="G566" s="119"/>
      <c r="H566" s="120"/>
      <c r="I566" s="119"/>
      <c r="J566" s="119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4"/>
    </row>
    <row r="567" ht="14.25" customHeight="1">
      <c r="F567" s="119"/>
      <c r="G567" s="119"/>
      <c r="H567" s="120"/>
      <c r="I567" s="119"/>
      <c r="J567" s="119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4"/>
    </row>
    <row r="568" ht="14.25" customHeight="1">
      <c r="F568" s="119"/>
      <c r="G568" s="119"/>
      <c r="H568" s="120"/>
      <c r="I568" s="119"/>
      <c r="J568" s="119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4"/>
    </row>
    <row r="569" ht="14.25" customHeight="1">
      <c r="F569" s="119"/>
      <c r="G569" s="119"/>
      <c r="H569" s="120"/>
      <c r="I569" s="119"/>
      <c r="J569" s="119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4"/>
    </row>
    <row r="570" ht="14.25" customHeight="1">
      <c r="F570" s="119"/>
      <c r="G570" s="119"/>
      <c r="H570" s="120"/>
      <c r="I570" s="119"/>
      <c r="J570" s="119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4"/>
    </row>
    <row r="571" ht="14.25" customHeight="1">
      <c r="F571" s="119"/>
      <c r="G571" s="119"/>
      <c r="H571" s="120"/>
      <c r="I571" s="119"/>
      <c r="J571" s="119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4"/>
    </row>
    <row r="572" ht="14.25" customHeight="1">
      <c r="F572" s="119"/>
      <c r="G572" s="119"/>
      <c r="H572" s="120"/>
      <c r="I572" s="119"/>
      <c r="J572" s="119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4"/>
    </row>
    <row r="573" ht="14.25" customHeight="1">
      <c r="F573" s="119"/>
      <c r="G573" s="119"/>
      <c r="H573" s="120"/>
      <c r="I573" s="119"/>
      <c r="J573" s="119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4"/>
    </row>
    <row r="574" ht="14.25" customHeight="1">
      <c r="F574" s="119"/>
      <c r="G574" s="119"/>
      <c r="H574" s="120"/>
      <c r="I574" s="119"/>
      <c r="J574" s="119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4"/>
    </row>
    <row r="575" ht="14.25" customHeight="1">
      <c r="F575" s="119"/>
      <c r="G575" s="119"/>
      <c r="H575" s="120"/>
      <c r="I575" s="119"/>
      <c r="J575" s="119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4"/>
    </row>
    <row r="576" ht="14.25" customHeight="1">
      <c r="F576" s="119"/>
      <c r="G576" s="119"/>
      <c r="H576" s="120"/>
      <c r="I576" s="119"/>
      <c r="J576" s="119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4"/>
    </row>
    <row r="577" ht="14.25" customHeight="1">
      <c r="F577" s="119"/>
      <c r="G577" s="119"/>
      <c r="H577" s="120"/>
      <c r="I577" s="119"/>
      <c r="J577" s="119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4"/>
    </row>
    <row r="578" ht="14.25" customHeight="1">
      <c r="F578" s="119"/>
      <c r="G578" s="119"/>
      <c r="H578" s="120"/>
      <c r="I578" s="119"/>
      <c r="J578" s="119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4"/>
    </row>
    <row r="579" ht="14.25" customHeight="1">
      <c r="F579" s="119"/>
      <c r="G579" s="119"/>
      <c r="H579" s="120"/>
      <c r="I579" s="119"/>
      <c r="J579" s="119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4"/>
    </row>
    <row r="580" ht="14.25" customHeight="1">
      <c r="F580" s="119"/>
      <c r="G580" s="119"/>
      <c r="H580" s="120"/>
      <c r="I580" s="119"/>
      <c r="J580" s="119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4"/>
    </row>
    <row r="581" ht="14.25" customHeight="1">
      <c r="F581" s="119"/>
      <c r="G581" s="119"/>
      <c r="H581" s="120"/>
      <c r="I581" s="119"/>
      <c r="J581" s="119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4"/>
    </row>
    <row r="582" ht="14.25" customHeight="1">
      <c r="F582" s="119"/>
      <c r="G582" s="119"/>
      <c r="H582" s="120"/>
      <c r="I582" s="119"/>
      <c r="J582" s="119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4"/>
    </row>
    <row r="583" ht="14.25" customHeight="1">
      <c r="F583" s="119"/>
      <c r="G583" s="119"/>
      <c r="H583" s="120"/>
      <c r="I583" s="119"/>
      <c r="J583" s="119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4"/>
    </row>
    <row r="584" ht="14.25" customHeight="1">
      <c r="F584" s="119"/>
      <c r="G584" s="119"/>
      <c r="H584" s="120"/>
      <c r="I584" s="119"/>
      <c r="J584" s="119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4"/>
    </row>
    <row r="585" ht="14.25" customHeight="1">
      <c r="F585" s="119"/>
      <c r="G585" s="119"/>
      <c r="H585" s="120"/>
      <c r="I585" s="119"/>
      <c r="J585" s="119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4"/>
    </row>
    <row r="586" ht="14.25" customHeight="1">
      <c r="F586" s="119"/>
      <c r="G586" s="119"/>
      <c r="H586" s="120"/>
      <c r="I586" s="119"/>
      <c r="J586" s="119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4"/>
    </row>
    <row r="587" ht="14.25" customHeight="1">
      <c r="F587" s="119"/>
      <c r="G587" s="119"/>
      <c r="H587" s="120"/>
      <c r="I587" s="119"/>
      <c r="J587" s="119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4"/>
    </row>
    <row r="588" ht="14.25" customHeight="1">
      <c r="F588" s="119"/>
      <c r="G588" s="119"/>
      <c r="H588" s="120"/>
      <c r="I588" s="119"/>
      <c r="J588" s="119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4"/>
    </row>
    <row r="589" ht="14.25" customHeight="1">
      <c r="F589" s="119"/>
      <c r="G589" s="119"/>
      <c r="H589" s="120"/>
      <c r="I589" s="119"/>
      <c r="J589" s="119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4"/>
    </row>
    <row r="590" ht="14.25" customHeight="1">
      <c r="F590" s="119"/>
      <c r="G590" s="119"/>
      <c r="H590" s="120"/>
      <c r="I590" s="119"/>
      <c r="J590" s="119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4"/>
    </row>
    <row r="591" ht="14.25" customHeight="1">
      <c r="F591" s="119"/>
      <c r="G591" s="119"/>
      <c r="H591" s="120"/>
      <c r="I591" s="119"/>
      <c r="J591" s="119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4"/>
    </row>
    <row r="592" ht="14.25" customHeight="1">
      <c r="F592" s="119"/>
      <c r="G592" s="119"/>
      <c r="H592" s="120"/>
      <c r="I592" s="119"/>
      <c r="J592" s="119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4"/>
    </row>
    <row r="593" ht="14.25" customHeight="1">
      <c r="F593" s="119"/>
      <c r="G593" s="119"/>
      <c r="H593" s="120"/>
      <c r="I593" s="119"/>
      <c r="J593" s="119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4"/>
    </row>
    <row r="594" ht="14.25" customHeight="1">
      <c r="F594" s="119"/>
      <c r="G594" s="119"/>
      <c r="H594" s="120"/>
      <c r="I594" s="119"/>
      <c r="J594" s="119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4"/>
    </row>
    <row r="595" ht="14.25" customHeight="1">
      <c r="F595" s="119"/>
      <c r="G595" s="119"/>
      <c r="H595" s="120"/>
      <c r="I595" s="119"/>
      <c r="J595" s="119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4"/>
    </row>
    <row r="596" ht="14.25" customHeight="1">
      <c r="F596" s="119"/>
      <c r="G596" s="119"/>
      <c r="H596" s="120"/>
      <c r="I596" s="119"/>
      <c r="J596" s="119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4"/>
    </row>
    <row r="597" ht="14.25" customHeight="1">
      <c r="F597" s="119"/>
      <c r="G597" s="119"/>
      <c r="H597" s="120"/>
      <c r="I597" s="119"/>
      <c r="J597" s="119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4"/>
    </row>
    <row r="598" ht="14.25" customHeight="1">
      <c r="F598" s="119"/>
      <c r="G598" s="119"/>
      <c r="H598" s="120"/>
      <c r="I598" s="119"/>
      <c r="J598" s="119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4"/>
    </row>
    <row r="599" ht="14.25" customHeight="1">
      <c r="F599" s="119"/>
      <c r="G599" s="119"/>
      <c r="H599" s="120"/>
      <c r="I599" s="119"/>
      <c r="J599" s="119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4"/>
    </row>
    <row r="600" ht="14.25" customHeight="1">
      <c r="F600" s="119"/>
      <c r="G600" s="119"/>
      <c r="H600" s="120"/>
      <c r="I600" s="119"/>
      <c r="J600" s="119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4"/>
    </row>
    <row r="601" ht="14.25" customHeight="1">
      <c r="F601" s="119"/>
      <c r="G601" s="119"/>
      <c r="H601" s="120"/>
      <c r="I601" s="119"/>
      <c r="J601" s="119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4"/>
    </row>
    <row r="602" ht="14.25" customHeight="1">
      <c r="F602" s="119"/>
      <c r="G602" s="119"/>
      <c r="H602" s="120"/>
      <c r="I602" s="119"/>
      <c r="J602" s="119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4"/>
    </row>
    <row r="603" ht="14.25" customHeight="1">
      <c r="F603" s="119"/>
      <c r="G603" s="119"/>
      <c r="H603" s="120"/>
      <c r="I603" s="119"/>
      <c r="J603" s="119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4"/>
    </row>
    <row r="604" ht="14.25" customHeight="1">
      <c r="F604" s="119"/>
      <c r="G604" s="119"/>
      <c r="H604" s="120"/>
      <c r="I604" s="119"/>
      <c r="J604" s="119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4"/>
    </row>
    <row r="605" ht="14.25" customHeight="1">
      <c r="F605" s="119"/>
      <c r="G605" s="119"/>
      <c r="H605" s="120"/>
      <c r="I605" s="119"/>
      <c r="J605" s="119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4"/>
    </row>
    <row r="606" ht="14.25" customHeight="1">
      <c r="F606" s="119"/>
      <c r="G606" s="119"/>
      <c r="H606" s="120"/>
      <c r="I606" s="119"/>
      <c r="J606" s="119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4"/>
    </row>
    <row r="607" ht="14.25" customHeight="1">
      <c r="F607" s="119"/>
      <c r="G607" s="119"/>
      <c r="H607" s="120"/>
      <c r="I607" s="119"/>
      <c r="J607" s="119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4"/>
    </row>
    <row r="608" ht="14.25" customHeight="1">
      <c r="F608" s="119"/>
      <c r="G608" s="119"/>
      <c r="H608" s="120"/>
      <c r="I608" s="119"/>
      <c r="J608" s="119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4"/>
    </row>
    <row r="609" ht="14.25" customHeight="1">
      <c r="F609" s="119"/>
      <c r="G609" s="119"/>
      <c r="H609" s="120"/>
      <c r="I609" s="119"/>
      <c r="J609" s="119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4"/>
    </row>
    <row r="610" ht="14.25" customHeight="1">
      <c r="F610" s="119"/>
      <c r="G610" s="119"/>
      <c r="H610" s="120"/>
      <c r="I610" s="119"/>
      <c r="J610" s="119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4"/>
    </row>
    <row r="611" ht="14.25" customHeight="1">
      <c r="F611" s="119"/>
      <c r="G611" s="119"/>
      <c r="H611" s="120"/>
      <c r="I611" s="119"/>
      <c r="J611" s="119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4"/>
    </row>
    <row r="612" ht="14.25" customHeight="1">
      <c r="F612" s="119"/>
      <c r="G612" s="119"/>
      <c r="H612" s="120"/>
      <c r="I612" s="119"/>
      <c r="J612" s="119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4"/>
    </row>
    <row r="613" ht="14.25" customHeight="1">
      <c r="F613" s="119"/>
      <c r="G613" s="119"/>
      <c r="H613" s="120"/>
      <c r="I613" s="119"/>
      <c r="J613" s="119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4"/>
    </row>
    <row r="614" ht="14.25" customHeight="1">
      <c r="F614" s="119"/>
      <c r="G614" s="119"/>
      <c r="H614" s="120"/>
      <c r="I614" s="119"/>
      <c r="J614" s="119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4"/>
    </row>
    <row r="615" ht="14.25" customHeight="1">
      <c r="F615" s="119"/>
      <c r="G615" s="119"/>
      <c r="H615" s="120"/>
      <c r="I615" s="119"/>
      <c r="J615" s="119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4"/>
    </row>
    <row r="616" ht="14.25" customHeight="1">
      <c r="F616" s="119"/>
      <c r="G616" s="119"/>
      <c r="H616" s="120"/>
      <c r="I616" s="119"/>
      <c r="J616" s="119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4"/>
    </row>
    <row r="617" ht="14.25" customHeight="1">
      <c r="F617" s="119"/>
      <c r="G617" s="119"/>
      <c r="H617" s="120"/>
      <c r="I617" s="119"/>
      <c r="J617" s="119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4"/>
    </row>
    <row r="618" ht="14.25" customHeight="1">
      <c r="F618" s="119"/>
      <c r="G618" s="119"/>
      <c r="H618" s="120"/>
      <c r="I618" s="119"/>
      <c r="J618" s="119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4"/>
    </row>
    <row r="619" ht="14.25" customHeight="1">
      <c r="F619" s="119"/>
      <c r="G619" s="119"/>
      <c r="H619" s="120"/>
      <c r="I619" s="119"/>
      <c r="J619" s="119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4"/>
    </row>
    <row r="620" ht="14.25" customHeight="1">
      <c r="F620" s="119"/>
      <c r="G620" s="119"/>
      <c r="H620" s="120"/>
      <c r="I620" s="119"/>
      <c r="J620" s="119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4"/>
    </row>
    <row r="621" ht="14.25" customHeight="1">
      <c r="F621" s="119"/>
      <c r="G621" s="119"/>
      <c r="H621" s="120"/>
      <c r="I621" s="119"/>
      <c r="J621" s="119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4"/>
    </row>
    <row r="622" ht="14.25" customHeight="1">
      <c r="F622" s="119"/>
      <c r="G622" s="119"/>
      <c r="H622" s="120"/>
      <c r="I622" s="119"/>
      <c r="J622" s="119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4"/>
    </row>
    <row r="623" ht="14.25" customHeight="1">
      <c r="F623" s="119"/>
      <c r="G623" s="119"/>
      <c r="H623" s="120"/>
      <c r="I623" s="119"/>
      <c r="J623" s="119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4"/>
    </row>
    <row r="624" ht="14.25" customHeight="1">
      <c r="F624" s="119"/>
      <c r="G624" s="119"/>
      <c r="H624" s="120"/>
      <c r="I624" s="119"/>
      <c r="J624" s="119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4"/>
    </row>
    <row r="625" ht="14.25" customHeight="1">
      <c r="F625" s="119"/>
      <c r="G625" s="119"/>
      <c r="H625" s="120"/>
      <c r="I625" s="119"/>
      <c r="J625" s="119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4"/>
    </row>
    <row r="626" ht="14.25" customHeight="1">
      <c r="F626" s="119"/>
      <c r="G626" s="119"/>
      <c r="H626" s="120"/>
      <c r="I626" s="119"/>
      <c r="J626" s="119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4"/>
    </row>
    <row r="627" ht="14.25" customHeight="1">
      <c r="F627" s="119"/>
      <c r="G627" s="119"/>
      <c r="H627" s="120"/>
      <c r="I627" s="119"/>
      <c r="J627" s="119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4"/>
    </row>
    <row r="628" ht="14.25" customHeight="1">
      <c r="F628" s="119"/>
      <c r="G628" s="119"/>
      <c r="H628" s="120"/>
      <c r="I628" s="119"/>
      <c r="J628" s="119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4"/>
    </row>
    <row r="629" ht="14.25" customHeight="1">
      <c r="F629" s="119"/>
      <c r="G629" s="119"/>
      <c r="H629" s="120"/>
      <c r="I629" s="119"/>
      <c r="J629" s="119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4"/>
    </row>
    <row r="630" ht="14.25" customHeight="1">
      <c r="F630" s="119"/>
      <c r="G630" s="119"/>
      <c r="H630" s="120"/>
      <c r="I630" s="119"/>
      <c r="J630" s="119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4"/>
    </row>
    <row r="631" ht="14.25" customHeight="1">
      <c r="F631" s="119"/>
      <c r="G631" s="119"/>
      <c r="H631" s="120"/>
      <c r="I631" s="119"/>
      <c r="J631" s="119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4"/>
    </row>
    <row r="632" ht="14.25" customHeight="1">
      <c r="F632" s="119"/>
      <c r="G632" s="119"/>
      <c r="H632" s="120"/>
      <c r="I632" s="119"/>
      <c r="J632" s="119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4"/>
    </row>
    <row r="633" ht="14.25" customHeight="1">
      <c r="F633" s="119"/>
      <c r="G633" s="119"/>
      <c r="H633" s="120"/>
      <c r="I633" s="119"/>
      <c r="J633" s="119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4"/>
    </row>
    <row r="634" ht="14.25" customHeight="1">
      <c r="F634" s="119"/>
      <c r="G634" s="119"/>
      <c r="H634" s="120"/>
      <c r="I634" s="119"/>
      <c r="J634" s="119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4"/>
    </row>
    <row r="635" ht="14.25" customHeight="1">
      <c r="F635" s="119"/>
      <c r="G635" s="119"/>
      <c r="H635" s="120"/>
      <c r="I635" s="119"/>
      <c r="J635" s="119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4"/>
    </row>
    <row r="636" ht="14.25" customHeight="1">
      <c r="F636" s="119"/>
      <c r="G636" s="119"/>
      <c r="H636" s="120"/>
      <c r="I636" s="119"/>
      <c r="J636" s="119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4"/>
    </row>
    <row r="637" ht="14.25" customHeight="1">
      <c r="F637" s="119"/>
      <c r="G637" s="119"/>
      <c r="H637" s="120"/>
      <c r="I637" s="119"/>
      <c r="J637" s="119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4"/>
    </row>
    <row r="638" ht="14.25" customHeight="1">
      <c r="F638" s="119"/>
      <c r="G638" s="119"/>
      <c r="H638" s="120"/>
      <c r="I638" s="119"/>
      <c r="J638" s="119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4"/>
    </row>
    <row r="639" ht="14.25" customHeight="1">
      <c r="F639" s="119"/>
      <c r="G639" s="119"/>
      <c r="H639" s="120"/>
      <c r="I639" s="119"/>
      <c r="J639" s="119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4"/>
    </row>
    <row r="640" ht="14.25" customHeight="1">
      <c r="F640" s="119"/>
      <c r="G640" s="119"/>
      <c r="H640" s="120"/>
      <c r="I640" s="119"/>
      <c r="J640" s="119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4"/>
    </row>
    <row r="641" ht="14.25" customHeight="1">
      <c r="F641" s="119"/>
      <c r="G641" s="119"/>
      <c r="H641" s="120"/>
      <c r="I641" s="119"/>
      <c r="J641" s="119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4"/>
    </row>
    <row r="642" ht="14.25" customHeight="1">
      <c r="F642" s="119"/>
      <c r="G642" s="119"/>
      <c r="H642" s="120"/>
      <c r="I642" s="119"/>
      <c r="J642" s="119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4"/>
    </row>
    <row r="643" ht="14.25" customHeight="1">
      <c r="F643" s="119"/>
      <c r="G643" s="119"/>
      <c r="H643" s="120"/>
      <c r="I643" s="119"/>
      <c r="J643" s="119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4"/>
    </row>
    <row r="644" ht="14.25" customHeight="1">
      <c r="F644" s="119"/>
      <c r="G644" s="119"/>
      <c r="H644" s="120"/>
      <c r="I644" s="119"/>
      <c r="J644" s="119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4"/>
    </row>
    <row r="645" ht="14.25" customHeight="1">
      <c r="F645" s="119"/>
      <c r="G645" s="119"/>
      <c r="H645" s="120"/>
      <c r="I645" s="119"/>
      <c r="J645" s="119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4"/>
    </row>
    <row r="646" ht="14.25" customHeight="1">
      <c r="F646" s="119"/>
      <c r="G646" s="119"/>
      <c r="H646" s="120"/>
      <c r="I646" s="119"/>
      <c r="J646" s="119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4"/>
    </row>
    <row r="647" ht="14.25" customHeight="1">
      <c r="F647" s="119"/>
      <c r="G647" s="119"/>
      <c r="H647" s="120"/>
      <c r="I647" s="119"/>
      <c r="J647" s="119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4"/>
    </row>
    <row r="648" ht="14.25" customHeight="1">
      <c r="F648" s="119"/>
      <c r="G648" s="119"/>
      <c r="H648" s="120"/>
      <c r="I648" s="119"/>
      <c r="J648" s="119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4"/>
    </row>
    <row r="649" ht="14.25" customHeight="1">
      <c r="F649" s="119"/>
      <c r="G649" s="119"/>
      <c r="H649" s="120"/>
      <c r="I649" s="119"/>
      <c r="J649" s="119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4"/>
    </row>
    <row r="650" ht="14.25" customHeight="1">
      <c r="F650" s="119"/>
      <c r="G650" s="119"/>
      <c r="H650" s="120"/>
      <c r="I650" s="119"/>
      <c r="J650" s="119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4"/>
    </row>
    <row r="651" ht="14.25" customHeight="1">
      <c r="F651" s="119"/>
      <c r="G651" s="119"/>
      <c r="H651" s="120"/>
      <c r="I651" s="119"/>
      <c r="J651" s="119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4"/>
    </row>
    <row r="652" ht="14.25" customHeight="1">
      <c r="F652" s="119"/>
      <c r="G652" s="119"/>
      <c r="H652" s="120"/>
      <c r="I652" s="119"/>
      <c r="J652" s="119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4"/>
    </row>
    <row r="653" ht="14.25" customHeight="1">
      <c r="F653" s="119"/>
      <c r="G653" s="119"/>
      <c r="H653" s="120"/>
      <c r="I653" s="119"/>
      <c r="J653" s="119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4"/>
    </row>
    <row r="654" ht="14.25" customHeight="1">
      <c r="F654" s="119"/>
      <c r="G654" s="119"/>
      <c r="H654" s="120"/>
      <c r="I654" s="119"/>
      <c r="J654" s="119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4"/>
    </row>
    <row r="655" ht="14.25" customHeight="1">
      <c r="F655" s="119"/>
      <c r="G655" s="119"/>
      <c r="H655" s="120"/>
      <c r="I655" s="119"/>
      <c r="J655" s="119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4"/>
    </row>
    <row r="656" ht="14.25" customHeight="1">
      <c r="F656" s="119"/>
      <c r="G656" s="119"/>
      <c r="H656" s="120"/>
      <c r="I656" s="119"/>
      <c r="J656" s="119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4"/>
    </row>
    <row r="657" ht="14.25" customHeight="1">
      <c r="F657" s="119"/>
      <c r="G657" s="119"/>
      <c r="H657" s="120"/>
      <c r="I657" s="119"/>
      <c r="J657" s="119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4"/>
    </row>
    <row r="658" ht="14.25" customHeight="1">
      <c r="F658" s="119"/>
      <c r="G658" s="119"/>
      <c r="H658" s="120"/>
      <c r="I658" s="119"/>
      <c r="J658" s="119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4"/>
    </row>
    <row r="659" ht="14.25" customHeight="1">
      <c r="F659" s="119"/>
      <c r="G659" s="119"/>
      <c r="H659" s="120"/>
      <c r="I659" s="119"/>
      <c r="J659" s="119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4"/>
    </row>
    <row r="660" ht="14.25" customHeight="1">
      <c r="F660" s="119"/>
      <c r="G660" s="119"/>
      <c r="H660" s="120"/>
      <c r="I660" s="119"/>
      <c r="J660" s="119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4"/>
    </row>
    <row r="661" ht="14.25" customHeight="1">
      <c r="F661" s="119"/>
      <c r="G661" s="119"/>
      <c r="H661" s="120"/>
      <c r="I661" s="119"/>
      <c r="J661" s="119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4"/>
    </row>
    <row r="662" ht="14.25" customHeight="1">
      <c r="F662" s="119"/>
      <c r="G662" s="119"/>
      <c r="H662" s="120"/>
      <c r="I662" s="119"/>
      <c r="J662" s="119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4"/>
    </row>
    <row r="663" ht="14.25" customHeight="1">
      <c r="F663" s="119"/>
      <c r="G663" s="119"/>
      <c r="H663" s="120"/>
      <c r="I663" s="119"/>
      <c r="J663" s="119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4"/>
    </row>
    <row r="664" ht="14.25" customHeight="1">
      <c r="F664" s="119"/>
      <c r="G664" s="119"/>
      <c r="H664" s="120"/>
      <c r="I664" s="119"/>
      <c r="J664" s="119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4"/>
    </row>
    <row r="665" ht="14.25" customHeight="1">
      <c r="F665" s="119"/>
      <c r="G665" s="119"/>
      <c r="H665" s="120"/>
      <c r="I665" s="119"/>
      <c r="J665" s="119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4"/>
    </row>
    <row r="666" ht="14.25" customHeight="1">
      <c r="F666" s="119"/>
      <c r="G666" s="119"/>
      <c r="H666" s="120"/>
      <c r="I666" s="119"/>
      <c r="J666" s="119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4"/>
    </row>
    <row r="667" ht="14.25" customHeight="1">
      <c r="F667" s="119"/>
      <c r="G667" s="119"/>
      <c r="H667" s="120"/>
      <c r="I667" s="119"/>
      <c r="J667" s="119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4"/>
    </row>
    <row r="668" ht="14.25" customHeight="1">
      <c r="F668" s="119"/>
      <c r="G668" s="119"/>
      <c r="H668" s="120"/>
      <c r="I668" s="119"/>
      <c r="J668" s="119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4"/>
    </row>
    <row r="669" ht="14.25" customHeight="1">
      <c r="F669" s="119"/>
      <c r="G669" s="119"/>
      <c r="H669" s="120"/>
      <c r="I669" s="119"/>
      <c r="J669" s="119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4"/>
    </row>
    <row r="670" ht="14.25" customHeight="1">
      <c r="F670" s="119"/>
      <c r="G670" s="119"/>
      <c r="H670" s="120"/>
      <c r="I670" s="119"/>
      <c r="J670" s="119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4"/>
    </row>
    <row r="671" ht="14.25" customHeight="1">
      <c r="F671" s="119"/>
      <c r="G671" s="119"/>
      <c r="H671" s="120"/>
      <c r="I671" s="119"/>
      <c r="J671" s="119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4"/>
    </row>
    <row r="672" ht="14.25" customHeight="1">
      <c r="F672" s="119"/>
      <c r="G672" s="119"/>
      <c r="H672" s="120"/>
      <c r="I672" s="119"/>
      <c r="J672" s="119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4"/>
    </row>
    <row r="673" ht="14.25" customHeight="1">
      <c r="F673" s="119"/>
      <c r="G673" s="119"/>
      <c r="H673" s="120"/>
      <c r="I673" s="119"/>
      <c r="J673" s="119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4"/>
    </row>
    <row r="674" ht="14.25" customHeight="1">
      <c r="F674" s="119"/>
      <c r="G674" s="119"/>
      <c r="H674" s="120"/>
      <c r="I674" s="119"/>
      <c r="J674" s="119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4"/>
    </row>
    <row r="675" ht="14.25" customHeight="1">
      <c r="F675" s="119"/>
      <c r="G675" s="119"/>
      <c r="H675" s="120"/>
      <c r="I675" s="119"/>
      <c r="J675" s="119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4"/>
    </row>
    <row r="676" ht="14.25" customHeight="1">
      <c r="F676" s="119"/>
      <c r="G676" s="119"/>
      <c r="H676" s="120"/>
      <c r="I676" s="119"/>
      <c r="J676" s="119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4"/>
    </row>
    <row r="677" ht="14.25" customHeight="1">
      <c r="F677" s="119"/>
      <c r="G677" s="119"/>
      <c r="H677" s="120"/>
      <c r="I677" s="119"/>
      <c r="J677" s="119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4"/>
    </row>
    <row r="678" ht="14.25" customHeight="1">
      <c r="F678" s="119"/>
      <c r="G678" s="119"/>
      <c r="H678" s="120"/>
      <c r="I678" s="119"/>
      <c r="J678" s="119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4"/>
    </row>
    <row r="679" ht="14.25" customHeight="1">
      <c r="F679" s="119"/>
      <c r="G679" s="119"/>
      <c r="H679" s="120"/>
      <c r="I679" s="119"/>
      <c r="J679" s="119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4"/>
    </row>
    <row r="680" ht="14.25" customHeight="1">
      <c r="F680" s="119"/>
      <c r="G680" s="119"/>
      <c r="H680" s="120"/>
      <c r="I680" s="119"/>
      <c r="J680" s="119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4"/>
    </row>
    <row r="681" ht="14.25" customHeight="1">
      <c r="F681" s="119"/>
      <c r="G681" s="119"/>
      <c r="H681" s="120"/>
      <c r="I681" s="119"/>
      <c r="J681" s="119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4"/>
    </row>
    <row r="682" ht="14.25" customHeight="1">
      <c r="F682" s="119"/>
      <c r="G682" s="119"/>
      <c r="H682" s="120"/>
      <c r="I682" s="119"/>
      <c r="J682" s="119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4"/>
    </row>
    <row r="683" ht="14.25" customHeight="1">
      <c r="F683" s="119"/>
      <c r="G683" s="119"/>
      <c r="H683" s="120"/>
      <c r="I683" s="119"/>
      <c r="J683" s="119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4"/>
    </row>
    <row r="684" ht="14.25" customHeight="1">
      <c r="F684" s="119"/>
      <c r="G684" s="119"/>
      <c r="H684" s="120"/>
      <c r="I684" s="119"/>
      <c r="J684" s="119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4"/>
    </row>
    <row r="685" ht="14.25" customHeight="1">
      <c r="F685" s="119"/>
      <c r="G685" s="119"/>
      <c r="H685" s="120"/>
      <c r="I685" s="119"/>
      <c r="J685" s="119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4"/>
    </row>
    <row r="686" ht="14.25" customHeight="1">
      <c r="F686" s="119"/>
      <c r="G686" s="119"/>
      <c r="H686" s="120"/>
      <c r="I686" s="119"/>
      <c r="J686" s="119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4"/>
    </row>
    <row r="687" ht="14.25" customHeight="1">
      <c r="F687" s="119"/>
      <c r="G687" s="119"/>
      <c r="H687" s="120"/>
      <c r="I687" s="119"/>
      <c r="J687" s="119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4"/>
    </row>
    <row r="688" ht="14.25" customHeight="1">
      <c r="F688" s="119"/>
      <c r="G688" s="119"/>
      <c r="H688" s="120"/>
      <c r="I688" s="119"/>
      <c r="J688" s="119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4"/>
    </row>
    <row r="689" ht="14.25" customHeight="1">
      <c r="F689" s="119"/>
      <c r="G689" s="119"/>
      <c r="H689" s="120"/>
      <c r="I689" s="119"/>
      <c r="J689" s="119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4"/>
    </row>
    <row r="690" ht="14.25" customHeight="1">
      <c r="F690" s="119"/>
      <c r="G690" s="119"/>
      <c r="H690" s="120"/>
      <c r="I690" s="119"/>
      <c r="J690" s="119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4"/>
    </row>
    <row r="691" ht="14.25" customHeight="1">
      <c r="F691" s="119"/>
      <c r="G691" s="119"/>
      <c r="H691" s="120"/>
      <c r="I691" s="119"/>
      <c r="J691" s="119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4"/>
    </row>
    <row r="692" ht="14.25" customHeight="1">
      <c r="F692" s="119"/>
      <c r="G692" s="119"/>
      <c r="H692" s="120"/>
      <c r="I692" s="119"/>
      <c r="J692" s="119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4"/>
    </row>
    <row r="693" ht="14.25" customHeight="1">
      <c r="F693" s="119"/>
      <c r="G693" s="119"/>
      <c r="H693" s="120"/>
      <c r="I693" s="119"/>
      <c r="J693" s="119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4"/>
    </row>
    <row r="694" ht="14.25" customHeight="1">
      <c r="F694" s="119"/>
      <c r="G694" s="119"/>
      <c r="H694" s="120"/>
      <c r="I694" s="119"/>
      <c r="J694" s="119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4"/>
    </row>
    <row r="695" ht="14.25" customHeight="1">
      <c r="F695" s="119"/>
      <c r="G695" s="119"/>
      <c r="H695" s="120"/>
      <c r="I695" s="119"/>
      <c r="J695" s="119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4"/>
    </row>
    <row r="696" ht="14.25" customHeight="1">
      <c r="F696" s="119"/>
      <c r="G696" s="119"/>
      <c r="H696" s="120"/>
      <c r="I696" s="119"/>
      <c r="J696" s="119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4"/>
    </row>
    <row r="697" ht="14.25" customHeight="1">
      <c r="F697" s="119"/>
      <c r="G697" s="119"/>
      <c r="H697" s="120"/>
      <c r="I697" s="119"/>
      <c r="J697" s="119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4"/>
    </row>
    <row r="698" ht="14.25" customHeight="1">
      <c r="F698" s="119"/>
      <c r="G698" s="119"/>
      <c r="H698" s="120"/>
      <c r="I698" s="119"/>
      <c r="J698" s="119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4"/>
    </row>
    <row r="699" ht="14.25" customHeight="1">
      <c r="F699" s="119"/>
      <c r="G699" s="119"/>
      <c r="H699" s="120"/>
      <c r="I699" s="119"/>
      <c r="J699" s="119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4"/>
    </row>
    <row r="700" ht="14.25" customHeight="1">
      <c r="F700" s="119"/>
      <c r="G700" s="119"/>
      <c r="H700" s="120"/>
      <c r="I700" s="119"/>
      <c r="J700" s="119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4"/>
    </row>
    <row r="701" ht="14.25" customHeight="1">
      <c r="F701" s="119"/>
      <c r="G701" s="119"/>
      <c r="H701" s="120"/>
      <c r="I701" s="119"/>
      <c r="J701" s="119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4"/>
    </row>
    <row r="702" ht="14.25" customHeight="1">
      <c r="F702" s="119"/>
      <c r="G702" s="119"/>
      <c r="H702" s="120"/>
      <c r="I702" s="119"/>
      <c r="J702" s="119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4"/>
    </row>
    <row r="703" ht="14.25" customHeight="1">
      <c r="F703" s="119"/>
      <c r="G703" s="119"/>
      <c r="H703" s="120"/>
      <c r="I703" s="119"/>
      <c r="J703" s="119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4"/>
    </row>
    <row r="704" ht="14.25" customHeight="1">
      <c r="F704" s="119"/>
      <c r="G704" s="119"/>
      <c r="H704" s="120"/>
      <c r="I704" s="119"/>
      <c r="J704" s="119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4"/>
    </row>
    <row r="705" ht="14.25" customHeight="1">
      <c r="F705" s="119"/>
      <c r="G705" s="119"/>
      <c r="H705" s="120"/>
      <c r="I705" s="119"/>
      <c r="J705" s="119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4"/>
    </row>
    <row r="706" ht="14.25" customHeight="1">
      <c r="F706" s="119"/>
      <c r="G706" s="119"/>
      <c r="H706" s="120"/>
      <c r="I706" s="119"/>
      <c r="J706" s="119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4"/>
    </row>
    <row r="707" ht="14.25" customHeight="1">
      <c r="F707" s="119"/>
      <c r="G707" s="119"/>
      <c r="H707" s="120"/>
      <c r="I707" s="119"/>
      <c r="J707" s="119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4"/>
    </row>
    <row r="708" ht="14.25" customHeight="1">
      <c r="F708" s="119"/>
      <c r="G708" s="119"/>
      <c r="H708" s="120"/>
      <c r="I708" s="119"/>
      <c r="J708" s="119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4"/>
    </row>
    <row r="709" ht="14.25" customHeight="1">
      <c r="F709" s="119"/>
      <c r="G709" s="119"/>
      <c r="H709" s="120"/>
      <c r="I709" s="119"/>
      <c r="J709" s="119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4"/>
    </row>
    <row r="710" ht="14.25" customHeight="1">
      <c r="F710" s="119"/>
      <c r="G710" s="119"/>
      <c r="H710" s="120"/>
      <c r="I710" s="119"/>
      <c r="J710" s="119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4"/>
    </row>
    <row r="711" ht="14.25" customHeight="1">
      <c r="F711" s="119"/>
      <c r="G711" s="119"/>
      <c r="H711" s="120"/>
      <c r="I711" s="119"/>
      <c r="J711" s="119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4"/>
    </row>
    <row r="712" ht="14.25" customHeight="1">
      <c r="F712" s="119"/>
      <c r="G712" s="119"/>
      <c r="H712" s="120"/>
      <c r="I712" s="119"/>
      <c r="J712" s="119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4"/>
    </row>
    <row r="713" ht="14.25" customHeight="1">
      <c r="F713" s="119"/>
      <c r="G713" s="119"/>
      <c r="H713" s="120"/>
      <c r="I713" s="119"/>
      <c r="J713" s="119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4"/>
    </row>
    <row r="714" ht="14.25" customHeight="1">
      <c r="F714" s="119"/>
      <c r="G714" s="119"/>
      <c r="H714" s="120"/>
      <c r="I714" s="119"/>
      <c r="J714" s="119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4"/>
    </row>
    <row r="715" ht="14.25" customHeight="1">
      <c r="F715" s="119"/>
      <c r="G715" s="119"/>
      <c r="H715" s="120"/>
      <c r="I715" s="119"/>
      <c r="J715" s="119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4"/>
    </row>
    <row r="716" ht="14.25" customHeight="1">
      <c r="F716" s="119"/>
      <c r="G716" s="119"/>
      <c r="H716" s="120"/>
      <c r="I716" s="119"/>
      <c r="J716" s="119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4"/>
    </row>
    <row r="717" ht="14.25" customHeight="1">
      <c r="F717" s="119"/>
      <c r="G717" s="119"/>
      <c r="H717" s="120"/>
      <c r="I717" s="119"/>
      <c r="J717" s="119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4"/>
    </row>
    <row r="718" ht="14.25" customHeight="1">
      <c r="F718" s="119"/>
      <c r="G718" s="119"/>
      <c r="H718" s="120"/>
      <c r="I718" s="119"/>
      <c r="J718" s="119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4"/>
    </row>
    <row r="719" ht="14.25" customHeight="1">
      <c r="F719" s="119"/>
      <c r="G719" s="119"/>
      <c r="H719" s="120"/>
      <c r="I719" s="119"/>
      <c r="J719" s="119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4"/>
    </row>
    <row r="720" ht="14.25" customHeight="1">
      <c r="F720" s="119"/>
      <c r="G720" s="119"/>
      <c r="H720" s="120"/>
      <c r="I720" s="119"/>
      <c r="J720" s="119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4"/>
    </row>
    <row r="721" ht="14.25" customHeight="1">
      <c r="F721" s="119"/>
      <c r="G721" s="119"/>
      <c r="H721" s="120"/>
      <c r="I721" s="119"/>
      <c r="J721" s="119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4"/>
    </row>
    <row r="722" ht="14.25" customHeight="1">
      <c r="F722" s="119"/>
      <c r="G722" s="119"/>
      <c r="H722" s="120"/>
      <c r="I722" s="119"/>
      <c r="J722" s="119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4"/>
    </row>
    <row r="723" ht="14.25" customHeight="1">
      <c r="F723" s="119"/>
      <c r="G723" s="119"/>
      <c r="H723" s="120"/>
      <c r="I723" s="119"/>
      <c r="J723" s="119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4"/>
    </row>
    <row r="724" ht="14.25" customHeight="1">
      <c r="F724" s="119"/>
      <c r="G724" s="119"/>
      <c r="H724" s="120"/>
      <c r="I724" s="119"/>
      <c r="J724" s="119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4"/>
    </row>
    <row r="725" ht="14.25" customHeight="1">
      <c r="F725" s="119"/>
      <c r="G725" s="119"/>
      <c r="H725" s="120"/>
      <c r="I725" s="119"/>
      <c r="J725" s="119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4"/>
    </row>
    <row r="726" ht="14.25" customHeight="1">
      <c r="F726" s="119"/>
      <c r="G726" s="119"/>
      <c r="H726" s="120"/>
      <c r="I726" s="119"/>
      <c r="J726" s="119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4"/>
    </row>
    <row r="727" ht="14.25" customHeight="1">
      <c r="F727" s="119"/>
      <c r="G727" s="119"/>
      <c r="H727" s="120"/>
      <c r="I727" s="119"/>
      <c r="J727" s="119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4"/>
    </row>
    <row r="728" ht="14.25" customHeight="1">
      <c r="F728" s="119"/>
      <c r="G728" s="119"/>
      <c r="H728" s="120"/>
      <c r="I728" s="119"/>
      <c r="J728" s="119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4"/>
    </row>
    <row r="729" ht="14.25" customHeight="1">
      <c r="F729" s="119"/>
      <c r="G729" s="119"/>
      <c r="H729" s="120"/>
      <c r="I729" s="119"/>
      <c r="J729" s="119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4"/>
    </row>
    <row r="730" ht="14.25" customHeight="1">
      <c r="F730" s="119"/>
      <c r="G730" s="119"/>
      <c r="H730" s="120"/>
      <c r="I730" s="119"/>
      <c r="J730" s="119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4"/>
    </row>
    <row r="731" ht="14.25" customHeight="1">
      <c r="F731" s="119"/>
      <c r="G731" s="119"/>
      <c r="H731" s="120"/>
      <c r="I731" s="119"/>
      <c r="J731" s="119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4"/>
    </row>
    <row r="732" ht="14.25" customHeight="1">
      <c r="F732" s="119"/>
      <c r="G732" s="119"/>
      <c r="H732" s="120"/>
      <c r="I732" s="119"/>
      <c r="J732" s="119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4"/>
    </row>
    <row r="733" ht="14.25" customHeight="1">
      <c r="F733" s="119"/>
      <c r="G733" s="119"/>
      <c r="H733" s="120"/>
      <c r="I733" s="119"/>
      <c r="J733" s="119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4"/>
    </row>
    <row r="734" ht="14.25" customHeight="1">
      <c r="F734" s="119"/>
      <c r="G734" s="119"/>
      <c r="H734" s="120"/>
      <c r="I734" s="119"/>
      <c r="J734" s="119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4"/>
    </row>
    <row r="735" ht="14.25" customHeight="1">
      <c r="F735" s="119"/>
      <c r="G735" s="119"/>
      <c r="H735" s="120"/>
      <c r="I735" s="119"/>
      <c r="J735" s="119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4"/>
    </row>
    <row r="736" ht="14.25" customHeight="1">
      <c r="F736" s="119"/>
      <c r="G736" s="119"/>
      <c r="H736" s="120"/>
      <c r="I736" s="119"/>
      <c r="J736" s="119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4"/>
    </row>
    <row r="737" ht="14.25" customHeight="1">
      <c r="F737" s="119"/>
      <c r="G737" s="119"/>
      <c r="H737" s="120"/>
      <c r="I737" s="119"/>
      <c r="J737" s="119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4"/>
    </row>
    <row r="738" ht="14.25" customHeight="1">
      <c r="F738" s="119"/>
      <c r="G738" s="119"/>
      <c r="H738" s="120"/>
      <c r="I738" s="119"/>
      <c r="J738" s="119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4"/>
    </row>
    <row r="739" ht="14.25" customHeight="1">
      <c r="F739" s="119"/>
      <c r="G739" s="119"/>
      <c r="H739" s="120"/>
      <c r="I739" s="119"/>
      <c r="J739" s="119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4"/>
    </row>
    <row r="740" ht="14.25" customHeight="1">
      <c r="F740" s="119"/>
      <c r="G740" s="119"/>
      <c r="H740" s="120"/>
      <c r="I740" s="119"/>
      <c r="J740" s="119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4"/>
    </row>
    <row r="741" ht="14.25" customHeight="1">
      <c r="F741" s="119"/>
      <c r="G741" s="119"/>
      <c r="H741" s="120"/>
      <c r="I741" s="119"/>
      <c r="J741" s="119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4"/>
    </row>
    <row r="742" ht="14.25" customHeight="1">
      <c r="F742" s="119"/>
      <c r="G742" s="119"/>
      <c r="H742" s="120"/>
      <c r="I742" s="119"/>
      <c r="J742" s="119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4"/>
    </row>
    <row r="743" ht="14.25" customHeight="1">
      <c r="F743" s="119"/>
      <c r="G743" s="119"/>
      <c r="H743" s="120"/>
      <c r="I743" s="119"/>
      <c r="J743" s="119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4"/>
    </row>
    <row r="744" ht="14.25" customHeight="1">
      <c r="F744" s="119"/>
      <c r="G744" s="119"/>
      <c r="H744" s="120"/>
      <c r="I744" s="119"/>
      <c r="J744" s="119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4"/>
    </row>
    <row r="745" ht="14.25" customHeight="1">
      <c r="F745" s="119"/>
      <c r="G745" s="119"/>
      <c r="H745" s="120"/>
      <c r="I745" s="119"/>
      <c r="J745" s="119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4"/>
    </row>
    <row r="746" ht="14.25" customHeight="1">
      <c r="F746" s="119"/>
      <c r="G746" s="119"/>
      <c r="H746" s="120"/>
      <c r="I746" s="119"/>
      <c r="J746" s="119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4"/>
    </row>
    <row r="747" ht="14.25" customHeight="1">
      <c r="F747" s="119"/>
      <c r="G747" s="119"/>
      <c r="H747" s="120"/>
      <c r="I747" s="119"/>
      <c r="J747" s="119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4"/>
    </row>
    <row r="748" ht="14.25" customHeight="1">
      <c r="F748" s="119"/>
      <c r="G748" s="119"/>
      <c r="H748" s="120"/>
      <c r="I748" s="119"/>
      <c r="J748" s="119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4"/>
    </row>
    <row r="749" ht="14.25" customHeight="1">
      <c r="F749" s="119"/>
      <c r="G749" s="119"/>
      <c r="H749" s="120"/>
      <c r="I749" s="119"/>
      <c r="J749" s="119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4"/>
    </row>
    <row r="750" ht="14.25" customHeight="1">
      <c r="F750" s="119"/>
      <c r="G750" s="119"/>
      <c r="H750" s="120"/>
      <c r="I750" s="119"/>
      <c r="J750" s="119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4"/>
    </row>
    <row r="751" ht="14.25" customHeight="1">
      <c r="F751" s="119"/>
      <c r="G751" s="119"/>
      <c r="H751" s="120"/>
      <c r="I751" s="119"/>
      <c r="J751" s="119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4"/>
    </row>
    <row r="752" ht="14.25" customHeight="1">
      <c r="F752" s="119"/>
      <c r="G752" s="119"/>
      <c r="H752" s="120"/>
      <c r="I752" s="119"/>
      <c r="J752" s="119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4"/>
    </row>
    <row r="753" ht="14.25" customHeight="1">
      <c r="F753" s="119"/>
      <c r="G753" s="119"/>
      <c r="H753" s="120"/>
      <c r="I753" s="119"/>
      <c r="J753" s="119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4"/>
    </row>
    <row r="754" ht="14.25" customHeight="1">
      <c r="F754" s="119"/>
      <c r="G754" s="119"/>
      <c r="H754" s="120"/>
      <c r="I754" s="119"/>
      <c r="J754" s="119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4"/>
    </row>
    <row r="755" ht="14.25" customHeight="1">
      <c r="F755" s="119"/>
      <c r="G755" s="119"/>
      <c r="H755" s="120"/>
      <c r="I755" s="119"/>
      <c r="J755" s="119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4"/>
    </row>
    <row r="756" ht="14.25" customHeight="1">
      <c r="F756" s="119"/>
      <c r="G756" s="119"/>
      <c r="H756" s="120"/>
      <c r="I756" s="119"/>
      <c r="J756" s="119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4"/>
    </row>
    <row r="757" ht="14.25" customHeight="1">
      <c r="F757" s="119"/>
      <c r="G757" s="119"/>
      <c r="H757" s="120"/>
      <c r="I757" s="119"/>
      <c r="J757" s="119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4"/>
    </row>
    <row r="758" ht="14.25" customHeight="1">
      <c r="F758" s="119"/>
      <c r="G758" s="119"/>
      <c r="H758" s="120"/>
      <c r="I758" s="119"/>
      <c r="J758" s="119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4"/>
    </row>
    <row r="759" ht="14.25" customHeight="1">
      <c r="F759" s="119"/>
      <c r="G759" s="119"/>
      <c r="H759" s="120"/>
      <c r="I759" s="119"/>
      <c r="J759" s="119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4"/>
    </row>
    <row r="760" ht="14.25" customHeight="1">
      <c r="F760" s="119"/>
      <c r="G760" s="119"/>
      <c r="H760" s="120"/>
      <c r="I760" s="119"/>
      <c r="J760" s="119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4"/>
    </row>
    <row r="761" ht="14.25" customHeight="1">
      <c r="F761" s="119"/>
      <c r="G761" s="119"/>
      <c r="H761" s="120"/>
      <c r="I761" s="119"/>
      <c r="J761" s="119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4"/>
    </row>
    <row r="762" ht="14.25" customHeight="1">
      <c r="F762" s="119"/>
      <c r="G762" s="119"/>
      <c r="H762" s="120"/>
      <c r="I762" s="119"/>
      <c r="J762" s="119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4"/>
    </row>
    <row r="763" ht="14.25" customHeight="1">
      <c r="F763" s="119"/>
      <c r="G763" s="119"/>
      <c r="H763" s="120"/>
      <c r="I763" s="119"/>
      <c r="J763" s="119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4"/>
    </row>
    <row r="764" ht="14.25" customHeight="1">
      <c r="F764" s="119"/>
      <c r="G764" s="119"/>
      <c r="H764" s="120"/>
      <c r="I764" s="119"/>
      <c r="J764" s="119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4"/>
    </row>
    <row r="765" ht="14.25" customHeight="1">
      <c r="F765" s="119"/>
      <c r="G765" s="119"/>
      <c r="H765" s="120"/>
      <c r="I765" s="119"/>
      <c r="J765" s="119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4"/>
    </row>
    <row r="766" ht="14.25" customHeight="1">
      <c r="F766" s="119"/>
      <c r="G766" s="119"/>
      <c r="H766" s="120"/>
      <c r="I766" s="119"/>
      <c r="J766" s="119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4"/>
    </row>
    <row r="767" ht="14.25" customHeight="1">
      <c r="F767" s="119"/>
      <c r="G767" s="119"/>
      <c r="H767" s="120"/>
      <c r="I767" s="119"/>
      <c r="J767" s="119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4"/>
    </row>
    <row r="768" ht="14.25" customHeight="1">
      <c r="F768" s="119"/>
      <c r="G768" s="119"/>
      <c r="H768" s="120"/>
      <c r="I768" s="119"/>
      <c r="J768" s="119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4"/>
    </row>
    <row r="769" ht="14.25" customHeight="1">
      <c r="F769" s="119"/>
      <c r="G769" s="119"/>
      <c r="H769" s="120"/>
      <c r="I769" s="119"/>
      <c r="J769" s="119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4"/>
    </row>
    <row r="770" ht="14.25" customHeight="1">
      <c r="F770" s="119"/>
      <c r="G770" s="119"/>
      <c r="H770" s="120"/>
      <c r="I770" s="119"/>
      <c r="J770" s="119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4"/>
    </row>
    <row r="771" ht="14.25" customHeight="1">
      <c r="F771" s="119"/>
      <c r="G771" s="119"/>
      <c r="H771" s="120"/>
      <c r="I771" s="119"/>
      <c r="J771" s="119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4"/>
    </row>
    <row r="772" ht="14.25" customHeight="1">
      <c r="F772" s="119"/>
      <c r="G772" s="119"/>
      <c r="H772" s="120"/>
      <c r="I772" s="119"/>
      <c r="J772" s="119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4"/>
    </row>
    <row r="773" ht="14.25" customHeight="1">
      <c r="F773" s="119"/>
      <c r="G773" s="119"/>
      <c r="H773" s="120"/>
      <c r="I773" s="119"/>
      <c r="J773" s="119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4"/>
    </row>
    <row r="774" ht="14.25" customHeight="1">
      <c r="F774" s="119"/>
      <c r="G774" s="119"/>
      <c r="H774" s="120"/>
      <c r="I774" s="119"/>
      <c r="J774" s="119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4"/>
    </row>
    <row r="775" ht="14.25" customHeight="1">
      <c r="F775" s="119"/>
      <c r="G775" s="119"/>
      <c r="H775" s="120"/>
      <c r="I775" s="119"/>
      <c r="J775" s="119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4"/>
    </row>
    <row r="776" ht="14.25" customHeight="1">
      <c r="F776" s="119"/>
      <c r="G776" s="119"/>
      <c r="H776" s="120"/>
      <c r="I776" s="119"/>
      <c r="J776" s="119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4"/>
    </row>
    <row r="777" ht="14.25" customHeight="1">
      <c r="F777" s="119"/>
      <c r="G777" s="119"/>
      <c r="H777" s="120"/>
      <c r="I777" s="119"/>
      <c r="J777" s="119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4"/>
    </row>
    <row r="778" ht="14.25" customHeight="1">
      <c r="F778" s="119"/>
      <c r="G778" s="119"/>
      <c r="H778" s="120"/>
      <c r="I778" s="119"/>
      <c r="J778" s="119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4"/>
    </row>
    <row r="779" ht="14.25" customHeight="1">
      <c r="F779" s="119"/>
      <c r="G779" s="119"/>
      <c r="H779" s="120"/>
      <c r="I779" s="119"/>
      <c r="J779" s="119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4"/>
    </row>
    <row r="780" ht="14.25" customHeight="1">
      <c r="F780" s="119"/>
      <c r="G780" s="119"/>
      <c r="H780" s="120"/>
      <c r="I780" s="119"/>
      <c r="J780" s="119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4"/>
    </row>
    <row r="781" ht="14.25" customHeight="1">
      <c r="F781" s="119"/>
      <c r="G781" s="119"/>
      <c r="H781" s="120"/>
      <c r="I781" s="119"/>
      <c r="J781" s="119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4"/>
    </row>
    <row r="782" ht="14.25" customHeight="1">
      <c r="F782" s="119"/>
      <c r="G782" s="119"/>
      <c r="H782" s="120"/>
      <c r="I782" s="119"/>
      <c r="J782" s="119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4"/>
    </row>
    <row r="783" ht="14.25" customHeight="1">
      <c r="F783" s="119"/>
      <c r="G783" s="119"/>
      <c r="H783" s="120"/>
      <c r="I783" s="119"/>
      <c r="J783" s="119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4"/>
    </row>
    <row r="784" ht="14.25" customHeight="1">
      <c r="F784" s="119"/>
      <c r="G784" s="119"/>
      <c r="H784" s="120"/>
      <c r="I784" s="119"/>
      <c r="J784" s="119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4"/>
    </row>
    <row r="785" ht="14.25" customHeight="1">
      <c r="F785" s="119"/>
      <c r="G785" s="119"/>
      <c r="H785" s="120"/>
      <c r="I785" s="119"/>
      <c r="J785" s="119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4"/>
    </row>
    <row r="786" ht="14.25" customHeight="1">
      <c r="F786" s="119"/>
      <c r="G786" s="119"/>
      <c r="H786" s="120"/>
      <c r="I786" s="119"/>
      <c r="J786" s="119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4"/>
    </row>
    <row r="787" ht="14.25" customHeight="1">
      <c r="F787" s="119"/>
      <c r="G787" s="119"/>
      <c r="H787" s="120"/>
      <c r="I787" s="119"/>
      <c r="J787" s="119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4"/>
    </row>
    <row r="788" ht="14.25" customHeight="1">
      <c r="F788" s="119"/>
      <c r="G788" s="119"/>
      <c r="H788" s="120"/>
      <c r="I788" s="119"/>
      <c r="J788" s="119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4"/>
    </row>
    <row r="789" ht="14.25" customHeight="1">
      <c r="F789" s="119"/>
      <c r="G789" s="119"/>
      <c r="H789" s="120"/>
      <c r="I789" s="119"/>
      <c r="J789" s="119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4"/>
    </row>
    <row r="790" ht="14.25" customHeight="1">
      <c r="F790" s="119"/>
      <c r="G790" s="119"/>
      <c r="H790" s="120"/>
      <c r="I790" s="119"/>
      <c r="J790" s="119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4"/>
    </row>
    <row r="791" ht="14.25" customHeight="1">
      <c r="F791" s="119"/>
      <c r="G791" s="119"/>
      <c r="H791" s="120"/>
      <c r="I791" s="119"/>
      <c r="J791" s="119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4"/>
    </row>
    <row r="792" ht="14.25" customHeight="1">
      <c r="F792" s="119"/>
      <c r="G792" s="119"/>
      <c r="H792" s="120"/>
      <c r="I792" s="119"/>
      <c r="J792" s="119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4"/>
    </row>
    <row r="793" ht="14.25" customHeight="1">
      <c r="F793" s="119"/>
      <c r="G793" s="119"/>
      <c r="H793" s="120"/>
      <c r="I793" s="119"/>
      <c r="J793" s="119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4"/>
    </row>
    <row r="794" ht="14.25" customHeight="1">
      <c r="F794" s="119"/>
      <c r="G794" s="119"/>
      <c r="H794" s="120"/>
      <c r="I794" s="119"/>
      <c r="J794" s="119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4"/>
    </row>
    <row r="795" ht="14.25" customHeight="1">
      <c r="F795" s="119"/>
      <c r="G795" s="119"/>
      <c r="H795" s="120"/>
      <c r="I795" s="119"/>
      <c r="J795" s="119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4"/>
    </row>
    <row r="796" ht="14.25" customHeight="1">
      <c r="F796" s="119"/>
      <c r="G796" s="119"/>
      <c r="H796" s="120"/>
      <c r="I796" s="119"/>
      <c r="J796" s="119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4"/>
    </row>
    <row r="797" ht="14.25" customHeight="1">
      <c r="F797" s="119"/>
      <c r="G797" s="119"/>
      <c r="H797" s="120"/>
      <c r="I797" s="119"/>
      <c r="J797" s="119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4"/>
    </row>
    <row r="798" ht="14.25" customHeight="1">
      <c r="F798" s="119"/>
      <c r="G798" s="119"/>
      <c r="H798" s="120"/>
      <c r="I798" s="119"/>
      <c r="J798" s="119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4"/>
    </row>
    <row r="799" ht="14.25" customHeight="1">
      <c r="F799" s="119"/>
      <c r="G799" s="119"/>
      <c r="H799" s="120"/>
      <c r="I799" s="119"/>
      <c r="J799" s="119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4"/>
    </row>
    <row r="800" ht="14.25" customHeight="1">
      <c r="F800" s="119"/>
      <c r="G800" s="119"/>
      <c r="H800" s="120"/>
      <c r="I800" s="119"/>
      <c r="J800" s="119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4"/>
    </row>
    <row r="801" ht="14.25" customHeight="1">
      <c r="F801" s="119"/>
      <c r="G801" s="119"/>
      <c r="H801" s="120"/>
      <c r="I801" s="119"/>
      <c r="J801" s="119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4"/>
    </row>
    <row r="802" ht="14.25" customHeight="1">
      <c r="F802" s="119"/>
      <c r="G802" s="119"/>
      <c r="H802" s="120"/>
      <c r="I802" s="119"/>
      <c r="J802" s="119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4"/>
    </row>
    <row r="803" ht="14.25" customHeight="1">
      <c r="F803" s="119"/>
      <c r="G803" s="119"/>
      <c r="H803" s="120"/>
      <c r="I803" s="119"/>
      <c r="J803" s="119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4"/>
    </row>
    <row r="804" ht="14.25" customHeight="1">
      <c r="F804" s="119"/>
      <c r="G804" s="119"/>
      <c r="H804" s="120"/>
      <c r="I804" s="119"/>
      <c r="J804" s="119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4"/>
    </row>
    <row r="805" ht="14.25" customHeight="1">
      <c r="F805" s="119"/>
      <c r="G805" s="119"/>
      <c r="H805" s="120"/>
      <c r="I805" s="119"/>
      <c r="J805" s="119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4"/>
    </row>
    <row r="806" ht="14.25" customHeight="1">
      <c r="F806" s="119"/>
      <c r="G806" s="119"/>
      <c r="H806" s="120"/>
      <c r="I806" s="119"/>
      <c r="J806" s="119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4"/>
    </row>
    <row r="807" ht="14.25" customHeight="1">
      <c r="F807" s="119"/>
      <c r="G807" s="119"/>
      <c r="H807" s="120"/>
      <c r="I807" s="119"/>
      <c r="J807" s="119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4"/>
    </row>
    <row r="808" ht="14.25" customHeight="1">
      <c r="F808" s="119"/>
      <c r="G808" s="119"/>
      <c r="H808" s="120"/>
      <c r="I808" s="119"/>
      <c r="J808" s="119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4"/>
    </row>
    <row r="809" ht="14.25" customHeight="1">
      <c r="F809" s="119"/>
      <c r="G809" s="119"/>
      <c r="H809" s="120"/>
      <c r="I809" s="119"/>
      <c r="J809" s="119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4"/>
    </row>
    <row r="810" ht="14.25" customHeight="1">
      <c r="F810" s="119"/>
      <c r="G810" s="119"/>
      <c r="H810" s="120"/>
      <c r="I810" s="119"/>
      <c r="J810" s="119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4"/>
    </row>
    <row r="811" ht="14.25" customHeight="1">
      <c r="F811" s="119"/>
      <c r="G811" s="119"/>
      <c r="H811" s="120"/>
      <c r="I811" s="119"/>
      <c r="J811" s="119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4"/>
    </row>
    <row r="812" ht="14.25" customHeight="1">
      <c r="F812" s="119"/>
      <c r="G812" s="119"/>
      <c r="H812" s="120"/>
      <c r="I812" s="119"/>
      <c r="J812" s="119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4"/>
    </row>
    <row r="813" ht="14.25" customHeight="1">
      <c r="F813" s="119"/>
      <c r="G813" s="119"/>
      <c r="H813" s="120"/>
      <c r="I813" s="119"/>
      <c r="J813" s="119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4"/>
    </row>
    <row r="814" ht="14.25" customHeight="1">
      <c r="F814" s="119"/>
      <c r="G814" s="119"/>
      <c r="H814" s="120"/>
      <c r="I814" s="119"/>
      <c r="J814" s="119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4"/>
    </row>
    <row r="815" ht="14.25" customHeight="1">
      <c r="F815" s="119"/>
      <c r="G815" s="119"/>
      <c r="H815" s="120"/>
      <c r="I815" s="119"/>
      <c r="J815" s="119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4"/>
    </row>
    <row r="816" ht="14.25" customHeight="1">
      <c r="F816" s="119"/>
      <c r="G816" s="119"/>
      <c r="H816" s="120"/>
      <c r="I816" s="119"/>
      <c r="J816" s="119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4"/>
    </row>
    <row r="817" ht="14.25" customHeight="1">
      <c r="F817" s="119"/>
      <c r="G817" s="119"/>
      <c r="H817" s="120"/>
      <c r="I817" s="119"/>
      <c r="J817" s="119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4"/>
    </row>
    <row r="818" ht="14.25" customHeight="1">
      <c r="F818" s="119"/>
      <c r="G818" s="119"/>
      <c r="H818" s="120"/>
      <c r="I818" s="119"/>
      <c r="J818" s="119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4"/>
    </row>
    <row r="819" ht="14.25" customHeight="1">
      <c r="F819" s="119"/>
      <c r="G819" s="119"/>
      <c r="H819" s="120"/>
      <c r="I819" s="119"/>
      <c r="J819" s="119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4"/>
    </row>
    <row r="820" ht="14.25" customHeight="1">
      <c r="F820" s="119"/>
      <c r="G820" s="119"/>
      <c r="H820" s="120"/>
      <c r="I820" s="119"/>
      <c r="J820" s="119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4"/>
    </row>
    <row r="821" ht="14.25" customHeight="1">
      <c r="F821" s="119"/>
      <c r="G821" s="119"/>
      <c r="H821" s="120"/>
      <c r="I821" s="119"/>
      <c r="J821" s="119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4"/>
    </row>
    <row r="822" ht="14.25" customHeight="1">
      <c r="F822" s="119"/>
      <c r="G822" s="119"/>
      <c r="H822" s="120"/>
      <c r="I822" s="119"/>
      <c r="J822" s="119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4"/>
    </row>
    <row r="823" ht="14.25" customHeight="1">
      <c r="F823" s="119"/>
      <c r="G823" s="119"/>
      <c r="H823" s="120"/>
      <c r="I823" s="119"/>
      <c r="J823" s="119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4"/>
    </row>
    <row r="824" ht="14.25" customHeight="1">
      <c r="F824" s="119"/>
      <c r="G824" s="119"/>
      <c r="H824" s="120"/>
      <c r="I824" s="119"/>
      <c r="J824" s="119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4"/>
    </row>
    <row r="825" ht="14.25" customHeight="1">
      <c r="F825" s="119"/>
      <c r="G825" s="119"/>
      <c r="H825" s="120"/>
      <c r="I825" s="119"/>
      <c r="J825" s="119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4"/>
    </row>
    <row r="826" ht="14.25" customHeight="1">
      <c r="F826" s="119"/>
      <c r="G826" s="119"/>
      <c r="H826" s="120"/>
      <c r="I826" s="119"/>
      <c r="J826" s="119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4"/>
    </row>
    <row r="827" ht="14.25" customHeight="1">
      <c r="F827" s="119"/>
      <c r="G827" s="119"/>
      <c r="H827" s="120"/>
      <c r="I827" s="119"/>
      <c r="J827" s="119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4"/>
    </row>
    <row r="828" ht="14.25" customHeight="1">
      <c r="F828" s="119"/>
      <c r="G828" s="119"/>
      <c r="H828" s="120"/>
      <c r="I828" s="119"/>
      <c r="J828" s="119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4"/>
    </row>
    <row r="829" ht="14.25" customHeight="1">
      <c r="F829" s="119"/>
      <c r="G829" s="119"/>
      <c r="H829" s="120"/>
      <c r="I829" s="119"/>
      <c r="J829" s="119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4"/>
    </row>
    <row r="830" ht="14.25" customHeight="1">
      <c r="F830" s="119"/>
      <c r="G830" s="119"/>
      <c r="H830" s="120"/>
      <c r="I830" s="119"/>
      <c r="J830" s="119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4"/>
    </row>
    <row r="831" ht="14.25" customHeight="1">
      <c r="F831" s="119"/>
      <c r="G831" s="119"/>
      <c r="H831" s="120"/>
      <c r="I831" s="119"/>
      <c r="J831" s="119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4"/>
    </row>
    <row r="832" ht="14.25" customHeight="1">
      <c r="F832" s="119"/>
      <c r="G832" s="119"/>
      <c r="H832" s="120"/>
      <c r="I832" s="119"/>
      <c r="J832" s="119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4"/>
    </row>
    <row r="833" ht="14.25" customHeight="1">
      <c r="F833" s="119"/>
      <c r="G833" s="119"/>
      <c r="H833" s="120"/>
      <c r="I833" s="119"/>
      <c r="J833" s="119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4"/>
    </row>
    <row r="834" ht="14.25" customHeight="1">
      <c r="F834" s="119"/>
      <c r="G834" s="119"/>
      <c r="H834" s="120"/>
      <c r="I834" s="119"/>
      <c r="J834" s="119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4"/>
    </row>
    <row r="835" ht="14.25" customHeight="1">
      <c r="F835" s="119"/>
      <c r="G835" s="119"/>
      <c r="H835" s="120"/>
      <c r="I835" s="119"/>
      <c r="J835" s="119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4"/>
    </row>
    <row r="836" ht="14.25" customHeight="1">
      <c r="F836" s="119"/>
      <c r="G836" s="119"/>
      <c r="H836" s="120"/>
      <c r="I836" s="119"/>
      <c r="J836" s="119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4"/>
    </row>
    <row r="837" ht="14.25" customHeight="1">
      <c r="F837" s="119"/>
      <c r="G837" s="119"/>
      <c r="H837" s="120"/>
      <c r="I837" s="119"/>
      <c r="J837" s="119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4"/>
    </row>
    <row r="838" ht="14.25" customHeight="1">
      <c r="F838" s="119"/>
      <c r="G838" s="119"/>
      <c r="H838" s="120"/>
      <c r="I838" s="119"/>
      <c r="J838" s="119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4"/>
    </row>
    <row r="839" ht="14.25" customHeight="1">
      <c r="F839" s="119"/>
      <c r="G839" s="119"/>
      <c r="H839" s="120"/>
      <c r="I839" s="119"/>
      <c r="J839" s="119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4"/>
    </row>
    <row r="840" ht="14.25" customHeight="1">
      <c r="F840" s="119"/>
      <c r="G840" s="119"/>
      <c r="H840" s="120"/>
      <c r="I840" s="119"/>
      <c r="J840" s="119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4"/>
    </row>
    <row r="841" ht="14.25" customHeight="1">
      <c r="F841" s="119"/>
      <c r="G841" s="119"/>
      <c r="H841" s="120"/>
      <c r="I841" s="119"/>
      <c r="J841" s="119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4"/>
    </row>
    <row r="842" ht="14.25" customHeight="1">
      <c r="F842" s="119"/>
      <c r="G842" s="119"/>
      <c r="H842" s="120"/>
      <c r="I842" s="119"/>
      <c r="J842" s="119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4"/>
    </row>
    <row r="843" ht="14.25" customHeight="1">
      <c r="F843" s="119"/>
      <c r="G843" s="119"/>
      <c r="H843" s="120"/>
      <c r="I843" s="119"/>
      <c r="J843" s="119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4"/>
    </row>
    <row r="844" ht="14.25" customHeight="1">
      <c r="F844" s="119"/>
      <c r="G844" s="119"/>
      <c r="H844" s="120"/>
      <c r="I844" s="119"/>
      <c r="J844" s="119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4"/>
    </row>
    <row r="845" ht="14.25" customHeight="1">
      <c r="F845" s="119"/>
      <c r="G845" s="119"/>
      <c r="H845" s="120"/>
      <c r="I845" s="119"/>
      <c r="J845" s="119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4"/>
    </row>
    <row r="846" ht="14.25" customHeight="1">
      <c r="F846" s="119"/>
      <c r="G846" s="119"/>
      <c r="H846" s="120"/>
      <c r="I846" s="119"/>
      <c r="J846" s="119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4"/>
    </row>
    <row r="847" ht="14.25" customHeight="1">
      <c r="F847" s="119"/>
      <c r="G847" s="119"/>
      <c r="H847" s="120"/>
      <c r="I847" s="119"/>
      <c r="J847" s="119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4"/>
    </row>
    <row r="848" ht="14.25" customHeight="1">
      <c r="F848" s="119"/>
      <c r="G848" s="119"/>
      <c r="H848" s="120"/>
      <c r="I848" s="119"/>
      <c r="J848" s="119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4"/>
    </row>
    <row r="849" ht="14.25" customHeight="1">
      <c r="F849" s="119"/>
      <c r="G849" s="119"/>
      <c r="H849" s="120"/>
      <c r="I849" s="119"/>
      <c r="J849" s="119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4"/>
    </row>
    <row r="850" ht="14.25" customHeight="1">
      <c r="F850" s="119"/>
      <c r="G850" s="119"/>
      <c r="H850" s="120"/>
      <c r="I850" s="119"/>
      <c r="J850" s="119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4"/>
    </row>
    <row r="851" ht="14.25" customHeight="1">
      <c r="F851" s="119"/>
      <c r="G851" s="119"/>
      <c r="H851" s="120"/>
      <c r="I851" s="119"/>
      <c r="J851" s="119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4"/>
    </row>
    <row r="852" ht="14.25" customHeight="1">
      <c r="F852" s="119"/>
      <c r="G852" s="119"/>
      <c r="H852" s="120"/>
      <c r="I852" s="119"/>
      <c r="J852" s="119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4"/>
    </row>
    <row r="853" ht="14.25" customHeight="1">
      <c r="F853" s="119"/>
      <c r="G853" s="119"/>
      <c r="H853" s="120"/>
      <c r="I853" s="119"/>
      <c r="J853" s="119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4"/>
    </row>
    <row r="854" ht="14.25" customHeight="1">
      <c r="F854" s="119"/>
      <c r="G854" s="119"/>
      <c r="H854" s="120"/>
      <c r="I854" s="119"/>
      <c r="J854" s="119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4"/>
    </row>
    <row r="855" ht="14.25" customHeight="1">
      <c r="F855" s="119"/>
      <c r="G855" s="119"/>
      <c r="H855" s="120"/>
      <c r="I855" s="119"/>
      <c r="J855" s="119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4"/>
    </row>
    <row r="856" ht="14.25" customHeight="1">
      <c r="F856" s="119"/>
      <c r="G856" s="119"/>
      <c r="H856" s="120"/>
      <c r="I856" s="119"/>
      <c r="J856" s="119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4"/>
    </row>
    <row r="857" ht="14.25" customHeight="1">
      <c r="F857" s="119"/>
      <c r="G857" s="119"/>
      <c r="H857" s="120"/>
      <c r="I857" s="119"/>
      <c r="J857" s="119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4"/>
    </row>
    <row r="858" ht="14.25" customHeight="1">
      <c r="F858" s="119"/>
      <c r="G858" s="119"/>
      <c r="H858" s="120"/>
      <c r="I858" s="119"/>
      <c r="J858" s="119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4"/>
    </row>
    <row r="859" ht="14.25" customHeight="1">
      <c r="F859" s="119"/>
      <c r="G859" s="119"/>
      <c r="H859" s="120"/>
      <c r="I859" s="119"/>
      <c r="J859" s="119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4"/>
    </row>
    <row r="860" ht="14.25" customHeight="1">
      <c r="F860" s="119"/>
      <c r="G860" s="119"/>
      <c r="H860" s="120"/>
      <c r="I860" s="119"/>
      <c r="J860" s="119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4"/>
    </row>
    <row r="861" ht="14.25" customHeight="1">
      <c r="F861" s="119"/>
      <c r="G861" s="119"/>
      <c r="H861" s="120"/>
      <c r="I861" s="119"/>
      <c r="J861" s="119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4"/>
    </row>
    <row r="862" ht="14.25" customHeight="1">
      <c r="F862" s="119"/>
      <c r="G862" s="119"/>
      <c r="H862" s="120"/>
      <c r="I862" s="119"/>
      <c r="J862" s="119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4"/>
    </row>
    <row r="863" ht="14.25" customHeight="1">
      <c r="F863" s="119"/>
      <c r="G863" s="119"/>
      <c r="H863" s="120"/>
      <c r="I863" s="119"/>
      <c r="J863" s="119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4"/>
    </row>
    <row r="864" ht="14.25" customHeight="1">
      <c r="F864" s="119"/>
      <c r="G864" s="119"/>
      <c r="H864" s="120"/>
      <c r="I864" s="119"/>
      <c r="J864" s="119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4"/>
    </row>
    <row r="865" ht="14.25" customHeight="1">
      <c r="F865" s="119"/>
      <c r="G865" s="119"/>
      <c r="H865" s="120"/>
      <c r="I865" s="119"/>
      <c r="J865" s="119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4"/>
    </row>
    <row r="866" ht="14.25" customHeight="1">
      <c r="F866" s="119"/>
      <c r="G866" s="119"/>
      <c r="H866" s="120"/>
      <c r="I866" s="119"/>
      <c r="J866" s="119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4"/>
    </row>
    <row r="867" ht="14.25" customHeight="1">
      <c r="F867" s="119"/>
      <c r="G867" s="119"/>
      <c r="H867" s="120"/>
      <c r="I867" s="119"/>
      <c r="J867" s="119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4"/>
    </row>
    <row r="868" ht="14.25" customHeight="1">
      <c r="F868" s="119"/>
      <c r="G868" s="119"/>
      <c r="H868" s="120"/>
      <c r="I868" s="119"/>
      <c r="J868" s="119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4"/>
    </row>
    <row r="869" ht="14.25" customHeight="1">
      <c r="F869" s="119"/>
      <c r="G869" s="119"/>
      <c r="H869" s="120"/>
      <c r="I869" s="119"/>
      <c r="J869" s="119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4"/>
    </row>
    <row r="870" ht="14.25" customHeight="1">
      <c r="F870" s="119"/>
      <c r="G870" s="119"/>
      <c r="H870" s="120"/>
      <c r="I870" s="119"/>
      <c r="J870" s="119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4"/>
    </row>
    <row r="871" ht="14.25" customHeight="1">
      <c r="F871" s="119"/>
      <c r="G871" s="119"/>
      <c r="H871" s="120"/>
      <c r="I871" s="119"/>
      <c r="J871" s="119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4"/>
    </row>
    <row r="872" ht="14.25" customHeight="1">
      <c r="F872" s="119"/>
      <c r="G872" s="119"/>
      <c r="H872" s="120"/>
      <c r="I872" s="119"/>
      <c r="J872" s="119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4"/>
    </row>
    <row r="873" ht="14.25" customHeight="1">
      <c r="F873" s="119"/>
      <c r="G873" s="119"/>
      <c r="H873" s="120"/>
      <c r="I873" s="119"/>
      <c r="J873" s="119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4"/>
    </row>
    <row r="874" ht="14.25" customHeight="1">
      <c r="F874" s="119"/>
      <c r="G874" s="119"/>
      <c r="H874" s="120"/>
      <c r="I874" s="119"/>
      <c r="J874" s="119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4"/>
    </row>
    <row r="875" ht="14.25" customHeight="1">
      <c r="F875" s="119"/>
      <c r="G875" s="119"/>
      <c r="H875" s="120"/>
      <c r="I875" s="119"/>
      <c r="J875" s="119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4"/>
    </row>
    <row r="876" ht="14.25" customHeight="1">
      <c r="F876" s="119"/>
      <c r="G876" s="119"/>
      <c r="H876" s="120"/>
      <c r="I876" s="119"/>
      <c r="J876" s="119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4"/>
    </row>
    <row r="877" ht="14.25" customHeight="1">
      <c r="F877" s="119"/>
      <c r="G877" s="119"/>
      <c r="H877" s="120"/>
      <c r="I877" s="119"/>
      <c r="J877" s="119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4"/>
    </row>
    <row r="878" ht="14.25" customHeight="1">
      <c r="F878" s="119"/>
      <c r="G878" s="119"/>
      <c r="H878" s="120"/>
      <c r="I878" s="119"/>
      <c r="J878" s="119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4"/>
    </row>
    <row r="879" ht="14.25" customHeight="1">
      <c r="F879" s="119"/>
      <c r="G879" s="119"/>
      <c r="H879" s="120"/>
      <c r="I879" s="119"/>
      <c r="J879" s="119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4"/>
    </row>
    <row r="880" ht="14.25" customHeight="1">
      <c r="F880" s="119"/>
      <c r="G880" s="119"/>
      <c r="H880" s="120"/>
      <c r="I880" s="119"/>
      <c r="J880" s="119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4"/>
    </row>
    <row r="881" ht="14.25" customHeight="1">
      <c r="F881" s="119"/>
      <c r="G881" s="119"/>
      <c r="H881" s="120"/>
      <c r="I881" s="119"/>
      <c r="J881" s="119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4"/>
    </row>
    <row r="882" ht="14.25" customHeight="1">
      <c r="F882" s="119"/>
      <c r="G882" s="119"/>
      <c r="H882" s="120"/>
      <c r="I882" s="119"/>
      <c r="J882" s="119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4"/>
    </row>
    <row r="883" ht="14.25" customHeight="1">
      <c r="F883" s="119"/>
      <c r="G883" s="119"/>
      <c r="H883" s="120"/>
      <c r="I883" s="119"/>
      <c r="J883" s="119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4"/>
    </row>
    <row r="884" ht="14.25" customHeight="1">
      <c r="F884" s="119"/>
      <c r="G884" s="119"/>
      <c r="H884" s="120"/>
      <c r="I884" s="119"/>
      <c r="J884" s="119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4"/>
    </row>
    <row r="885" ht="14.25" customHeight="1">
      <c r="F885" s="119"/>
      <c r="G885" s="119"/>
      <c r="H885" s="120"/>
      <c r="I885" s="119"/>
      <c r="J885" s="119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4"/>
    </row>
    <row r="886" ht="14.25" customHeight="1">
      <c r="F886" s="119"/>
      <c r="G886" s="119"/>
      <c r="H886" s="120"/>
      <c r="I886" s="119"/>
      <c r="J886" s="119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4"/>
    </row>
    <row r="887" ht="14.25" customHeight="1">
      <c r="F887" s="119"/>
      <c r="G887" s="119"/>
      <c r="H887" s="120"/>
      <c r="I887" s="119"/>
      <c r="J887" s="119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4"/>
    </row>
    <row r="888" ht="14.25" customHeight="1">
      <c r="F888" s="119"/>
      <c r="G888" s="119"/>
      <c r="H888" s="120"/>
      <c r="I888" s="119"/>
      <c r="J888" s="119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4"/>
    </row>
    <row r="889" ht="14.25" customHeight="1">
      <c r="F889" s="119"/>
      <c r="G889" s="119"/>
      <c r="H889" s="120"/>
      <c r="I889" s="119"/>
      <c r="J889" s="119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4"/>
    </row>
    <row r="890" ht="14.25" customHeight="1">
      <c r="F890" s="119"/>
      <c r="G890" s="119"/>
      <c r="H890" s="120"/>
      <c r="I890" s="119"/>
      <c r="J890" s="119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4"/>
    </row>
    <row r="891" ht="14.25" customHeight="1">
      <c r="F891" s="119"/>
      <c r="G891" s="119"/>
      <c r="H891" s="120"/>
      <c r="I891" s="119"/>
      <c r="J891" s="119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4"/>
    </row>
    <row r="892" ht="14.25" customHeight="1">
      <c r="F892" s="119"/>
      <c r="G892" s="119"/>
      <c r="H892" s="120"/>
      <c r="I892" s="119"/>
      <c r="J892" s="119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4"/>
    </row>
    <row r="893" ht="14.25" customHeight="1">
      <c r="F893" s="119"/>
      <c r="G893" s="119"/>
      <c r="H893" s="120"/>
      <c r="I893" s="119"/>
      <c r="J893" s="119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4"/>
    </row>
    <row r="894" ht="14.25" customHeight="1">
      <c r="F894" s="119"/>
      <c r="G894" s="119"/>
      <c r="H894" s="120"/>
      <c r="I894" s="119"/>
      <c r="J894" s="119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4"/>
    </row>
    <row r="895" ht="14.25" customHeight="1">
      <c r="F895" s="119"/>
      <c r="G895" s="119"/>
      <c r="H895" s="120"/>
      <c r="I895" s="119"/>
      <c r="J895" s="119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4"/>
    </row>
    <row r="896" ht="14.25" customHeight="1">
      <c r="F896" s="119"/>
      <c r="G896" s="119"/>
      <c r="H896" s="120"/>
      <c r="I896" s="119"/>
      <c r="J896" s="119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4"/>
    </row>
    <row r="897" ht="14.25" customHeight="1">
      <c r="F897" s="119"/>
      <c r="G897" s="119"/>
      <c r="H897" s="120"/>
      <c r="I897" s="119"/>
      <c r="J897" s="119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4"/>
    </row>
    <row r="898" ht="14.25" customHeight="1">
      <c r="F898" s="119"/>
      <c r="G898" s="119"/>
      <c r="H898" s="120"/>
      <c r="I898" s="119"/>
      <c r="J898" s="119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4"/>
    </row>
    <row r="899" ht="14.25" customHeight="1">
      <c r="F899" s="119"/>
      <c r="G899" s="119"/>
      <c r="H899" s="120"/>
      <c r="I899" s="119"/>
      <c r="J899" s="119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4"/>
    </row>
    <row r="900" ht="14.25" customHeight="1">
      <c r="F900" s="119"/>
      <c r="G900" s="119"/>
      <c r="H900" s="120"/>
      <c r="I900" s="119"/>
      <c r="J900" s="119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4"/>
    </row>
    <row r="901" ht="14.25" customHeight="1">
      <c r="F901" s="119"/>
      <c r="G901" s="119"/>
      <c r="H901" s="120"/>
      <c r="I901" s="119"/>
      <c r="J901" s="119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4"/>
    </row>
    <row r="902" ht="14.25" customHeight="1">
      <c r="F902" s="119"/>
      <c r="G902" s="119"/>
      <c r="H902" s="120"/>
      <c r="I902" s="119"/>
      <c r="J902" s="119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4"/>
    </row>
    <row r="903" ht="14.25" customHeight="1">
      <c r="F903" s="119"/>
      <c r="G903" s="119"/>
      <c r="H903" s="120"/>
      <c r="I903" s="119"/>
      <c r="J903" s="119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4"/>
    </row>
    <row r="904" ht="14.25" customHeight="1">
      <c r="F904" s="119"/>
      <c r="G904" s="119"/>
      <c r="H904" s="120"/>
      <c r="I904" s="119"/>
      <c r="J904" s="119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4"/>
    </row>
    <row r="905" ht="14.25" customHeight="1">
      <c r="F905" s="119"/>
      <c r="G905" s="119"/>
      <c r="H905" s="120"/>
      <c r="I905" s="119"/>
      <c r="J905" s="119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4"/>
    </row>
    <row r="906" ht="14.25" customHeight="1">
      <c r="F906" s="119"/>
      <c r="G906" s="119"/>
      <c r="H906" s="120"/>
      <c r="I906" s="119"/>
      <c r="J906" s="119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4"/>
    </row>
    <row r="907" ht="14.25" customHeight="1">
      <c r="F907" s="119"/>
      <c r="G907" s="119"/>
      <c r="H907" s="120"/>
      <c r="I907" s="119"/>
      <c r="J907" s="119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4"/>
    </row>
    <row r="908" ht="14.25" customHeight="1">
      <c r="F908" s="119"/>
      <c r="G908" s="119"/>
      <c r="H908" s="120"/>
      <c r="I908" s="119"/>
      <c r="J908" s="119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4"/>
    </row>
    <row r="909" ht="14.25" customHeight="1">
      <c r="F909" s="119"/>
      <c r="G909" s="119"/>
      <c r="H909" s="120"/>
      <c r="I909" s="119"/>
      <c r="J909" s="119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4"/>
    </row>
    <row r="910" ht="14.25" customHeight="1">
      <c r="F910" s="119"/>
      <c r="G910" s="119"/>
      <c r="H910" s="120"/>
      <c r="I910" s="119"/>
      <c r="J910" s="119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4"/>
    </row>
    <row r="911" ht="14.25" customHeight="1">
      <c r="F911" s="119"/>
      <c r="G911" s="119"/>
      <c r="H911" s="120"/>
      <c r="I911" s="119"/>
      <c r="J911" s="119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4"/>
    </row>
    <row r="912" ht="14.25" customHeight="1">
      <c r="F912" s="119"/>
      <c r="G912" s="119"/>
      <c r="H912" s="120"/>
      <c r="I912" s="119"/>
      <c r="J912" s="119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4"/>
    </row>
    <row r="913" ht="14.25" customHeight="1">
      <c r="F913" s="119"/>
      <c r="G913" s="119"/>
      <c r="H913" s="120"/>
      <c r="I913" s="119"/>
      <c r="J913" s="119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4"/>
    </row>
    <row r="914" ht="14.25" customHeight="1">
      <c r="F914" s="119"/>
      <c r="G914" s="119"/>
      <c r="H914" s="120"/>
      <c r="I914" s="119"/>
      <c r="J914" s="119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4"/>
    </row>
    <row r="915" ht="14.25" customHeight="1">
      <c r="F915" s="119"/>
      <c r="G915" s="119"/>
      <c r="H915" s="120"/>
      <c r="I915" s="119"/>
      <c r="J915" s="119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4"/>
    </row>
    <row r="916" ht="14.25" customHeight="1">
      <c r="F916" s="119"/>
      <c r="G916" s="119"/>
      <c r="H916" s="120"/>
      <c r="I916" s="119"/>
      <c r="J916" s="119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4"/>
    </row>
    <row r="917" ht="14.25" customHeight="1">
      <c r="F917" s="119"/>
      <c r="G917" s="119"/>
      <c r="H917" s="120"/>
      <c r="I917" s="119"/>
      <c r="J917" s="119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4"/>
    </row>
    <row r="918" ht="14.25" customHeight="1">
      <c r="F918" s="119"/>
      <c r="G918" s="119"/>
      <c r="H918" s="120"/>
      <c r="I918" s="119"/>
      <c r="J918" s="119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4"/>
    </row>
    <row r="919" ht="14.25" customHeight="1">
      <c r="F919" s="119"/>
      <c r="G919" s="119"/>
      <c r="H919" s="120"/>
      <c r="I919" s="119"/>
      <c r="J919" s="119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4"/>
    </row>
    <row r="920" ht="14.25" customHeight="1">
      <c r="F920" s="119"/>
      <c r="G920" s="119"/>
      <c r="H920" s="120"/>
      <c r="I920" s="119"/>
      <c r="J920" s="119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4"/>
    </row>
    <row r="921" ht="14.25" customHeight="1">
      <c r="F921" s="119"/>
      <c r="G921" s="119"/>
      <c r="H921" s="120"/>
      <c r="I921" s="119"/>
      <c r="J921" s="119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4"/>
    </row>
    <row r="922" ht="14.25" customHeight="1">
      <c r="F922" s="119"/>
      <c r="G922" s="119"/>
      <c r="H922" s="120"/>
      <c r="I922" s="119"/>
      <c r="J922" s="119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4"/>
    </row>
    <row r="923" ht="14.25" customHeight="1">
      <c r="F923" s="119"/>
      <c r="G923" s="119"/>
      <c r="H923" s="120"/>
      <c r="I923" s="119"/>
      <c r="J923" s="119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4"/>
    </row>
    <row r="924" ht="14.25" customHeight="1">
      <c r="F924" s="119"/>
      <c r="G924" s="119"/>
      <c r="H924" s="120"/>
      <c r="I924" s="119"/>
      <c r="J924" s="119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4"/>
    </row>
    <row r="925" ht="14.25" customHeight="1">
      <c r="F925" s="119"/>
      <c r="G925" s="119"/>
      <c r="H925" s="120"/>
      <c r="I925" s="119"/>
      <c r="J925" s="119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4"/>
    </row>
    <row r="926" ht="14.25" customHeight="1">
      <c r="F926" s="119"/>
      <c r="G926" s="119"/>
      <c r="H926" s="120"/>
      <c r="I926" s="119"/>
      <c r="J926" s="119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4"/>
    </row>
    <row r="927" ht="14.25" customHeight="1">
      <c r="F927" s="119"/>
      <c r="G927" s="119"/>
      <c r="H927" s="120"/>
      <c r="I927" s="119"/>
      <c r="J927" s="119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4"/>
    </row>
    <row r="928" ht="14.25" customHeight="1">
      <c r="F928" s="119"/>
      <c r="G928" s="119"/>
      <c r="H928" s="120"/>
      <c r="I928" s="119"/>
      <c r="J928" s="119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4"/>
    </row>
    <row r="929" ht="14.25" customHeight="1">
      <c r="F929" s="119"/>
      <c r="G929" s="119"/>
      <c r="H929" s="120"/>
      <c r="I929" s="119"/>
      <c r="J929" s="119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4"/>
    </row>
    <row r="930" ht="14.25" customHeight="1">
      <c r="F930" s="119"/>
      <c r="G930" s="119"/>
      <c r="H930" s="120"/>
      <c r="I930" s="119"/>
      <c r="J930" s="119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4"/>
    </row>
    <row r="931" ht="14.25" customHeight="1">
      <c r="F931" s="119"/>
      <c r="G931" s="119"/>
      <c r="H931" s="120"/>
      <c r="I931" s="119"/>
      <c r="J931" s="119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4"/>
    </row>
    <row r="932" ht="14.25" customHeight="1">
      <c r="F932" s="119"/>
      <c r="G932" s="119"/>
      <c r="H932" s="120"/>
      <c r="I932" s="119"/>
      <c r="J932" s="119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4"/>
    </row>
    <row r="933" ht="14.25" customHeight="1">
      <c r="F933" s="119"/>
      <c r="G933" s="119"/>
      <c r="H933" s="120"/>
      <c r="I933" s="119"/>
      <c r="J933" s="119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4"/>
    </row>
    <row r="934" ht="14.25" customHeight="1">
      <c r="F934" s="119"/>
      <c r="G934" s="119"/>
      <c r="H934" s="120"/>
      <c r="I934" s="119"/>
      <c r="J934" s="119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4"/>
    </row>
    <row r="935" ht="14.25" customHeight="1">
      <c r="F935" s="119"/>
      <c r="G935" s="119"/>
      <c r="H935" s="120"/>
      <c r="I935" s="119"/>
      <c r="J935" s="119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4"/>
    </row>
    <row r="936" ht="14.25" customHeight="1">
      <c r="F936" s="119"/>
      <c r="G936" s="119"/>
      <c r="H936" s="120"/>
      <c r="I936" s="119"/>
      <c r="J936" s="119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4"/>
    </row>
    <row r="937" ht="14.25" customHeight="1">
      <c r="F937" s="119"/>
      <c r="G937" s="119"/>
      <c r="H937" s="120"/>
      <c r="I937" s="119"/>
      <c r="J937" s="119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4"/>
    </row>
    <row r="938" ht="14.25" customHeight="1">
      <c r="F938" s="119"/>
      <c r="G938" s="119"/>
      <c r="H938" s="120"/>
      <c r="I938" s="119"/>
      <c r="J938" s="119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4"/>
    </row>
    <row r="939" ht="14.25" customHeight="1">
      <c r="F939" s="119"/>
      <c r="G939" s="119"/>
      <c r="H939" s="120"/>
      <c r="I939" s="119"/>
      <c r="J939" s="119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4"/>
    </row>
    <row r="940" ht="14.25" customHeight="1">
      <c r="F940" s="119"/>
      <c r="G940" s="119"/>
      <c r="H940" s="120"/>
      <c r="I940" s="119"/>
      <c r="J940" s="119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4"/>
    </row>
    <row r="941" ht="14.25" customHeight="1">
      <c r="F941" s="119"/>
      <c r="G941" s="119"/>
      <c r="H941" s="120"/>
      <c r="I941" s="119"/>
      <c r="J941" s="119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4"/>
    </row>
    <row r="942" ht="14.25" customHeight="1">
      <c r="F942" s="119"/>
      <c r="G942" s="119"/>
      <c r="H942" s="120"/>
      <c r="I942" s="119"/>
      <c r="J942" s="119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4"/>
    </row>
    <row r="943" ht="14.25" customHeight="1">
      <c r="F943" s="119"/>
      <c r="G943" s="119"/>
      <c r="H943" s="120"/>
      <c r="I943" s="119"/>
      <c r="J943" s="119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4"/>
    </row>
    <row r="944" ht="14.25" customHeight="1">
      <c r="F944" s="119"/>
      <c r="G944" s="119"/>
      <c r="H944" s="120"/>
      <c r="I944" s="119"/>
      <c r="J944" s="119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4"/>
    </row>
    <row r="945" ht="14.25" customHeight="1">
      <c r="F945" s="119"/>
      <c r="G945" s="119"/>
      <c r="H945" s="120"/>
      <c r="I945" s="119"/>
      <c r="J945" s="119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4"/>
    </row>
    <row r="946" ht="14.25" customHeight="1">
      <c r="F946" s="119"/>
      <c r="G946" s="119"/>
      <c r="H946" s="120"/>
      <c r="I946" s="119"/>
      <c r="J946" s="119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4"/>
    </row>
    <row r="947" ht="14.25" customHeight="1">
      <c r="F947" s="119"/>
      <c r="G947" s="119"/>
      <c r="H947" s="120"/>
      <c r="I947" s="119"/>
      <c r="J947" s="119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4"/>
    </row>
    <row r="948" ht="14.25" customHeight="1">
      <c r="F948" s="119"/>
      <c r="G948" s="119"/>
      <c r="H948" s="120"/>
      <c r="I948" s="119"/>
      <c r="J948" s="119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4"/>
    </row>
    <row r="949" ht="14.25" customHeight="1">
      <c r="F949" s="119"/>
      <c r="G949" s="119"/>
      <c r="H949" s="120"/>
      <c r="I949" s="119"/>
      <c r="J949" s="119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4"/>
    </row>
    <row r="950" ht="14.25" customHeight="1">
      <c r="F950" s="119"/>
      <c r="G950" s="119"/>
      <c r="H950" s="120"/>
      <c r="I950" s="119"/>
      <c r="J950" s="119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4"/>
    </row>
    <row r="951" ht="14.25" customHeight="1">
      <c r="F951" s="119"/>
      <c r="G951" s="119"/>
      <c r="H951" s="120"/>
      <c r="I951" s="119"/>
      <c r="J951" s="119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4"/>
    </row>
    <row r="952" ht="14.25" customHeight="1">
      <c r="F952" s="119"/>
      <c r="G952" s="119"/>
      <c r="H952" s="120"/>
      <c r="I952" s="119"/>
      <c r="J952" s="119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4"/>
    </row>
    <row r="953" ht="14.25" customHeight="1">
      <c r="F953" s="119"/>
      <c r="G953" s="119"/>
      <c r="H953" s="120"/>
      <c r="I953" s="119"/>
      <c r="J953" s="119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4"/>
    </row>
    <row r="954" ht="14.25" customHeight="1">
      <c r="F954" s="119"/>
      <c r="G954" s="119"/>
      <c r="H954" s="120"/>
      <c r="I954" s="119"/>
      <c r="J954" s="119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4"/>
    </row>
    <row r="955" ht="14.25" customHeight="1">
      <c r="F955" s="119"/>
      <c r="G955" s="119"/>
      <c r="H955" s="120"/>
      <c r="I955" s="119"/>
      <c r="J955" s="119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4"/>
    </row>
    <row r="956" ht="14.25" customHeight="1">
      <c r="F956" s="119"/>
      <c r="G956" s="119"/>
      <c r="H956" s="120"/>
      <c r="I956" s="119"/>
      <c r="J956" s="119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4"/>
    </row>
    <row r="957" ht="14.25" customHeight="1">
      <c r="F957" s="119"/>
      <c r="G957" s="119"/>
      <c r="H957" s="120"/>
      <c r="I957" s="119"/>
      <c r="J957" s="119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4"/>
    </row>
    <row r="958" ht="14.25" customHeight="1">
      <c r="F958" s="119"/>
      <c r="G958" s="119"/>
      <c r="H958" s="120"/>
      <c r="I958" s="119"/>
      <c r="J958" s="119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4"/>
    </row>
    <row r="959" ht="14.25" customHeight="1">
      <c r="F959" s="119"/>
      <c r="G959" s="119"/>
      <c r="H959" s="120"/>
      <c r="I959" s="119"/>
      <c r="J959" s="119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4"/>
    </row>
    <row r="960" ht="14.25" customHeight="1">
      <c r="F960" s="119"/>
      <c r="G960" s="119"/>
      <c r="H960" s="120"/>
      <c r="I960" s="119"/>
      <c r="J960" s="119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4"/>
    </row>
    <row r="961" ht="14.25" customHeight="1">
      <c r="F961" s="119"/>
      <c r="G961" s="119"/>
      <c r="H961" s="120"/>
      <c r="I961" s="119"/>
      <c r="J961" s="119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4"/>
    </row>
    <row r="962" ht="14.25" customHeight="1">
      <c r="F962" s="119"/>
      <c r="G962" s="119"/>
      <c r="H962" s="120"/>
      <c r="I962" s="119"/>
      <c r="J962" s="119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4"/>
    </row>
    <row r="963" ht="14.25" customHeight="1">
      <c r="F963" s="119"/>
      <c r="G963" s="119"/>
      <c r="H963" s="120"/>
      <c r="I963" s="119"/>
      <c r="J963" s="119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4"/>
    </row>
    <row r="964" ht="14.25" customHeight="1">
      <c r="F964" s="119"/>
      <c r="G964" s="119"/>
      <c r="H964" s="120"/>
      <c r="I964" s="119"/>
      <c r="J964" s="119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4"/>
    </row>
    <row r="965" ht="14.25" customHeight="1">
      <c r="F965" s="119"/>
      <c r="G965" s="119"/>
      <c r="H965" s="120"/>
      <c r="I965" s="119"/>
      <c r="J965" s="119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4"/>
    </row>
    <row r="966" ht="14.25" customHeight="1">
      <c r="F966" s="119"/>
      <c r="G966" s="119"/>
      <c r="H966" s="120"/>
      <c r="I966" s="119"/>
      <c r="J966" s="119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4"/>
    </row>
    <row r="967" ht="14.25" customHeight="1">
      <c r="F967" s="119"/>
      <c r="G967" s="119"/>
      <c r="H967" s="120"/>
      <c r="I967" s="119"/>
      <c r="J967" s="119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4"/>
    </row>
    <row r="968" ht="14.25" customHeight="1">
      <c r="F968" s="119"/>
      <c r="G968" s="119"/>
      <c r="H968" s="120"/>
      <c r="I968" s="119"/>
      <c r="J968" s="119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4"/>
    </row>
    <row r="969" ht="14.25" customHeight="1">
      <c r="F969" s="119"/>
      <c r="G969" s="119"/>
      <c r="H969" s="120"/>
      <c r="I969" s="119"/>
      <c r="J969" s="119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4"/>
    </row>
    <row r="970" ht="14.25" customHeight="1">
      <c r="F970" s="119"/>
      <c r="G970" s="119"/>
      <c r="H970" s="120"/>
      <c r="I970" s="119"/>
      <c r="J970" s="119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4"/>
    </row>
    <row r="971" ht="14.25" customHeight="1">
      <c r="F971" s="119"/>
      <c r="G971" s="119"/>
      <c r="H971" s="120"/>
      <c r="I971" s="119"/>
      <c r="J971" s="119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4"/>
    </row>
    <row r="972" ht="14.25" customHeight="1">
      <c r="F972" s="119"/>
      <c r="G972" s="119"/>
      <c r="H972" s="120"/>
      <c r="I972" s="119"/>
      <c r="J972" s="119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4"/>
    </row>
    <row r="973" ht="14.25" customHeight="1">
      <c r="F973" s="119"/>
      <c r="G973" s="119"/>
      <c r="H973" s="120"/>
      <c r="I973" s="119"/>
      <c r="J973" s="119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4"/>
    </row>
    <row r="974" ht="14.25" customHeight="1">
      <c r="F974" s="119"/>
      <c r="G974" s="119"/>
      <c r="H974" s="120"/>
      <c r="I974" s="119"/>
      <c r="J974" s="119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4"/>
    </row>
    <row r="975" ht="14.25" customHeight="1">
      <c r="F975" s="119"/>
      <c r="G975" s="119"/>
      <c r="H975" s="120"/>
      <c r="I975" s="119"/>
      <c r="J975" s="119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4"/>
    </row>
    <row r="976" ht="14.25" customHeight="1">
      <c r="F976" s="119"/>
      <c r="G976" s="119"/>
      <c r="H976" s="120"/>
      <c r="I976" s="119"/>
      <c r="J976" s="119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4"/>
    </row>
    <row r="977" ht="14.25" customHeight="1">
      <c r="F977" s="119"/>
      <c r="G977" s="119"/>
      <c r="H977" s="120"/>
      <c r="I977" s="119"/>
      <c r="J977" s="119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4"/>
    </row>
    <row r="978" ht="14.25" customHeight="1">
      <c r="F978" s="119"/>
      <c r="G978" s="119"/>
      <c r="H978" s="120"/>
      <c r="I978" s="119"/>
      <c r="J978" s="119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4"/>
    </row>
    <row r="979" ht="14.25" customHeight="1">
      <c r="F979" s="119"/>
      <c r="G979" s="119"/>
      <c r="H979" s="120"/>
      <c r="I979" s="119"/>
      <c r="J979" s="119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4"/>
    </row>
    <row r="980" ht="14.25" customHeight="1">
      <c r="F980" s="119"/>
      <c r="G980" s="119"/>
      <c r="H980" s="120"/>
      <c r="I980" s="119"/>
      <c r="J980" s="119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4"/>
    </row>
    <row r="981" ht="14.25" customHeight="1">
      <c r="F981" s="119"/>
      <c r="G981" s="119"/>
      <c r="H981" s="120"/>
      <c r="I981" s="119"/>
      <c r="J981" s="119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4"/>
    </row>
    <row r="982" ht="14.25" customHeight="1">
      <c r="F982" s="119"/>
      <c r="G982" s="119"/>
      <c r="H982" s="120"/>
      <c r="I982" s="119"/>
      <c r="J982" s="119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4"/>
    </row>
    <row r="983" ht="14.25" customHeight="1">
      <c r="F983" s="119"/>
      <c r="G983" s="119"/>
      <c r="H983" s="120"/>
      <c r="I983" s="119"/>
      <c r="J983" s="119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4"/>
    </row>
    <row r="984" ht="14.25" customHeight="1">
      <c r="F984" s="119"/>
      <c r="G984" s="119"/>
      <c r="H984" s="120"/>
      <c r="I984" s="119"/>
      <c r="J984" s="119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4"/>
    </row>
    <row r="985" ht="14.25" customHeight="1">
      <c r="F985" s="119"/>
      <c r="G985" s="119"/>
      <c r="H985" s="120"/>
      <c r="I985" s="119"/>
      <c r="J985" s="119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4"/>
    </row>
    <row r="986" ht="14.25" customHeight="1">
      <c r="F986" s="119"/>
      <c r="G986" s="119"/>
      <c r="H986" s="120"/>
      <c r="I986" s="119"/>
      <c r="J986" s="119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4"/>
    </row>
    <row r="987" ht="14.25" customHeight="1">
      <c r="F987" s="119"/>
      <c r="G987" s="119"/>
      <c r="H987" s="120"/>
      <c r="I987" s="119"/>
      <c r="J987" s="119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4"/>
    </row>
    <row r="988" ht="14.25" customHeight="1">
      <c r="F988" s="119"/>
      <c r="G988" s="119"/>
      <c r="H988" s="120"/>
      <c r="I988" s="119"/>
      <c r="J988" s="119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4"/>
    </row>
    <row r="989" ht="14.25" customHeight="1">
      <c r="F989" s="119"/>
      <c r="G989" s="119"/>
      <c r="H989" s="120"/>
      <c r="I989" s="119"/>
      <c r="J989" s="119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4"/>
    </row>
    <row r="990" ht="14.25" customHeight="1">
      <c r="F990" s="119"/>
      <c r="G990" s="119"/>
      <c r="H990" s="120"/>
      <c r="I990" s="119"/>
      <c r="J990" s="119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4"/>
    </row>
    <row r="991" ht="14.25" customHeight="1">
      <c r="F991" s="119"/>
      <c r="G991" s="119"/>
      <c r="H991" s="120"/>
      <c r="I991" s="119"/>
      <c r="J991" s="119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4"/>
    </row>
    <row r="992" ht="14.25" customHeight="1">
      <c r="F992" s="119"/>
      <c r="G992" s="119"/>
      <c r="H992" s="120"/>
      <c r="I992" s="119"/>
      <c r="J992" s="119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4"/>
    </row>
    <row r="993" ht="14.25" customHeight="1">
      <c r="F993" s="119"/>
      <c r="G993" s="119"/>
      <c r="H993" s="120"/>
      <c r="I993" s="119"/>
      <c r="J993" s="119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4"/>
    </row>
    <row r="994" ht="14.25" customHeight="1">
      <c r="F994" s="119"/>
      <c r="G994" s="119"/>
      <c r="H994" s="120"/>
      <c r="I994" s="119"/>
      <c r="J994" s="119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4"/>
    </row>
    <row r="995" ht="14.25" customHeight="1">
      <c r="F995" s="119"/>
      <c r="G995" s="119"/>
      <c r="H995" s="120"/>
      <c r="I995" s="119"/>
      <c r="J995" s="119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4"/>
    </row>
    <row r="996" ht="14.25" customHeight="1">
      <c r="F996" s="119"/>
      <c r="G996" s="119"/>
      <c r="H996" s="120"/>
      <c r="I996" s="119"/>
      <c r="J996" s="119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4"/>
    </row>
    <row r="997" ht="14.25" customHeight="1">
      <c r="F997" s="119"/>
      <c r="G997" s="119"/>
      <c r="H997" s="120"/>
      <c r="I997" s="119"/>
      <c r="J997" s="119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4"/>
    </row>
    <row r="998" ht="14.25" customHeight="1">
      <c r="F998" s="119"/>
      <c r="G998" s="119"/>
      <c r="H998" s="120"/>
      <c r="I998" s="119"/>
      <c r="J998" s="119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4"/>
    </row>
    <row r="999" ht="14.25" customHeight="1">
      <c r="F999" s="119"/>
      <c r="G999" s="119"/>
      <c r="H999" s="120"/>
      <c r="I999" s="119"/>
      <c r="J999" s="119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4"/>
    </row>
    <row r="1000" ht="14.25" customHeight="1">
      <c r="F1000" s="119"/>
      <c r="G1000" s="119"/>
      <c r="H1000" s="120"/>
      <c r="I1000" s="119"/>
      <c r="J1000" s="119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4"/>
    </row>
  </sheetData>
  <mergeCells count="45">
    <mergeCell ref="B11:B12"/>
    <mergeCell ref="C11:C12"/>
    <mergeCell ref="D11:D12"/>
    <mergeCell ref="E11:E12"/>
    <mergeCell ref="F11:F12"/>
    <mergeCell ref="G11:G12"/>
    <mergeCell ref="H11:H12"/>
    <mergeCell ref="I11:I12"/>
    <mergeCell ref="L11:L12"/>
    <mergeCell ref="M11:M12"/>
    <mergeCell ref="N11:N12"/>
    <mergeCell ref="O11:O12"/>
    <mergeCell ref="A52:I52"/>
    <mergeCell ref="AD52:AE52"/>
    <mergeCell ref="A53:AE54"/>
    <mergeCell ref="J11:J12"/>
    <mergeCell ref="K11:K12"/>
    <mergeCell ref="A47:L47"/>
    <mergeCell ref="A48:L48"/>
    <mergeCell ref="A49:L49"/>
    <mergeCell ref="A50:L50"/>
    <mergeCell ref="A51:AE51"/>
    <mergeCell ref="AD11:AD12"/>
    <mergeCell ref="AE11:AE12"/>
    <mergeCell ref="A2:AE2"/>
    <mergeCell ref="A3:AE3"/>
    <mergeCell ref="A4:AD4"/>
    <mergeCell ref="A5:AE5"/>
    <mergeCell ref="A6:AE6"/>
    <mergeCell ref="A8:AE8"/>
    <mergeCell ref="A11:A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</mergeCells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71"/>
    <col customWidth="1" min="3" max="3" width="11.71"/>
    <col customWidth="1" min="4" max="4" width="11.14"/>
    <col customWidth="1" min="5" max="5" width="0.29"/>
    <col customWidth="1" min="6" max="6" width="14.14"/>
    <col customWidth="1" min="7" max="7" width="12.29"/>
    <col customWidth="1" min="8" max="8" width="20.14"/>
    <col customWidth="1" min="9" max="9" width="12.29"/>
    <col customWidth="1" min="10" max="10" width="12.86"/>
    <col customWidth="1" min="11" max="11" width="12.29"/>
    <col customWidth="1" min="12" max="12" width="37.71"/>
    <col customWidth="1" min="13" max="13" width="9.71"/>
    <col customWidth="1" min="14" max="14" width="11.43"/>
    <col customWidth="1" min="15" max="15" width="14.0"/>
    <col customWidth="1" min="16" max="16" width="13.0"/>
    <col customWidth="1" min="17" max="17" width="11.57"/>
    <col customWidth="1" min="18" max="18" width="4.71"/>
    <col customWidth="1" min="19" max="19" width="12.43"/>
    <col customWidth="1" min="20" max="20" width="14.14"/>
    <col customWidth="1" min="21" max="24" width="11.14"/>
    <col customWidth="1" min="25" max="25" width="15.29"/>
    <col customWidth="1" hidden="1" min="26" max="26" width="16.43"/>
    <col customWidth="1" hidden="1" min="27" max="27" width="18.43"/>
    <col customWidth="1" hidden="1" min="28" max="28" width="16.86"/>
    <col customWidth="1" hidden="1" min="29" max="29" width="13.14"/>
    <col customWidth="1" min="30" max="30" width="16.0"/>
    <col customWidth="1" min="31" max="31" width="40.43"/>
    <col customWidth="1" min="32" max="32" width="8.71"/>
    <col customWidth="1" min="33" max="33" width="20.0"/>
    <col customWidth="1" min="34" max="34" width="22.86"/>
  </cols>
  <sheetData>
    <row r="1" ht="14.25" customHeight="1">
      <c r="A1" s="213" t="s">
        <v>334</v>
      </c>
      <c r="F1" s="119"/>
      <c r="G1" s="119"/>
      <c r="H1" s="120"/>
      <c r="I1" s="119"/>
      <c r="J1" s="119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ht="14.25" customHeight="1">
      <c r="A2" s="5" t="s">
        <v>173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</row>
    <row r="4" ht="17.25" customHeight="1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7"/>
    </row>
    <row r="6" ht="14.25" customHeight="1">
      <c r="A6" s="11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</row>
    <row r="7" ht="14.25" customHeight="1">
      <c r="A7" s="11"/>
      <c r="B7" s="12"/>
      <c r="C7" s="12"/>
      <c r="D7" s="12"/>
      <c r="E7" s="12"/>
      <c r="F7" s="121"/>
      <c r="G7" s="121"/>
      <c r="H7" s="122"/>
      <c r="I7" s="121"/>
      <c r="J7" s="121"/>
      <c r="K7" s="12"/>
      <c r="L7" s="12"/>
      <c r="M7" s="13"/>
      <c r="N7" s="13"/>
      <c r="O7" s="13"/>
      <c r="P7" s="13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</row>
    <row r="8" ht="18.7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</row>
    <row r="9" ht="18.75" customHeight="1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</row>
    <row r="10" ht="18.75" customHeight="1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</row>
    <row r="11" ht="29.25" customHeight="1">
      <c r="A11" s="20" t="s">
        <v>12</v>
      </c>
      <c r="B11" s="21" t="s">
        <v>15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169</v>
      </c>
      <c r="H11" s="24" t="s">
        <v>23</v>
      </c>
      <c r="I11" s="21" t="s">
        <v>27</v>
      </c>
      <c r="J11" s="21" t="s">
        <v>30</v>
      </c>
      <c r="K11" s="21" t="s">
        <v>18</v>
      </c>
      <c r="L11" s="21" t="s">
        <v>31</v>
      </c>
      <c r="M11" s="22" t="s">
        <v>170</v>
      </c>
      <c r="N11" s="21" t="s">
        <v>21</v>
      </c>
      <c r="O11" s="21" t="s">
        <v>22</v>
      </c>
      <c r="P11" s="21" t="s">
        <v>171</v>
      </c>
      <c r="Q11" s="21" t="s">
        <v>172</v>
      </c>
      <c r="R11" s="32" t="s">
        <v>24</v>
      </c>
      <c r="S11" s="23" t="s">
        <v>25</v>
      </c>
      <c r="T11" s="25" t="s">
        <v>174</v>
      </c>
      <c r="U11" s="23" t="s">
        <v>37</v>
      </c>
      <c r="V11" s="25" t="s">
        <v>39</v>
      </c>
      <c r="W11" s="25" t="s">
        <v>40</v>
      </c>
      <c r="X11" s="25" t="s">
        <v>43</v>
      </c>
      <c r="Y11" s="25" t="s">
        <v>45</v>
      </c>
      <c r="Z11" s="25" t="s">
        <v>46</v>
      </c>
      <c r="AA11" s="25" t="s">
        <v>47</v>
      </c>
      <c r="AB11" s="25" t="s">
        <v>48</v>
      </c>
      <c r="AC11" s="23" t="s">
        <v>32</v>
      </c>
      <c r="AD11" s="23" t="s">
        <v>33</v>
      </c>
      <c r="AE11" s="27" t="s">
        <v>34</v>
      </c>
    </row>
    <row r="12" ht="37.5" customHeight="1">
      <c r="A12" s="28"/>
      <c r="B12" s="30"/>
      <c r="C12" s="29"/>
      <c r="D12" s="29"/>
      <c r="E12" s="29"/>
      <c r="F12" s="29"/>
      <c r="G12" s="30"/>
      <c r="H12" s="30"/>
      <c r="I12" s="29"/>
      <c r="J12" s="30"/>
      <c r="K12" s="29"/>
      <c r="L12" s="29"/>
      <c r="M12" s="29"/>
      <c r="N12" s="29"/>
      <c r="O12" s="29"/>
      <c r="P12" s="30"/>
      <c r="Q12" s="30"/>
      <c r="R12" s="29"/>
      <c r="S12" s="29"/>
      <c r="T12" s="29"/>
      <c r="U12" s="29"/>
      <c r="V12" s="30"/>
      <c r="W12" s="30"/>
      <c r="X12" s="30"/>
      <c r="Y12" s="30"/>
      <c r="Z12" s="30"/>
      <c r="AA12" s="30"/>
      <c r="AB12" s="30"/>
      <c r="AC12" s="30"/>
      <c r="AD12" s="30"/>
      <c r="AE12" s="33"/>
    </row>
    <row r="13" ht="14.25" customHeight="1">
      <c r="A13" s="42">
        <v>1.0</v>
      </c>
      <c r="B13" s="42" t="s">
        <v>335</v>
      </c>
      <c r="C13" s="44">
        <v>46051.0</v>
      </c>
      <c r="D13" s="44">
        <v>46052.0</v>
      </c>
      <c r="E13" s="37"/>
      <c r="F13" s="37" t="s">
        <v>113</v>
      </c>
      <c r="G13" s="37" t="s">
        <v>336</v>
      </c>
      <c r="H13" s="49"/>
      <c r="I13" s="37" t="s">
        <v>337</v>
      </c>
      <c r="J13" s="37" t="s">
        <v>338</v>
      </c>
      <c r="K13" s="42" t="s">
        <v>270</v>
      </c>
      <c r="L13" s="37" t="s">
        <v>339</v>
      </c>
      <c r="M13" s="202">
        <v>1.0</v>
      </c>
      <c r="N13" s="43"/>
      <c r="O13" s="43">
        <v>1000000.0</v>
      </c>
      <c r="P13" s="43"/>
      <c r="Q13" s="43"/>
      <c r="R13" s="50">
        <v>1.0</v>
      </c>
      <c r="S13" s="47">
        <v>800000.0</v>
      </c>
      <c r="T13" s="51"/>
      <c r="U13" s="47"/>
      <c r="V13" s="47"/>
      <c r="W13" s="47"/>
      <c r="X13" s="47"/>
      <c r="Y13" s="47"/>
      <c r="Z13" s="47"/>
      <c r="AA13" s="47"/>
      <c r="AB13" s="47"/>
      <c r="AC13" s="47"/>
      <c r="AD13" s="47">
        <f>O13+S13</f>
        <v>1800000</v>
      </c>
      <c r="AE13" s="52"/>
      <c r="AF13" s="56"/>
      <c r="AG13" s="54"/>
      <c r="AH13" s="54"/>
    </row>
    <row r="14" ht="14.25" customHeight="1">
      <c r="A14" s="42">
        <f t="shared" ref="A14:A21" si="1">A13+1</f>
        <v>2</v>
      </c>
      <c r="B14" s="42" t="s">
        <v>335</v>
      </c>
      <c r="C14" s="44">
        <v>46053.0</v>
      </c>
      <c r="D14" s="35">
        <v>46054.0</v>
      </c>
      <c r="E14" s="37"/>
      <c r="F14" s="37" t="s">
        <v>176</v>
      </c>
      <c r="G14" s="37" t="s">
        <v>336</v>
      </c>
      <c r="H14" s="49" t="s">
        <v>340</v>
      </c>
      <c r="I14" s="37"/>
      <c r="J14" s="37"/>
      <c r="K14" s="42"/>
      <c r="L14" s="37" t="s">
        <v>291</v>
      </c>
      <c r="M14" s="202">
        <v>1.0</v>
      </c>
      <c r="N14" s="43"/>
      <c r="O14" s="194">
        <v>1500000.0</v>
      </c>
      <c r="P14" s="43"/>
      <c r="Q14" s="43"/>
      <c r="R14" s="5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  <c r="AD14" s="47">
        <f t="shared" ref="AD14:AD15" si="2">O14</f>
        <v>1500000</v>
      </c>
      <c r="AE14" s="52"/>
      <c r="AF14" s="56"/>
      <c r="AG14" s="54"/>
      <c r="AH14" s="54"/>
    </row>
    <row r="15" ht="14.25" customHeight="1">
      <c r="A15" s="42">
        <f t="shared" si="1"/>
        <v>3</v>
      </c>
      <c r="B15" s="42" t="s">
        <v>335</v>
      </c>
      <c r="C15" s="44">
        <v>46053.0</v>
      </c>
      <c r="D15" s="35">
        <v>46054.0</v>
      </c>
      <c r="E15" s="37"/>
      <c r="F15" s="37" t="s">
        <v>341</v>
      </c>
      <c r="G15" s="37" t="s">
        <v>336</v>
      </c>
      <c r="H15" s="49" t="s">
        <v>340</v>
      </c>
      <c r="I15" s="37"/>
      <c r="J15" s="37"/>
      <c r="K15" s="42"/>
      <c r="L15" s="37" t="s">
        <v>189</v>
      </c>
      <c r="M15" s="202">
        <v>1.0</v>
      </c>
      <c r="N15" s="43"/>
      <c r="O15" s="43">
        <v>2500000.0</v>
      </c>
      <c r="P15" s="43"/>
      <c r="Q15" s="43"/>
      <c r="R15" s="59"/>
      <c r="S15" s="47"/>
      <c r="T15" s="60"/>
      <c r="U15" s="47"/>
      <c r="V15" s="47"/>
      <c r="W15" s="47"/>
      <c r="X15" s="47"/>
      <c r="Y15" s="47"/>
      <c r="Z15" s="47"/>
      <c r="AA15" s="47"/>
      <c r="AB15" s="47"/>
      <c r="AC15" s="47"/>
      <c r="AD15" s="47">
        <f t="shared" si="2"/>
        <v>2500000</v>
      </c>
      <c r="AE15" s="52"/>
      <c r="AF15" s="56"/>
      <c r="AG15" s="54"/>
      <c r="AH15" s="54"/>
    </row>
    <row r="16" ht="14.25" customHeight="1">
      <c r="A16" s="42">
        <f t="shared" si="1"/>
        <v>4</v>
      </c>
      <c r="B16" s="42" t="s">
        <v>335</v>
      </c>
      <c r="C16" s="44">
        <v>46053.0</v>
      </c>
      <c r="D16" s="35">
        <v>46054.0</v>
      </c>
      <c r="E16" s="37"/>
      <c r="F16" s="37" t="s">
        <v>52</v>
      </c>
      <c r="G16" s="37" t="s">
        <v>336</v>
      </c>
      <c r="H16" s="49" t="s">
        <v>340</v>
      </c>
      <c r="I16" s="37" t="s">
        <v>337</v>
      </c>
      <c r="J16" s="37" t="s">
        <v>342</v>
      </c>
      <c r="K16" s="42" t="s">
        <v>270</v>
      </c>
      <c r="L16" s="37" t="s">
        <v>343</v>
      </c>
      <c r="M16" s="202">
        <v>1.0</v>
      </c>
      <c r="N16" s="43"/>
      <c r="O16" s="214">
        <v>6000000.0</v>
      </c>
      <c r="P16" s="43"/>
      <c r="Q16" s="43"/>
      <c r="R16" s="50"/>
      <c r="S16" s="47">
        <v>800000.0</v>
      </c>
      <c r="T16" s="51"/>
      <c r="U16" s="162">
        <v>500000.0</v>
      </c>
      <c r="V16" s="47">
        <f>248400/1.08</f>
        <v>230000</v>
      </c>
      <c r="W16" s="47"/>
      <c r="X16" s="47"/>
      <c r="Y16" s="47">
        <v>1718180.0</v>
      </c>
      <c r="Z16" s="47"/>
      <c r="AA16" s="47"/>
      <c r="AB16" s="47"/>
      <c r="AC16" s="47"/>
      <c r="AD16" s="47">
        <f>SUM(O16,S16,U16,Y16)</f>
        <v>9018180</v>
      </c>
      <c r="AE16" s="52" t="s">
        <v>344</v>
      </c>
      <c r="AF16" s="56"/>
      <c r="AG16" s="54"/>
      <c r="AH16" s="54"/>
    </row>
    <row r="17" ht="14.25" customHeight="1">
      <c r="A17" s="42">
        <f t="shared" si="1"/>
        <v>5</v>
      </c>
      <c r="B17" s="42" t="s">
        <v>335</v>
      </c>
      <c r="C17" s="44">
        <v>46053.0</v>
      </c>
      <c r="D17" s="35">
        <v>46054.0</v>
      </c>
      <c r="E17" s="37"/>
      <c r="F17" s="37" t="s">
        <v>176</v>
      </c>
      <c r="G17" s="37" t="s">
        <v>336</v>
      </c>
      <c r="H17" s="49" t="s">
        <v>345</v>
      </c>
      <c r="I17" s="37"/>
      <c r="J17" s="37"/>
      <c r="K17" s="42"/>
      <c r="L17" s="37" t="s">
        <v>291</v>
      </c>
      <c r="M17" s="202">
        <v>1.0</v>
      </c>
      <c r="N17" s="43"/>
      <c r="O17" s="194">
        <v>1500000.0</v>
      </c>
      <c r="P17" s="43"/>
      <c r="Q17" s="43"/>
      <c r="R17" s="59"/>
      <c r="S17" s="47"/>
      <c r="T17" s="63"/>
      <c r="U17" s="47"/>
      <c r="V17" s="47"/>
      <c r="W17" s="47"/>
      <c r="X17" s="47"/>
      <c r="Y17" s="47"/>
      <c r="Z17" s="47"/>
      <c r="AA17" s="47"/>
      <c r="AB17" s="47"/>
      <c r="AC17" s="47"/>
      <c r="AD17" s="47">
        <f t="shared" ref="AD17:AD18" si="3">O17</f>
        <v>1500000</v>
      </c>
      <c r="AE17" s="52"/>
      <c r="AF17" s="56"/>
      <c r="AG17" s="56"/>
      <c r="AH17" s="56"/>
    </row>
    <row r="18" ht="14.25" customHeight="1">
      <c r="A18" s="42">
        <f t="shared" si="1"/>
        <v>6</v>
      </c>
      <c r="B18" s="42" t="s">
        <v>335</v>
      </c>
      <c r="C18" s="44">
        <v>46053.0</v>
      </c>
      <c r="D18" s="35">
        <v>46054.0</v>
      </c>
      <c r="E18" s="37"/>
      <c r="F18" s="37" t="s">
        <v>176</v>
      </c>
      <c r="G18" s="37" t="s">
        <v>336</v>
      </c>
      <c r="H18" s="49" t="s">
        <v>345</v>
      </c>
      <c r="I18" s="37"/>
      <c r="J18" s="37"/>
      <c r="K18" s="42"/>
      <c r="L18" s="37" t="s">
        <v>189</v>
      </c>
      <c r="M18" s="202">
        <v>1.0</v>
      </c>
      <c r="N18" s="43"/>
      <c r="O18" s="43">
        <v>2500000.0</v>
      </c>
      <c r="P18" s="43"/>
      <c r="Q18" s="43"/>
      <c r="R18" s="59"/>
      <c r="S18" s="47"/>
      <c r="T18" s="63"/>
      <c r="U18" s="47"/>
      <c r="V18" s="47"/>
      <c r="W18" s="47"/>
      <c r="X18" s="194"/>
      <c r="Y18" s="47"/>
      <c r="Z18" s="47"/>
      <c r="AA18" s="47"/>
      <c r="AB18" s="47"/>
      <c r="AC18" s="47"/>
      <c r="AD18" s="47">
        <f t="shared" si="3"/>
        <v>2500000</v>
      </c>
      <c r="AE18" s="52"/>
      <c r="AF18" s="56"/>
      <c r="AG18" s="56"/>
      <c r="AH18" s="56"/>
    </row>
    <row r="19" ht="14.25" customHeight="1">
      <c r="A19" s="42">
        <f t="shared" si="1"/>
        <v>7</v>
      </c>
      <c r="B19" s="42" t="s">
        <v>335</v>
      </c>
      <c r="C19" s="44">
        <v>46053.0</v>
      </c>
      <c r="D19" s="35">
        <v>46054.0</v>
      </c>
      <c r="E19" s="37"/>
      <c r="F19" s="37" t="s">
        <v>113</v>
      </c>
      <c r="G19" s="37" t="s">
        <v>336</v>
      </c>
      <c r="H19" s="49" t="s">
        <v>345</v>
      </c>
      <c r="I19" s="37" t="s">
        <v>346</v>
      </c>
      <c r="J19" s="37" t="s">
        <v>347</v>
      </c>
      <c r="K19" s="42" t="s">
        <v>270</v>
      </c>
      <c r="L19" s="37" t="s">
        <v>343</v>
      </c>
      <c r="M19" s="202">
        <v>1.0</v>
      </c>
      <c r="N19" s="43"/>
      <c r="O19" s="214">
        <v>6000000.0</v>
      </c>
      <c r="P19" s="43"/>
      <c r="Q19" s="43"/>
      <c r="R19" s="50"/>
      <c r="S19" s="47">
        <v>800000.0</v>
      </c>
      <c r="T19" s="51"/>
      <c r="U19" s="162">
        <v>500000.0</v>
      </c>
      <c r="V19" s="47">
        <f>248400/1.08</f>
        <v>230000</v>
      </c>
      <c r="W19" s="47"/>
      <c r="X19" s="47"/>
      <c r="Y19" s="47">
        <v>864000.0</v>
      </c>
      <c r="Z19" s="47"/>
      <c r="AA19" s="47"/>
      <c r="AB19" s="47"/>
      <c r="AC19" s="47"/>
      <c r="AD19" s="47">
        <f>SUM(O19,U19,S19,Y19)</f>
        <v>8164000</v>
      </c>
      <c r="AE19" s="52"/>
      <c r="AF19" s="56"/>
      <c r="AG19" s="54"/>
      <c r="AH19" s="54"/>
    </row>
    <row r="20" ht="14.25" customHeight="1">
      <c r="A20" s="42">
        <f t="shared" si="1"/>
        <v>8</v>
      </c>
      <c r="B20" s="42" t="s">
        <v>335</v>
      </c>
      <c r="C20" s="44">
        <v>46055.0</v>
      </c>
      <c r="D20" s="35">
        <v>46056.0</v>
      </c>
      <c r="E20" s="37"/>
      <c r="F20" s="37" t="s">
        <v>176</v>
      </c>
      <c r="G20" s="37" t="s">
        <v>186</v>
      </c>
      <c r="H20" s="49" t="s">
        <v>348</v>
      </c>
      <c r="I20" s="37"/>
      <c r="J20" s="37"/>
      <c r="K20" s="42"/>
      <c r="L20" s="37" t="s">
        <v>291</v>
      </c>
      <c r="M20" s="215">
        <v>1.0</v>
      </c>
      <c r="N20" s="43"/>
      <c r="O20" s="43">
        <v>2315000.0</v>
      </c>
      <c r="P20" s="43"/>
      <c r="Q20" s="43"/>
      <c r="R20" s="59"/>
      <c r="S20" s="47"/>
      <c r="T20" s="63"/>
      <c r="U20" s="47"/>
      <c r="V20" s="47"/>
      <c r="W20" s="47"/>
      <c r="X20" s="47"/>
      <c r="Y20" s="47"/>
      <c r="Z20" s="47"/>
      <c r="AA20" s="47"/>
      <c r="AB20" s="47"/>
      <c r="AC20" s="47"/>
      <c r="AD20" s="47">
        <f t="shared" ref="AD20:AD21" si="4">O20</f>
        <v>2315000</v>
      </c>
      <c r="AE20" s="52"/>
      <c r="AF20" s="56"/>
      <c r="AG20" s="56"/>
      <c r="AH20" s="56"/>
    </row>
    <row r="21" ht="14.25" customHeight="1">
      <c r="A21" s="42">
        <f t="shared" si="1"/>
        <v>9</v>
      </c>
      <c r="B21" s="42" t="s">
        <v>335</v>
      </c>
      <c r="C21" s="44">
        <v>46055.0</v>
      </c>
      <c r="D21" s="35">
        <v>46056.0</v>
      </c>
      <c r="E21" s="37"/>
      <c r="F21" s="37" t="s">
        <v>176</v>
      </c>
      <c r="G21" s="37" t="s">
        <v>186</v>
      </c>
      <c r="H21" s="49" t="s">
        <v>348</v>
      </c>
      <c r="I21" s="37"/>
      <c r="J21" s="37"/>
      <c r="K21" s="42"/>
      <c r="L21" s="37" t="s">
        <v>189</v>
      </c>
      <c r="M21" s="215">
        <v>1.0</v>
      </c>
      <c r="N21" s="43"/>
      <c r="O21" s="43">
        <v>4630000.0</v>
      </c>
      <c r="P21" s="43"/>
      <c r="Q21" s="43"/>
      <c r="R21" s="59"/>
      <c r="S21" s="47"/>
      <c r="T21" s="63"/>
      <c r="U21" s="47"/>
      <c r="V21" s="47"/>
      <c r="W21" s="47"/>
      <c r="X21" s="194"/>
      <c r="Y21" s="47"/>
      <c r="Z21" s="47"/>
      <c r="AA21" s="47"/>
      <c r="AB21" s="47"/>
      <c r="AC21" s="47"/>
      <c r="AD21" s="47">
        <f t="shared" si="4"/>
        <v>4630000</v>
      </c>
      <c r="AE21" s="52"/>
      <c r="AF21" s="56"/>
      <c r="AG21" s="56"/>
      <c r="AH21" s="56"/>
    </row>
    <row r="22" ht="14.25" customHeight="1">
      <c r="A22" s="42">
        <v>10.0</v>
      </c>
      <c r="B22" s="42" t="s">
        <v>335</v>
      </c>
      <c r="C22" s="44">
        <v>46055.0</v>
      </c>
      <c r="D22" s="35">
        <v>46057.0</v>
      </c>
      <c r="E22" s="37"/>
      <c r="F22" s="37" t="s">
        <v>276</v>
      </c>
      <c r="G22" s="37" t="s">
        <v>186</v>
      </c>
      <c r="H22" s="49" t="s">
        <v>348</v>
      </c>
      <c r="I22" s="37" t="s">
        <v>349</v>
      </c>
      <c r="J22" s="216" t="s">
        <v>350</v>
      </c>
      <c r="K22" s="42" t="s">
        <v>188</v>
      </c>
      <c r="L22" s="37" t="s">
        <v>351</v>
      </c>
      <c r="M22" s="215">
        <v>1.0</v>
      </c>
      <c r="N22" s="43"/>
      <c r="O22" s="43">
        <v>4.0E7</v>
      </c>
      <c r="P22" s="43"/>
      <c r="Q22" s="43"/>
      <c r="R22" s="59">
        <v>1.0</v>
      </c>
      <c r="S22" s="47">
        <v>3000000.0</v>
      </c>
      <c r="T22" s="63">
        <v>3000000.0</v>
      </c>
      <c r="U22" s="47">
        <v>800000.0</v>
      </c>
      <c r="V22" s="47">
        <v>600000.0</v>
      </c>
      <c r="W22" s="47">
        <v>500000.0</v>
      </c>
      <c r="X22" s="194">
        <v>1000000.0</v>
      </c>
      <c r="Y22" s="208">
        <v>7776000.0</v>
      </c>
      <c r="Z22" s="47"/>
      <c r="AA22" s="47"/>
      <c r="AB22" s="47"/>
      <c r="AC22" s="47"/>
      <c r="AD22" s="43">
        <f>SUM(O22,S22:Y22)</f>
        <v>56676000</v>
      </c>
      <c r="AE22" s="52"/>
      <c r="AF22" s="56"/>
      <c r="AG22" s="56"/>
      <c r="AH22" s="56"/>
    </row>
    <row r="23" ht="16.5" customHeight="1">
      <c r="A23" s="42">
        <v>11.0</v>
      </c>
      <c r="B23" s="42" t="s">
        <v>335</v>
      </c>
      <c r="C23" s="35">
        <v>46057.0</v>
      </c>
      <c r="D23" s="35">
        <v>46058.0</v>
      </c>
      <c r="E23" s="37"/>
      <c r="F23" s="37" t="s">
        <v>176</v>
      </c>
      <c r="G23" s="37" t="s">
        <v>352</v>
      </c>
      <c r="H23" s="134" t="s">
        <v>353</v>
      </c>
      <c r="I23" s="37"/>
      <c r="J23" s="37"/>
      <c r="K23" s="42"/>
      <c r="L23" s="37" t="s">
        <v>291</v>
      </c>
      <c r="M23" s="48">
        <v>1.0</v>
      </c>
      <c r="N23" s="43"/>
      <c r="O23" s="194">
        <v>1500000.0</v>
      </c>
      <c r="P23" s="43"/>
      <c r="Q23" s="43"/>
      <c r="R23" s="59"/>
      <c r="S23" s="47"/>
      <c r="T23" s="63"/>
      <c r="U23" s="47"/>
      <c r="V23" s="47"/>
      <c r="W23" s="47"/>
      <c r="X23" s="47"/>
      <c r="Y23" s="47"/>
      <c r="Z23" s="47"/>
      <c r="AA23" s="47"/>
      <c r="AB23" s="47"/>
      <c r="AC23" s="47"/>
      <c r="AD23" s="43">
        <f t="shared" ref="AD23:AD24" si="5">O23</f>
        <v>1500000</v>
      </c>
      <c r="AE23" s="52"/>
      <c r="AF23" s="56"/>
      <c r="AG23" s="56"/>
      <c r="AH23" s="56"/>
    </row>
    <row r="24" ht="15.75" customHeight="1">
      <c r="A24" s="42">
        <v>12.0</v>
      </c>
      <c r="B24" s="42" t="s">
        <v>335</v>
      </c>
      <c r="C24" s="35">
        <v>46057.0</v>
      </c>
      <c r="D24" s="35">
        <v>46058.0</v>
      </c>
      <c r="E24" s="37"/>
      <c r="F24" s="37" t="s">
        <v>176</v>
      </c>
      <c r="G24" s="37" t="s">
        <v>352</v>
      </c>
      <c r="H24" s="134" t="s">
        <v>353</v>
      </c>
      <c r="I24" s="68"/>
      <c r="J24" s="37"/>
      <c r="K24" s="42"/>
      <c r="L24" s="37" t="s">
        <v>189</v>
      </c>
      <c r="M24" s="48">
        <v>1.0</v>
      </c>
      <c r="N24" s="43"/>
      <c r="O24" s="43">
        <v>2500000.0</v>
      </c>
      <c r="P24" s="43"/>
      <c r="Q24" s="43"/>
      <c r="R24" s="59"/>
      <c r="S24" s="47"/>
      <c r="T24" s="63"/>
      <c r="U24" s="47"/>
      <c r="V24" s="47"/>
      <c r="W24" s="47"/>
      <c r="X24" s="194"/>
      <c r="Y24" s="47"/>
      <c r="Z24" s="47"/>
      <c r="AA24" s="47"/>
      <c r="AB24" s="47"/>
      <c r="AC24" s="47"/>
      <c r="AD24" s="47">
        <f t="shared" si="5"/>
        <v>2500000</v>
      </c>
      <c r="AE24" s="52"/>
      <c r="AF24" s="56"/>
      <c r="AG24" s="56"/>
      <c r="AH24" s="56"/>
    </row>
    <row r="25" ht="16.5" customHeight="1">
      <c r="A25" s="42">
        <v>13.0</v>
      </c>
      <c r="B25" s="42" t="s">
        <v>335</v>
      </c>
      <c r="C25" s="35">
        <v>46057.0</v>
      </c>
      <c r="D25" s="35">
        <v>46058.0</v>
      </c>
      <c r="E25" s="37"/>
      <c r="F25" s="37" t="s">
        <v>49</v>
      </c>
      <c r="G25" s="37" t="s">
        <v>352</v>
      </c>
      <c r="H25" s="134" t="s">
        <v>353</v>
      </c>
      <c r="I25" s="68" t="s">
        <v>354</v>
      </c>
      <c r="J25" s="37" t="s">
        <v>355</v>
      </c>
      <c r="K25" s="42" t="s">
        <v>184</v>
      </c>
      <c r="L25" s="37" t="s">
        <v>343</v>
      </c>
      <c r="M25" s="48">
        <v>1.0</v>
      </c>
      <c r="N25" s="43"/>
      <c r="O25" s="214">
        <v>6000000.0</v>
      </c>
      <c r="P25" s="43"/>
      <c r="Q25" s="43"/>
      <c r="R25" s="59"/>
      <c r="S25" s="47"/>
      <c r="T25" s="63"/>
      <c r="U25" s="47">
        <v>300000.0</v>
      </c>
      <c r="V25" s="47"/>
      <c r="W25" s="47"/>
      <c r="X25" s="47"/>
      <c r="Y25" s="208">
        <v>1718180.0</v>
      </c>
      <c r="Z25" s="47"/>
      <c r="AA25" s="47"/>
      <c r="AB25" s="47"/>
      <c r="AC25" s="47"/>
      <c r="AD25" s="43">
        <f>SUM(O25,U25,Y25)</f>
        <v>8018180</v>
      </c>
      <c r="AE25" s="52"/>
      <c r="AF25" s="56"/>
      <c r="AG25" s="56"/>
      <c r="AH25" s="56"/>
    </row>
    <row r="26" ht="15.75" customHeight="1">
      <c r="A26" s="42">
        <v>14.0</v>
      </c>
      <c r="B26" s="42" t="s">
        <v>335</v>
      </c>
      <c r="C26" s="35">
        <v>46057.0</v>
      </c>
      <c r="D26" s="35">
        <v>46058.0</v>
      </c>
      <c r="E26" s="37"/>
      <c r="F26" s="37" t="s">
        <v>176</v>
      </c>
      <c r="G26" s="37" t="s">
        <v>352</v>
      </c>
      <c r="H26" s="134" t="s">
        <v>356</v>
      </c>
      <c r="I26" s="68"/>
      <c r="J26" s="68"/>
      <c r="K26" s="42"/>
      <c r="L26" s="37" t="s">
        <v>291</v>
      </c>
      <c r="M26" s="56">
        <v>1.0</v>
      </c>
      <c r="N26" s="43"/>
      <c r="O26" s="194">
        <v>1500000.0</v>
      </c>
      <c r="P26" s="43"/>
      <c r="Q26" s="43"/>
      <c r="R26" s="59"/>
      <c r="S26" s="47"/>
      <c r="T26" s="63"/>
      <c r="U26" s="47"/>
      <c r="V26" s="47"/>
      <c r="W26" s="47"/>
      <c r="X26" s="47"/>
      <c r="Y26" s="47"/>
      <c r="Z26" s="47"/>
      <c r="AA26" s="47"/>
      <c r="AB26" s="47"/>
      <c r="AC26" s="47"/>
      <c r="AD26" s="43">
        <f t="shared" ref="AD26:AD27" si="6">O26</f>
        <v>1500000</v>
      </c>
      <c r="AE26" s="52"/>
      <c r="AF26" s="56"/>
      <c r="AG26" s="56"/>
      <c r="AH26" s="56"/>
    </row>
    <row r="27" ht="15.75" customHeight="1">
      <c r="A27" s="42">
        <v>15.0</v>
      </c>
      <c r="B27" s="42" t="s">
        <v>335</v>
      </c>
      <c r="C27" s="35">
        <v>46057.0</v>
      </c>
      <c r="D27" s="35">
        <v>46058.0</v>
      </c>
      <c r="E27" s="37"/>
      <c r="F27" s="37" t="s">
        <v>176</v>
      </c>
      <c r="G27" s="37" t="s">
        <v>352</v>
      </c>
      <c r="H27" s="134" t="s">
        <v>356</v>
      </c>
      <c r="I27" s="37"/>
      <c r="J27" s="37"/>
      <c r="K27" s="42"/>
      <c r="L27" s="37" t="s">
        <v>189</v>
      </c>
      <c r="M27" s="48">
        <v>1.0</v>
      </c>
      <c r="N27" s="43"/>
      <c r="O27" s="43">
        <v>2500000.0</v>
      </c>
      <c r="P27" s="43"/>
      <c r="Q27" s="43"/>
      <c r="R27" s="59"/>
      <c r="S27" s="47"/>
      <c r="T27" s="63"/>
      <c r="U27" s="47"/>
      <c r="V27" s="47"/>
      <c r="W27" s="47"/>
      <c r="X27" s="194"/>
      <c r="Y27" s="47"/>
      <c r="Z27" s="47"/>
      <c r="AA27" s="47"/>
      <c r="AB27" s="47"/>
      <c r="AC27" s="47"/>
      <c r="AD27" s="47">
        <f t="shared" si="6"/>
        <v>2500000</v>
      </c>
      <c r="AE27" s="52"/>
      <c r="AF27" s="56"/>
      <c r="AG27" s="56"/>
      <c r="AH27" s="56"/>
    </row>
    <row r="28" ht="15.75" customHeight="1">
      <c r="A28" s="42">
        <v>16.0</v>
      </c>
      <c r="B28" s="42" t="s">
        <v>335</v>
      </c>
      <c r="C28" s="35">
        <v>46057.0</v>
      </c>
      <c r="D28" s="35">
        <v>46058.0</v>
      </c>
      <c r="E28" s="37"/>
      <c r="F28" s="37" t="s">
        <v>52</v>
      </c>
      <c r="G28" s="37" t="s">
        <v>352</v>
      </c>
      <c r="H28" s="134" t="s">
        <v>356</v>
      </c>
      <c r="I28" s="37" t="s">
        <v>357</v>
      </c>
      <c r="J28" s="54" t="s">
        <v>358</v>
      </c>
      <c r="K28" s="42" t="s">
        <v>184</v>
      </c>
      <c r="L28" s="37" t="s">
        <v>343</v>
      </c>
      <c r="M28" s="48">
        <v>1.0</v>
      </c>
      <c r="N28" s="43"/>
      <c r="O28" s="214">
        <v>6000000.0</v>
      </c>
      <c r="P28" s="43"/>
      <c r="Q28" s="43"/>
      <c r="R28" s="59"/>
      <c r="S28" s="47"/>
      <c r="T28" s="60"/>
      <c r="U28" s="47">
        <v>300000.0</v>
      </c>
      <c r="V28" s="47"/>
      <c r="W28" s="47"/>
      <c r="X28" s="47"/>
      <c r="Y28" s="208">
        <v>1718180.0</v>
      </c>
      <c r="Z28" s="47"/>
      <c r="AA28" s="47"/>
      <c r="AB28" s="47"/>
      <c r="AC28" s="47"/>
      <c r="AD28" s="178">
        <f>SUM(O28,U28,Y28)</f>
        <v>8018180</v>
      </c>
      <c r="AE28" s="52"/>
      <c r="AF28" s="56"/>
      <c r="AG28" s="56"/>
      <c r="AH28" s="56"/>
    </row>
    <row r="29" ht="15.75" customHeight="1">
      <c r="A29" s="42">
        <v>17.0</v>
      </c>
      <c r="B29" s="42" t="s">
        <v>335</v>
      </c>
      <c r="C29" s="35">
        <v>46059.0</v>
      </c>
      <c r="D29" s="35">
        <v>46062.0</v>
      </c>
      <c r="E29" s="37"/>
      <c r="F29" s="37" t="s">
        <v>176</v>
      </c>
      <c r="G29" s="37" t="s">
        <v>352</v>
      </c>
      <c r="H29" s="142" t="s">
        <v>359</v>
      </c>
      <c r="I29" s="37"/>
      <c r="J29" s="37"/>
      <c r="K29" s="42"/>
      <c r="L29" s="37" t="s">
        <v>291</v>
      </c>
      <c r="M29" s="48">
        <v>1.0</v>
      </c>
      <c r="N29" s="43"/>
      <c r="O29" s="194">
        <v>1500000.0</v>
      </c>
      <c r="P29" s="43"/>
      <c r="Q29" s="43"/>
      <c r="R29" s="59"/>
      <c r="S29" s="47"/>
      <c r="T29" s="60"/>
      <c r="U29" s="47"/>
      <c r="V29" s="47"/>
      <c r="W29" s="47"/>
      <c r="X29" s="47"/>
      <c r="Y29" s="47"/>
      <c r="Z29" s="47"/>
      <c r="AA29" s="47"/>
      <c r="AB29" s="47"/>
      <c r="AC29" s="47"/>
      <c r="AD29" s="43">
        <f t="shared" ref="AD29:AD30" si="7">O29</f>
        <v>1500000</v>
      </c>
      <c r="AE29" s="52"/>
      <c r="AF29" s="56"/>
      <c r="AG29" s="56"/>
      <c r="AH29" s="56"/>
    </row>
    <row r="30" ht="15.75" customHeight="1">
      <c r="A30" s="42">
        <v>18.0</v>
      </c>
      <c r="B30" s="42" t="s">
        <v>335</v>
      </c>
      <c r="C30" s="35">
        <v>46059.0</v>
      </c>
      <c r="D30" s="35">
        <v>46062.0</v>
      </c>
      <c r="E30" s="37"/>
      <c r="F30" s="37" t="s">
        <v>176</v>
      </c>
      <c r="G30" s="37" t="s">
        <v>352</v>
      </c>
      <c r="H30" s="142" t="s">
        <v>359</v>
      </c>
      <c r="I30" s="37"/>
      <c r="J30" s="37"/>
      <c r="K30" s="42"/>
      <c r="L30" s="37" t="s">
        <v>189</v>
      </c>
      <c r="M30" s="48">
        <v>1.0</v>
      </c>
      <c r="N30" s="43"/>
      <c r="O30" s="43">
        <v>2500000.0</v>
      </c>
      <c r="P30" s="43"/>
      <c r="Q30" s="43"/>
      <c r="R30" s="59"/>
      <c r="S30" s="47"/>
      <c r="T30" s="60"/>
      <c r="U30" s="162"/>
      <c r="V30" s="162"/>
      <c r="W30" s="47"/>
      <c r="X30" s="47"/>
      <c r="Y30" s="47"/>
      <c r="Z30" s="47"/>
      <c r="AA30" s="47"/>
      <c r="AB30" s="47"/>
      <c r="AC30" s="47"/>
      <c r="AD30" s="47">
        <f t="shared" si="7"/>
        <v>2500000</v>
      </c>
      <c r="AE30" s="52"/>
      <c r="AF30" s="56"/>
      <c r="AG30" s="56"/>
      <c r="AH30" s="56"/>
    </row>
    <row r="31" ht="15.75" customHeight="1">
      <c r="A31" s="42">
        <v>19.0</v>
      </c>
      <c r="B31" s="42" t="s">
        <v>335</v>
      </c>
      <c r="C31" s="35">
        <v>46059.0</v>
      </c>
      <c r="D31" s="35">
        <v>46062.0</v>
      </c>
      <c r="E31" s="37"/>
      <c r="F31" s="37" t="s">
        <v>49</v>
      </c>
      <c r="G31" s="37" t="s">
        <v>352</v>
      </c>
      <c r="H31" s="142" t="s">
        <v>359</v>
      </c>
      <c r="I31" s="37" t="s">
        <v>360</v>
      </c>
      <c r="J31" s="37" t="s">
        <v>207</v>
      </c>
      <c r="K31" s="42" t="s">
        <v>270</v>
      </c>
      <c r="L31" s="37" t="s">
        <v>343</v>
      </c>
      <c r="M31" s="48">
        <v>1.0</v>
      </c>
      <c r="N31" s="43"/>
      <c r="O31" s="214">
        <v>6000000.0</v>
      </c>
      <c r="P31" s="43"/>
      <c r="Q31" s="43"/>
      <c r="R31" s="59">
        <v>1.0</v>
      </c>
      <c r="S31" s="47">
        <v>800000.0</v>
      </c>
      <c r="T31" s="60"/>
      <c r="U31" s="47">
        <v>300000.0</v>
      </c>
      <c r="V31" s="47"/>
      <c r="W31" s="47"/>
      <c r="X31" s="47"/>
      <c r="Y31" s="208">
        <v>1718180.0</v>
      </c>
      <c r="Z31" s="47"/>
      <c r="AA31" s="47"/>
      <c r="AB31" s="47"/>
      <c r="AC31" s="47"/>
      <c r="AD31" s="43">
        <f>SUM(O31,U31,Y31)</f>
        <v>8018180</v>
      </c>
      <c r="AE31" s="52"/>
      <c r="AF31" s="56"/>
      <c r="AG31" s="56"/>
      <c r="AH31" s="56"/>
    </row>
    <row r="32" ht="15.75" customHeight="1">
      <c r="A32" s="129">
        <v>22.0</v>
      </c>
      <c r="B32" s="42" t="s">
        <v>309</v>
      </c>
      <c r="C32" s="35">
        <v>46062.0</v>
      </c>
      <c r="D32" s="35">
        <v>46062.0</v>
      </c>
      <c r="E32" s="37"/>
      <c r="F32" s="37" t="s">
        <v>176</v>
      </c>
      <c r="G32" s="37" t="s">
        <v>310</v>
      </c>
      <c r="H32" s="195" t="s">
        <v>361</v>
      </c>
      <c r="I32" s="37"/>
      <c r="J32" s="196"/>
      <c r="K32" s="197"/>
      <c r="L32" s="37" t="s">
        <v>291</v>
      </c>
      <c r="M32" s="48">
        <v>1.0</v>
      </c>
      <c r="N32" s="43"/>
      <c r="O32" s="43">
        <v>759273.0</v>
      </c>
      <c r="P32" s="43"/>
      <c r="Q32" s="43"/>
      <c r="R32" s="59"/>
      <c r="S32" s="47"/>
      <c r="T32" s="60"/>
      <c r="U32" s="47"/>
      <c r="V32" s="47"/>
      <c r="W32" s="47"/>
      <c r="X32" s="47"/>
      <c r="Y32" s="47"/>
      <c r="Z32" s="47"/>
      <c r="AA32" s="47"/>
      <c r="AB32" s="47"/>
      <c r="AC32" s="47"/>
      <c r="AD32" s="43">
        <f t="shared" ref="AD32:AD33" si="8">O32</f>
        <v>759273</v>
      </c>
      <c r="AE32" s="52"/>
      <c r="AF32" s="56"/>
      <c r="AG32" s="56"/>
      <c r="AH32" s="56"/>
    </row>
    <row r="33" ht="15.75" customHeight="1">
      <c r="A33" s="42">
        <v>23.0</v>
      </c>
      <c r="B33" s="42" t="s">
        <v>309</v>
      </c>
      <c r="C33" s="35">
        <v>46062.0</v>
      </c>
      <c r="D33" s="35">
        <v>46062.0</v>
      </c>
      <c r="E33" s="37"/>
      <c r="F33" s="37" t="s">
        <v>176</v>
      </c>
      <c r="G33" s="37" t="s">
        <v>310</v>
      </c>
      <c r="H33" s="195" t="s">
        <v>361</v>
      </c>
      <c r="I33" s="37"/>
      <c r="J33" s="37"/>
      <c r="K33" s="42"/>
      <c r="L33" s="37" t="s">
        <v>189</v>
      </c>
      <c r="M33" s="48">
        <v>1.0</v>
      </c>
      <c r="N33" s="43"/>
      <c r="O33" s="43">
        <v>2500000.0</v>
      </c>
      <c r="P33" s="43"/>
      <c r="Q33" s="43"/>
      <c r="R33" s="59"/>
      <c r="S33" s="47"/>
      <c r="T33" s="60"/>
      <c r="U33" s="47"/>
      <c r="V33" s="47"/>
      <c r="W33" s="47"/>
      <c r="X33" s="47"/>
      <c r="Y33" s="47"/>
      <c r="Z33" s="47"/>
      <c r="AA33" s="47"/>
      <c r="AB33" s="47"/>
      <c r="AC33" s="47"/>
      <c r="AD33" s="43">
        <f t="shared" si="8"/>
        <v>2500000</v>
      </c>
      <c r="AE33" s="52"/>
      <c r="AF33" s="56"/>
      <c r="AG33" s="56"/>
      <c r="AH33" s="56"/>
    </row>
    <row r="34" ht="15.75" customHeight="1">
      <c r="A34" s="129">
        <v>24.0</v>
      </c>
      <c r="B34" s="42" t="s">
        <v>309</v>
      </c>
      <c r="C34" s="35">
        <v>46063.0</v>
      </c>
      <c r="D34" s="35">
        <v>46064.0</v>
      </c>
      <c r="E34" s="35">
        <v>46065.0</v>
      </c>
      <c r="F34" s="37" t="s">
        <v>52</v>
      </c>
      <c r="G34" s="37" t="s">
        <v>310</v>
      </c>
      <c r="H34" s="195" t="s">
        <v>361</v>
      </c>
      <c r="I34" s="128" t="s">
        <v>362</v>
      </c>
      <c r="J34" s="128" t="s">
        <v>363</v>
      </c>
      <c r="K34" s="126" t="s">
        <v>181</v>
      </c>
      <c r="L34" s="37" t="s">
        <v>364</v>
      </c>
      <c r="M34" s="48">
        <v>1.0</v>
      </c>
      <c r="N34" s="43"/>
      <c r="O34" s="43">
        <v>8100000.0</v>
      </c>
      <c r="P34" s="43"/>
      <c r="Q34" s="43"/>
      <c r="R34" s="59"/>
      <c r="S34" s="47"/>
      <c r="T34" s="63"/>
      <c r="U34" s="162">
        <v>324000.0</v>
      </c>
      <c r="V34" s="162">
        <v>162000.0</v>
      </c>
      <c r="W34" s="47"/>
      <c r="X34" s="194"/>
      <c r="Y34" s="47">
        <v>432000.0</v>
      </c>
      <c r="Z34" s="47"/>
      <c r="AA34" s="47"/>
      <c r="AB34" s="47"/>
      <c r="AC34" s="47"/>
      <c r="AD34" s="43">
        <f>SUM(O34,U34:V34,Y34)</f>
        <v>9018000</v>
      </c>
      <c r="AE34" s="52"/>
      <c r="AF34" s="56"/>
      <c r="AG34" s="56"/>
      <c r="AH34" s="56"/>
    </row>
    <row r="35" ht="14.25" customHeight="1">
      <c r="A35" s="79" t="s">
        <v>73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217">
        <f>SUM(AD13:AD34)</f>
        <v>138934993</v>
      </c>
      <c r="AE35" s="78"/>
    </row>
    <row r="36" ht="17.25" customHeight="1">
      <c r="A36" s="79" t="s">
        <v>76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1"/>
      <c r="M36" s="83"/>
      <c r="N36" s="83"/>
      <c r="O36" s="83"/>
      <c r="P36" s="83"/>
      <c r="Q36" s="83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217">
        <f>AD35</f>
        <v>138934993</v>
      </c>
      <c r="AE36" s="87"/>
    </row>
    <row r="37" ht="17.25" customHeight="1">
      <c r="A37" s="79" t="s">
        <v>86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1"/>
      <c r="M37" s="83"/>
      <c r="N37" s="83"/>
      <c r="O37" s="83"/>
      <c r="P37" s="83"/>
      <c r="Q37" s="83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>
        <f>AD35*8%</f>
        <v>11114799.44</v>
      </c>
      <c r="AE37" s="87"/>
    </row>
    <row r="38" ht="17.25" customHeight="1">
      <c r="A38" s="79" t="s">
        <v>88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1"/>
      <c r="M38" s="83"/>
      <c r="N38" s="83"/>
      <c r="O38" s="83"/>
      <c r="P38" s="83"/>
      <c r="Q38" s="83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>
        <f>AD36+AD37</f>
        <v>150049792.4</v>
      </c>
      <c r="AE38" s="87"/>
    </row>
    <row r="39" ht="14.25" customHeight="1">
      <c r="A39" s="93" t="s">
        <v>89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5"/>
    </row>
    <row r="40" ht="37.5" customHeight="1">
      <c r="A40" s="96"/>
      <c r="B40" s="97"/>
      <c r="C40" s="97"/>
      <c r="D40" s="97"/>
      <c r="E40" s="97"/>
      <c r="F40" s="97"/>
      <c r="G40" s="97"/>
      <c r="H40" s="97"/>
      <c r="I40" s="98"/>
      <c r="J40" s="108"/>
      <c r="K40" s="99"/>
      <c r="L40" s="99"/>
      <c r="M40" s="100"/>
      <c r="N40" s="100"/>
      <c r="O40" s="100"/>
      <c r="P40" s="193"/>
      <c r="Q40" s="193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2"/>
      <c r="AE40" s="98"/>
    </row>
    <row r="41" ht="19.5" customHeight="1">
      <c r="A41" s="103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9"/>
    </row>
    <row r="42" ht="14.25" customHeight="1">
      <c r="A42" s="104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6"/>
    </row>
    <row r="43" ht="14.25" customHeight="1">
      <c r="F43" s="119"/>
      <c r="G43" s="119"/>
      <c r="H43" s="120"/>
      <c r="I43" s="119"/>
      <c r="J43" s="119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4"/>
    </row>
    <row r="44" ht="14.25" customHeight="1">
      <c r="F44" s="119"/>
      <c r="G44" s="119"/>
      <c r="H44" s="120"/>
      <c r="I44" s="119"/>
      <c r="J44" s="119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4"/>
    </row>
    <row r="45" ht="14.25" customHeight="1">
      <c r="F45" s="119"/>
      <c r="G45" s="119"/>
      <c r="H45" s="120"/>
      <c r="I45" s="119"/>
      <c r="J45" s="119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4"/>
    </row>
    <row r="46" ht="14.25" customHeight="1">
      <c r="F46" s="119"/>
      <c r="G46" s="119"/>
      <c r="H46" s="120"/>
      <c r="I46" s="119"/>
      <c r="J46" s="119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4"/>
    </row>
    <row r="47" ht="14.25" customHeight="1">
      <c r="F47" s="119"/>
      <c r="G47" s="119"/>
      <c r="H47" s="120"/>
      <c r="I47" s="119"/>
      <c r="J47" s="119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4"/>
    </row>
    <row r="48" ht="14.25" customHeight="1">
      <c r="F48" s="119"/>
      <c r="G48" s="119"/>
      <c r="H48" s="120"/>
      <c r="I48" s="119"/>
      <c r="J48" s="119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4"/>
    </row>
    <row r="49" ht="14.25" customHeight="1">
      <c r="F49" s="119"/>
      <c r="G49" s="119"/>
      <c r="H49" s="120"/>
      <c r="I49" s="119"/>
      <c r="J49" s="119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4"/>
    </row>
    <row r="50" ht="14.25" customHeight="1">
      <c r="F50" s="119"/>
      <c r="G50" s="119"/>
      <c r="H50" s="120"/>
      <c r="I50" s="119"/>
      <c r="J50" s="119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4"/>
    </row>
    <row r="51" ht="14.25" customHeight="1">
      <c r="F51" s="119"/>
      <c r="G51" s="119"/>
      <c r="H51" s="120"/>
      <c r="I51" s="119"/>
      <c r="J51" s="119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4"/>
    </row>
    <row r="52" ht="14.25" customHeight="1">
      <c r="F52" s="119"/>
      <c r="G52" s="119"/>
      <c r="H52" s="120"/>
      <c r="I52" s="119"/>
      <c r="J52" s="119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4"/>
    </row>
    <row r="53" ht="14.25" customHeight="1">
      <c r="F53" s="119"/>
      <c r="G53" s="119"/>
      <c r="H53" s="120"/>
      <c r="I53" s="119"/>
      <c r="J53" s="119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4"/>
    </row>
    <row r="54" ht="14.25" customHeight="1">
      <c r="F54" s="119"/>
      <c r="G54" s="119"/>
      <c r="H54" s="120"/>
      <c r="I54" s="119"/>
      <c r="J54" s="119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4"/>
    </row>
    <row r="55" ht="14.25" customHeight="1">
      <c r="F55" s="119"/>
      <c r="G55" s="119"/>
      <c r="H55" s="120"/>
      <c r="I55" s="119"/>
      <c r="J55" s="119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4"/>
    </row>
    <row r="56" ht="14.25" customHeight="1">
      <c r="F56" s="119"/>
      <c r="G56" s="119"/>
      <c r="H56" s="120"/>
      <c r="I56" s="119"/>
      <c r="J56" s="119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4"/>
    </row>
    <row r="57" ht="14.25" customHeight="1">
      <c r="F57" s="119"/>
      <c r="G57" s="119"/>
      <c r="H57" s="120"/>
      <c r="I57" s="119"/>
      <c r="J57" s="119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4"/>
    </row>
    <row r="58" ht="14.25" customHeight="1">
      <c r="F58" s="119"/>
      <c r="G58" s="119"/>
      <c r="H58" s="120"/>
      <c r="I58" s="119"/>
      <c r="J58" s="119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4"/>
    </row>
    <row r="59" ht="14.25" customHeight="1">
      <c r="F59" s="119"/>
      <c r="G59" s="119"/>
      <c r="H59" s="120"/>
      <c r="I59" s="119"/>
      <c r="J59" s="119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4"/>
    </row>
    <row r="60" ht="14.25" customHeight="1">
      <c r="F60" s="119"/>
      <c r="G60" s="119"/>
      <c r="H60" s="120"/>
      <c r="I60" s="119"/>
      <c r="J60" s="119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4"/>
    </row>
    <row r="61" ht="14.25" customHeight="1">
      <c r="F61" s="119"/>
      <c r="G61" s="119"/>
      <c r="H61" s="120"/>
      <c r="I61" s="119"/>
      <c r="J61" s="119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</row>
    <row r="62" ht="14.25" customHeight="1">
      <c r="F62" s="119"/>
      <c r="G62" s="119"/>
      <c r="H62" s="120"/>
      <c r="I62" s="119"/>
      <c r="J62" s="119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4"/>
    </row>
    <row r="63" ht="14.25" customHeight="1">
      <c r="F63" s="119"/>
      <c r="G63" s="119"/>
      <c r="H63" s="120"/>
      <c r="I63" s="119"/>
      <c r="J63" s="119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4"/>
    </row>
    <row r="64" ht="14.25" customHeight="1">
      <c r="F64" s="119"/>
      <c r="G64" s="119"/>
      <c r="H64" s="120"/>
      <c r="I64" s="119"/>
      <c r="J64" s="119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4"/>
    </row>
    <row r="65" ht="14.25" customHeight="1">
      <c r="F65" s="119"/>
      <c r="G65" s="119"/>
      <c r="H65" s="120"/>
      <c r="I65" s="119"/>
      <c r="J65" s="119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4"/>
    </row>
    <row r="66" ht="14.25" customHeight="1">
      <c r="F66" s="119"/>
      <c r="G66" s="119"/>
      <c r="H66" s="120"/>
      <c r="I66" s="119"/>
      <c r="J66" s="119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</row>
    <row r="67" ht="14.25" customHeight="1">
      <c r="F67" s="119"/>
      <c r="G67" s="119"/>
      <c r="H67" s="120"/>
      <c r="I67" s="119"/>
      <c r="J67" s="119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4"/>
    </row>
    <row r="68" ht="14.25" customHeight="1">
      <c r="F68" s="119"/>
      <c r="G68" s="119"/>
      <c r="H68" s="120"/>
      <c r="I68" s="119"/>
      <c r="J68" s="119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4"/>
    </row>
    <row r="69" ht="14.25" customHeight="1">
      <c r="F69" s="119"/>
      <c r="G69" s="119"/>
      <c r="H69" s="120"/>
      <c r="I69" s="119"/>
      <c r="J69" s="119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</row>
    <row r="70" ht="14.25" customHeight="1">
      <c r="F70" s="119"/>
      <c r="G70" s="119"/>
      <c r="H70" s="120"/>
      <c r="I70" s="119"/>
      <c r="J70" s="119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4"/>
    </row>
    <row r="71" ht="14.25" customHeight="1">
      <c r="F71" s="119"/>
      <c r="G71" s="119"/>
      <c r="H71" s="120"/>
      <c r="I71" s="119"/>
      <c r="J71" s="119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4"/>
    </row>
    <row r="72" ht="14.25" customHeight="1">
      <c r="F72" s="119"/>
      <c r="G72" s="119"/>
      <c r="H72" s="120"/>
      <c r="I72" s="119"/>
      <c r="J72" s="119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4"/>
    </row>
    <row r="73" ht="14.25" customHeight="1">
      <c r="F73" s="119"/>
      <c r="G73" s="119"/>
      <c r="H73" s="120"/>
      <c r="I73" s="119"/>
      <c r="J73" s="119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4"/>
    </row>
    <row r="74" ht="14.25" customHeight="1">
      <c r="F74" s="119"/>
      <c r="G74" s="119"/>
      <c r="H74" s="120"/>
      <c r="I74" s="119"/>
      <c r="J74" s="119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4"/>
    </row>
    <row r="75" ht="14.25" customHeight="1">
      <c r="F75" s="119"/>
      <c r="G75" s="119"/>
      <c r="H75" s="120"/>
      <c r="I75" s="119"/>
      <c r="J75" s="119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4"/>
    </row>
    <row r="76" ht="14.25" customHeight="1">
      <c r="F76" s="119"/>
      <c r="G76" s="119"/>
      <c r="H76" s="120"/>
      <c r="I76" s="119"/>
      <c r="J76" s="119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4"/>
    </row>
    <row r="77" ht="14.25" customHeight="1">
      <c r="F77" s="119"/>
      <c r="G77" s="119"/>
      <c r="H77" s="120"/>
      <c r="I77" s="119"/>
      <c r="J77" s="119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</row>
    <row r="78" ht="14.25" customHeight="1">
      <c r="F78" s="119"/>
      <c r="G78" s="119"/>
      <c r="H78" s="120"/>
      <c r="I78" s="119"/>
      <c r="J78" s="119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4"/>
    </row>
    <row r="79" ht="14.25" customHeight="1">
      <c r="F79" s="119"/>
      <c r="G79" s="119"/>
      <c r="H79" s="120"/>
      <c r="I79" s="119"/>
      <c r="J79" s="119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4"/>
    </row>
    <row r="80" ht="14.25" customHeight="1">
      <c r="F80" s="119"/>
      <c r="G80" s="119"/>
      <c r="H80" s="120"/>
      <c r="I80" s="119"/>
      <c r="J80" s="119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4"/>
    </row>
    <row r="81" ht="14.25" customHeight="1">
      <c r="F81" s="119"/>
      <c r="G81" s="119"/>
      <c r="H81" s="120"/>
      <c r="I81" s="119"/>
      <c r="J81" s="119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4"/>
    </row>
    <row r="82" ht="14.25" customHeight="1">
      <c r="F82" s="119"/>
      <c r="G82" s="119"/>
      <c r="H82" s="120"/>
      <c r="I82" s="119"/>
      <c r="J82" s="119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4"/>
    </row>
    <row r="83" ht="14.25" customHeight="1">
      <c r="F83" s="119"/>
      <c r="G83" s="119"/>
      <c r="H83" s="120"/>
      <c r="I83" s="119"/>
      <c r="J83" s="119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4"/>
    </row>
    <row r="84" ht="14.25" customHeight="1">
      <c r="F84" s="119"/>
      <c r="G84" s="119"/>
      <c r="H84" s="120"/>
      <c r="I84" s="119"/>
      <c r="J84" s="119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4"/>
    </row>
    <row r="85" ht="14.25" customHeight="1">
      <c r="F85" s="119"/>
      <c r="G85" s="119"/>
      <c r="H85" s="120"/>
      <c r="I85" s="119"/>
      <c r="J85" s="119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4"/>
    </row>
    <row r="86" ht="14.25" customHeight="1">
      <c r="F86" s="119"/>
      <c r="G86" s="119"/>
      <c r="H86" s="120"/>
      <c r="I86" s="119"/>
      <c r="J86" s="119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4"/>
    </row>
    <row r="87" ht="14.25" customHeight="1">
      <c r="F87" s="119"/>
      <c r="G87" s="119"/>
      <c r="H87" s="120"/>
      <c r="I87" s="119"/>
      <c r="J87" s="119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"/>
    </row>
    <row r="88" ht="14.25" customHeight="1">
      <c r="F88" s="119"/>
      <c r="G88" s="119"/>
      <c r="H88" s="120"/>
      <c r="I88" s="119"/>
      <c r="J88" s="119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4"/>
    </row>
    <row r="89" ht="14.25" customHeight="1">
      <c r="F89" s="119"/>
      <c r="G89" s="119"/>
      <c r="H89" s="120"/>
      <c r="I89" s="119"/>
      <c r="J89" s="119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4"/>
    </row>
    <row r="90" ht="14.25" customHeight="1">
      <c r="F90" s="119"/>
      <c r="G90" s="119"/>
      <c r="H90" s="120"/>
      <c r="I90" s="119"/>
      <c r="J90" s="119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4"/>
    </row>
    <row r="91" ht="14.25" customHeight="1">
      <c r="F91" s="119"/>
      <c r="G91" s="119"/>
      <c r="H91" s="120"/>
      <c r="I91" s="119"/>
      <c r="J91" s="119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4"/>
    </row>
    <row r="92" ht="14.25" customHeight="1">
      <c r="F92" s="119"/>
      <c r="G92" s="119"/>
      <c r="H92" s="120"/>
      <c r="I92" s="119"/>
      <c r="J92" s="119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4"/>
    </row>
    <row r="93" ht="14.25" customHeight="1">
      <c r="F93" s="119"/>
      <c r="G93" s="119"/>
      <c r="H93" s="120"/>
      <c r="I93" s="119"/>
      <c r="J93" s="119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4"/>
    </row>
    <row r="94" ht="14.25" customHeight="1">
      <c r="F94" s="119"/>
      <c r="G94" s="119"/>
      <c r="H94" s="120"/>
      <c r="I94" s="119"/>
      <c r="J94" s="119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4"/>
    </row>
    <row r="95" ht="14.25" customHeight="1">
      <c r="F95" s="119"/>
      <c r="G95" s="119"/>
      <c r="H95" s="120"/>
      <c r="I95" s="119"/>
      <c r="J95" s="119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4"/>
    </row>
    <row r="96" ht="14.25" customHeight="1">
      <c r="F96" s="119"/>
      <c r="G96" s="119"/>
      <c r="H96" s="120"/>
      <c r="I96" s="119"/>
      <c r="J96" s="119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4"/>
    </row>
    <row r="97" ht="14.25" customHeight="1">
      <c r="F97" s="119"/>
      <c r="G97" s="119"/>
      <c r="H97" s="120"/>
      <c r="I97" s="119"/>
      <c r="J97" s="119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4"/>
    </row>
    <row r="98" ht="14.25" customHeight="1">
      <c r="F98" s="119"/>
      <c r="G98" s="119"/>
      <c r="H98" s="120"/>
      <c r="I98" s="119"/>
      <c r="J98" s="119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4"/>
    </row>
    <row r="99" ht="14.25" customHeight="1">
      <c r="F99" s="119"/>
      <c r="G99" s="119"/>
      <c r="H99" s="120"/>
      <c r="I99" s="119"/>
      <c r="J99" s="119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4"/>
    </row>
    <row r="100" ht="14.25" customHeight="1">
      <c r="F100" s="119"/>
      <c r="G100" s="119"/>
      <c r="H100" s="120"/>
      <c r="I100" s="119"/>
      <c r="J100" s="119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4"/>
    </row>
    <row r="101" ht="14.25" customHeight="1">
      <c r="F101" s="119"/>
      <c r="G101" s="119"/>
      <c r="H101" s="120"/>
      <c r="I101" s="119"/>
      <c r="J101" s="119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4"/>
    </row>
    <row r="102" ht="14.25" customHeight="1">
      <c r="F102" s="119"/>
      <c r="G102" s="119"/>
      <c r="H102" s="120"/>
      <c r="I102" s="119"/>
      <c r="J102" s="119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4"/>
    </row>
    <row r="103" ht="14.25" customHeight="1">
      <c r="F103" s="119"/>
      <c r="G103" s="119"/>
      <c r="H103" s="120"/>
      <c r="I103" s="119"/>
      <c r="J103" s="119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4"/>
    </row>
    <row r="104" ht="14.25" customHeight="1">
      <c r="F104" s="119"/>
      <c r="G104" s="119"/>
      <c r="H104" s="120"/>
      <c r="I104" s="119"/>
      <c r="J104" s="119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4"/>
    </row>
    <row r="105" ht="14.25" customHeight="1">
      <c r="F105" s="119"/>
      <c r="G105" s="119"/>
      <c r="H105" s="120"/>
      <c r="I105" s="119"/>
      <c r="J105" s="119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4"/>
    </row>
    <row r="106" ht="14.25" customHeight="1">
      <c r="F106" s="119"/>
      <c r="G106" s="119"/>
      <c r="H106" s="120"/>
      <c r="I106" s="119"/>
      <c r="J106" s="119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4"/>
    </row>
    <row r="107" ht="14.25" customHeight="1">
      <c r="F107" s="119"/>
      <c r="G107" s="119"/>
      <c r="H107" s="120"/>
      <c r="I107" s="119"/>
      <c r="J107" s="119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4"/>
    </row>
    <row r="108" ht="14.25" customHeight="1">
      <c r="F108" s="119"/>
      <c r="G108" s="119"/>
      <c r="H108" s="120"/>
      <c r="I108" s="119"/>
      <c r="J108" s="119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4"/>
    </row>
    <row r="109" ht="14.25" customHeight="1">
      <c r="F109" s="119"/>
      <c r="G109" s="119"/>
      <c r="H109" s="120"/>
      <c r="I109" s="119"/>
      <c r="J109" s="119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4"/>
    </row>
    <row r="110" ht="14.25" customHeight="1">
      <c r="F110" s="119"/>
      <c r="G110" s="119"/>
      <c r="H110" s="120"/>
      <c r="I110" s="119"/>
      <c r="J110" s="119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4"/>
    </row>
    <row r="111" ht="14.25" customHeight="1">
      <c r="F111" s="119"/>
      <c r="G111" s="119"/>
      <c r="H111" s="120"/>
      <c r="I111" s="119"/>
      <c r="J111" s="119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4"/>
    </row>
    <row r="112" ht="14.25" customHeight="1">
      <c r="F112" s="119"/>
      <c r="G112" s="119"/>
      <c r="H112" s="120"/>
      <c r="I112" s="119"/>
      <c r="J112" s="119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4"/>
    </row>
    <row r="113" ht="14.25" customHeight="1">
      <c r="F113" s="119"/>
      <c r="G113" s="119"/>
      <c r="H113" s="120"/>
      <c r="I113" s="119"/>
      <c r="J113" s="119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4"/>
    </row>
    <row r="114" ht="14.25" customHeight="1">
      <c r="F114" s="119"/>
      <c r="G114" s="119"/>
      <c r="H114" s="120"/>
      <c r="I114" s="119"/>
      <c r="J114" s="119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4"/>
    </row>
    <row r="115" ht="14.25" customHeight="1">
      <c r="F115" s="119"/>
      <c r="G115" s="119"/>
      <c r="H115" s="120"/>
      <c r="I115" s="119"/>
      <c r="J115" s="119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4"/>
    </row>
    <row r="116" ht="14.25" customHeight="1">
      <c r="F116" s="119"/>
      <c r="G116" s="119"/>
      <c r="H116" s="120"/>
      <c r="I116" s="119"/>
      <c r="J116" s="119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4"/>
    </row>
    <row r="117" ht="14.25" customHeight="1">
      <c r="F117" s="119"/>
      <c r="G117" s="119"/>
      <c r="H117" s="120"/>
      <c r="I117" s="119"/>
      <c r="J117" s="119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4"/>
    </row>
    <row r="118" ht="14.25" customHeight="1">
      <c r="F118" s="119"/>
      <c r="G118" s="119"/>
      <c r="H118" s="120"/>
      <c r="I118" s="119"/>
      <c r="J118" s="119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/>
    </row>
    <row r="119" ht="14.25" customHeight="1">
      <c r="F119" s="119"/>
      <c r="G119" s="119"/>
      <c r="H119" s="120"/>
      <c r="I119" s="119"/>
      <c r="J119" s="119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4"/>
    </row>
    <row r="120" ht="14.25" customHeight="1">
      <c r="F120" s="119"/>
      <c r="G120" s="119"/>
      <c r="H120" s="120"/>
      <c r="I120" s="119"/>
      <c r="J120" s="119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4"/>
    </row>
    <row r="121" ht="14.25" customHeight="1">
      <c r="F121" s="119"/>
      <c r="G121" s="119"/>
      <c r="H121" s="120"/>
      <c r="I121" s="119"/>
      <c r="J121" s="119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4"/>
    </row>
    <row r="122" ht="14.25" customHeight="1">
      <c r="F122" s="119"/>
      <c r="G122" s="119"/>
      <c r="H122" s="120"/>
      <c r="I122" s="119"/>
      <c r="J122" s="119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4"/>
    </row>
    <row r="123" ht="14.25" customHeight="1">
      <c r="F123" s="119"/>
      <c r="G123" s="119"/>
      <c r="H123" s="120"/>
      <c r="I123" s="119"/>
      <c r="J123" s="119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4"/>
    </row>
    <row r="124" ht="14.25" customHeight="1">
      <c r="F124" s="119"/>
      <c r="G124" s="119"/>
      <c r="H124" s="120"/>
      <c r="I124" s="119"/>
      <c r="J124" s="119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4"/>
    </row>
    <row r="125" ht="14.25" customHeight="1">
      <c r="F125" s="119"/>
      <c r="G125" s="119"/>
      <c r="H125" s="120"/>
      <c r="I125" s="119"/>
      <c r="J125" s="119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4"/>
    </row>
    <row r="126" ht="14.25" customHeight="1">
      <c r="F126" s="119"/>
      <c r="G126" s="119"/>
      <c r="H126" s="120"/>
      <c r="I126" s="119"/>
      <c r="J126" s="119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4"/>
    </row>
    <row r="127" ht="14.25" customHeight="1">
      <c r="F127" s="119"/>
      <c r="G127" s="119"/>
      <c r="H127" s="120"/>
      <c r="I127" s="119"/>
      <c r="J127" s="119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4"/>
    </row>
    <row r="128" ht="14.25" customHeight="1">
      <c r="F128" s="119"/>
      <c r="G128" s="119"/>
      <c r="H128" s="120"/>
      <c r="I128" s="119"/>
      <c r="J128" s="119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4"/>
    </row>
    <row r="129" ht="14.25" customHeight="1">
      <c r="F129" s="119"/>
      <c r="G129" s="119"/>
      <c r="H129" s="120"/>
      <c r="I129" s="119"/>
      <c r="J129" s="119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4"/>
    </row>
    <row r="130" ht="14.25" customHeight="1">
      <c r="F130" s="119"/>
      <c r="G130" s="119"/>
      <c r="H130" s="120"/>
      <c r="I130" s="119"/>
      <c r="J130" s="119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4"/>
    </row>
    <row r="131" ht="14.25" customHeight="1">
      <c r="F131" s="119"/>
      <c r="G131" s="119"/>
      <c r="H131" s="120"/>
      <c r="I131" s="119"/>
      <c r="J131" s="119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4"/>
    </row>
    <row r="132" ht="14.25" customHeight="1">
      <c r="F132" s="119"/>
      <c r="G132" s="119"/>
      <c r="H132" s="120"/>
      <c r="I132" s="119"/>
      <c r="J132" s="119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4"/>
    </row>
    <row r="133" ht="14.25" customHeight="1">
      <c r="F133" s="119"/>
      <c r="G133" s="119"/>
      <c r="H133" s="120"/>
      <c r="I133" s="119"/>
      <c r="J133" s="119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4"/>
    </row>
    <row r="134" ht="14.25" customHeight="1">
      <c r="F134" s="119"/>
      <c r="G134" s="119"/>
      <c r="H134" s="120"/>
      <c r="I134" s="119"/>
      <c r="J134" s="119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4"/>
    </row>
    <row r="135" ht="14.25" customHeight="1">
      <c r="F135" s="119"/>
      <c r="G135" s="119"/>
      <c r="H135" s="120"/>
      <c r="I135" s="119"/>
      <c r="J135" s="119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4"/>
    </row>
    <row r="136" ht="14.25" customHeight="1">
      <c r="F136" s="119"/>
      <c r="G136" s="119"/>
      <c r="H136" s="120"/>
      <c r="I136" s="119"/>
      <c r="J136" s="119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4"/>
    </row>
    <row r="137" ht="14.25" customHeight="1">
      <c r="F137" s="119"/>
      <c r="G137" s="119"/>
      <c r="H137" s="120"/>
      <c r="I137" s="119"/>
      <c r="J137" s="119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4"/>
    </row>
    <row r="138" ht="14.25" customHeight="1">
      <c r="F138" s="119"/>
      <c r="G138" s="119"/>
      <c r="H138" s="120"/>
      <c r="I138" s="119"/>
      <c r="J138" s="119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4"/>
    </row>
    <row r="139" ht="14.25" customHeight="1">
      <c r="F139" s="119"/>
      <c r="G139" s="119"/>
      <c r="H139" s="120"/>
      <c r="I139" s="119"/>
      <c r="J139" s="119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4"/>
    </row>
    <row r="140" ht="14.25" customHeight="1">
      <c r="F140" s="119"/>
      <c r="G140" s="119"/>
      <c r="H140" s="120"/>
      <c r="I140" s="119"/>
      <c r="J140" s="119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4"/>
    </row>
    <row r="141" ht="14.25" customHeight="1">
      <c r="F141" s="119"/>
      <c r="G141" s="119"/>
      <c r="H141" s="120"/>
      <c r="I141" s="119"/>
      <c r="J141" s="119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4"/>
    </row>
    <row r="142" ht="14.25" customHeight="1">
      <c r="F142" s="119"/>
      <c r="G142" s="119"/>
      <c r="H142" s="120"/>
      <c r="I142" s="119"/>
      <c r="J142" s="119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4"/>
    </row>
    <row r="143" ht="14.25" customHeight="1">
      <c r="F143" s="119"/>
      <c r="G143" s="119"/>
      <c r="H143" s="120"/>
      <c r="I143" s="119"/>
      <c r="J143" s="119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4"/>
    </row>
    <row r="144" ht="14.25" customHeight="1">
      <c r="F144" s="119"/>
      <c r="G144" s="119"/>
      <c r="H144" s="120"/>
      <c r="I144" s="119"/>
      <c r="J144" s="119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4"/>
    </row>
    <row r="145" ht="14.25" customHeight="1">
      <c r="F145" s="119"/>
      <c r="G145" s="119"/>
      <c r="H145" s="120"/>
      <c r="I145" s="119"/>
      <c r="J145" s="119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4"/>
    </row>
    <row r="146" ht="14.25" customHeight="1">
      <c r="F146" s="119"/>
      <c r="G146" s="119"/>
      <c r="H146" s="120"/>
      <c r="I146" s="119"/>
      <c r="J146" s="119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4"/>
    </row>
    <row r="147" ht="14.25" customHeight="1">
      <c r="F147" s="119"/>
      <c r="G147" s="119"/>
      <c r="H147" s="120"/>
      <c r="I147" s="119"/>
      <c r="J147" s="119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4"/>
    </row>
    <row r="148" ht="14.25" customHeight="1">
      <c r="F148" s="119"/>
      <c r="G148" s="119"/>
      <c r="H148" s="120"/>
      <c r="I148" s="119"/>
      <c r="J148" s="119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4"/>
    </row>
    <row r="149" ht="14.25" customHeight="1">
      <c r="F149" s="119"/>
      <c r="G149" s="119"/>
      <c r="H149" s="120"/>
      <c r="I149" s="119"/>
      <c r="J149" s="119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4"/>
    </row>
    <row r="150" ht="14.25" customHeight="1">
      <c r="F150" s="119"/>
      <c r="G150" s="119"/>
      <c r="H150" s="120"/>
      <c r="I150" s="119"/>
      <c r="J150" s="119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4"/>
    </row>
    <row r="151" ht="14.25" customHeight="1">
      <c r="F151" s="119"/>
      <c r="G151" s="119"/>
      <c r="H151" s="120"/>
      <c r="I151" s="119"/>
      <c r="J151" s="119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4"/>
    </row>
    <row r="152" ht="14.25" customHeight="1">
      <c r="F152" s="119"/>
      <c r="G152" s="119"/>
      <c r="H152" s="120"/>
      <c r="I152" s="119"/>
      <c r="J152" s="119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4"/>
    </row>
    <row r="153" ht="14.25" customHeight="1">
      <c r="F153" s="119"/>
      <c r="G153" s="119"/>
      <c r="H153" s="120"/>
      <c r="I153" s="119"/>
      <c r="J153" s="119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4"/>
    </row>
    <row r="154" ht="14.25" customHeight="1">
      <c r="F154" s="119"/>
      <c r="G154" s="119"/>
      <c r="H154" s="120"/>
      <c r="I154" s="119"/>
      <c r="J154" s="119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4"/>
    </row>
    <row r="155" ht="14.25" customHeight="1">
      <c r="F155" s="119"/>
      <c r="G155" s="119"/>
      <c r="H155" s="120"/>
      <c r="I155" s="119"/>
      <c r="J155" s="119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4"/>
    </row>
    <row r="156" ht="14.25" customHeight="1">
      <c r="F156" s="119"/>
      <c r="G156" s="119"/>
      <c r="H156" s="120"/>
      <c r="I156" s="119"/>
      <c r="J156" s="119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4"/>
    </row>
    <row r="157" ht="14.25" customHeight="1">
      <c r="F157" s="119"/>
      <c r="G157" s="119"/>
      <c r="H157" s="120"/>
      <c r="I157" s="119"/>
      <c r="J157" s="119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4"/>
    </row>
    <row r="158" ht="14.25" customHeight="1">
      <c r="F158" s="119"/>
      <c r="G158" s="119"/>
      <c r="H158" s="120"/>
      <c r="I158" s="119"/>
      <c r="J158" s="119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4"/>
    </row>
    <row r="159" ht="14.25" customHeight="1">
      <c r="F159" s="119"/>
      <c r="G159" s="119"/>
      <c r="H159" s="120"/>
      <c r="I159" s="119"/>
      <c r="J159" s="119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4"/>
    </row>
    <row r="160" ht="14.25" customHeight="1">
      <c r="F160" s="119"/>
      <c r="G160" s="119"/>
      <c r="H160" s="120"/>
      <c r="I160" s="119"/>
      <c r="J160" s="119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4"/>
    </row>
    <row r="161" ht="14.25" customHeight="1">
      <c r="F161" s="119"/>
      <c r="G161" s="119"/>
      <c r="H161" s="120"/>
      <c r="I161" s="119"/>
      <c r="J161" s="119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4"/>
    </row>
    <row r="162" ht="14.25" customHeight="1">
      <c r="F162" s="119"/>
      <c r="G162" s="119"/>
      <c r="H162" s="120"/>
      <c r="I162" s="119"/>
      <c r="J162" s="119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4"/>
    </row>
    <row r="163" ht="14.25" customHeight="1">
      <c r="F163" s="119"/>
      <c r="G163" s="119"/>
      <c r="H163" s="120"/>
      <c r="I163" s="119"/>
      <c r="J163" s="119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4"/>
    </row>
    <row r="164" ht="14.25" customHeight="1">
      <c r="F164" s="119"/>
      <c r="G164" s="119"/>
      <c r="H164" s="120"/>
      <c r="I164" s="119"/>
      <c r="J164" s="119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4"/>
    </row>
    <row r="165" ht="14.25" customHeight="1">
      <c r="F165" s="119"/>
      <c r="G165" s="119"/>
      <c r="H165" s="120"/>
      <c r="I165" s="119"/>
      <c r="J165" s="119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4"/>
    </row>
    <row r="166" ht="14.25" customHeight="1">
      <c r="F166" s="119"/>
      <c r="G166" s="119"/>
      <c r="H166" s="120"/>
      <c r="I166" s="119"/>
      <c r="J166" s="119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4"/>
    </row>
    <row r="167" ht="14.25" customHeight="1">
      <c r="F167" s="119"/>
      <c r="G167" s="119"/>
      <c r="H167" s="120"/>
      <c r="I167" s="119"/>
      <c r="J167" s="119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4"/>
    </row>
    <row r="168" ht="14.25" customHeight="1">
      <c r="F168" s="119"/>
      <c r="G168" s="119"/>
      <c r="H168" s="120"/>
      <c r="I168" s="119"/>
      <c r="J168" s="119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4"/>
    </row>
    <row r="169" ht="14.25" customHeight="1">
      <c r="F169" s="119"/>
      <c r="G169" s="119"/>
      <c r="H169" s="120"/>
      <c r="I169" s="119"/>
      <c r="J169" s="119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4"/>
    </row>
    <row r="170" ht="14.25" customHeight="1">
      <c r="F170" s="119"/>
      <c r="G170" s="119"/>
      <c r="H170" s="120"/>
      <c r="I170" s="119"/>
      <c r="J170" s="119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4"/>
    </row>
    <row r="171" ht="14.25" customHeight="1">
      <c r="F171" s="119"/>
      <c r="G171" s="119"/>
      <c r="H171" s="120"/>
      <c r="I171" s="119"/>
      <c r="J171" s="119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4"/>
    </row>
    <row r="172" ht="14.25" customHeight="1">
      <c r="F172" s="119"/>
      <c r="G172" s="119"/>
      <c r="H172" s="120"/>
      <c r="I172" s="119"/>
      <c r="J172" s="119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4"/>
    </row>
    <row r="173" ht="14.25" customHeight="1">
      <c r="F173" s="119"/>
      <c r="G173" s="119"/>
      <c r="H173" s="120"/>
      <c r="I173" s="119"/>
      <c r="J173" s="119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4"/>
    </row>
    <row r="174" ht="14.25" customHeight="1">
      <c r="F174" s="119"/>
      <c r="G174" s="119"/>
      <c r="H174" s="120"/>
      <c r="I174" s="119"/>
      <c r="J174" s="119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4"/>
    </row>
    <row r="175" ht="14.25" customHeight="1">
      <c r="F175" s="119"/>
      <c r="G175" s="119"/>
      <c r="H175" s="120"/>
      <c r="I175" s="119"/>
      <c r="J175" s="119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4"/>
    </row>
    <row r="176" ht="14.25" customHeight="1">
      <c r="F176" s="119"/>
      <c r="G176" s="119"/>
      <c r="H176" s="120"/>
      <c r="I176" s="119"/>
      <c r="J176" s="119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4"/>
    </row>
    <row r="177" ht="14.25" customHeight="1">
      <c r="F177" s="119"/>
      <c r="G177" s="119"/>
      <c r="H177" s="120"/>
      <c r="I177" s="119"/>
      <c r="J177" s="119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4"/>
    </row>
    <row r="178" ht="14.25" customHeight="1">
      <c r="F178" s="119"/>
      <c r="G178" s="119"/>
      <c r="H178" s="120"/>
      <c r="I178" s="119"/>
      <c r="J178" s="119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4"/>
    </row>
    <row r="179" ht="14.25" customHeight="1">
      <c r="F179" s="119"/>
      <c r="G179" s="119"/>
      <c r="H179" s="120"/>
      <c r="I179" s="119"/>
      <c r="J179" s="119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4"/>
    </row>
    <row r="180" ht="14.25" customHeight="1">
      <c r="F180" s="119"/>
      <c r="G180" s="119"/>
      <c r="H180" s="120"/>
      <c r="I180" s="119"/>
      <c r="J180" s="119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4"/>
    </row>
    <row r="181" ht="14.25" customHeight="1">
      <c r="F181" s="119"/>
      <c r="G181" s="119"/>
      <c r="H181" s="120"/>
      <c r="I181" s="119"/>
      <c r="J181" s="119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4"/>
    </row>
    <row r="182" ht="14.25" customHeight="1">
      <c r="F182" s="119"/>
      <c r="G182" s="119"/>
      <c r="H182" s="120"/>
      <c r="I182" s="119"/>
      <c r="J182" s="119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4"/>
    </row>
    <row r="183" ht="14.25" customHeight="1">
      <c r="F183" s="119"/>
      <c r="G183" s="119"/>
      <c r="H183" s="120"/>
      <c r="I183" s="119"/>
      <c r="J183" s="119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4"/>
    </row>
    <row r="184" ht="14.25" customHeight="1">
      <c r="F184" s="119"/>
      <c r="G184" s="119"/>
      <c r="H184" s="120"/>
      <c r="I184" s="119"/>
      <c r="J184" s="119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4"/>
    </row>
    <row r="185" ht="14.25" customHeight="1">
      <c r="F185" s="119"/>
      <c r="G185" s="119"/>
      <c r="H185" s="120"/>
      <c r="I185" s="119"/>
      <c r="J185" s="119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4"/>
    </row>
    <row r="186" ht="14.25" customHeight="1">
      <c r="F186" s="119"/>
      <c r="G186" s="119"/>
      <c r="H186" s="120"/>
      <c r="I186" s="119"/>
      <c r="J186" s="119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4"/>
    </row>
    <row r="187" ht="14.25" customHeight="1">
      <c r="F187" s="119"/>
      <c r="G187" s="119"/>
      <c r="H187" s="120"/>
      <c r="I187" s="119"/>
      <c r="J187" s="119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4"/>
    </row>
    <row r="188" ht="14.25" customHeight="1">
      <c r="F188" s="119"/>
      <c r="G188" s="119"/>
      <c r="H188" s="120"/>
      <c r="I188" s="119"/>
      <c r="J188" s="119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4"/>
    </row>
    <row r="189" ht="14.25" customHeight="1">
      <c r="F189" s="119"/>
      <c r="G189" s="119"/>
      <c r="H189" s="120"/>
      <c r="I189" s="119"/>
      <c r="J189" s="119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4"/>
    </row>
    <row r="190" ht="14.25" customHeight="1">
      <c r="F190" s="119"/>
      <c r="G190" s="119"/>
      <c r="H190" s="120"/>
      <c r="I190" s="119"/>
      <c r="J190" s="119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4"/>
    </row>
    <row r="191" ht="14.25" customHeight="1">
      <c r="F191" s="119"/>
      <c r="G191" s="119"/>
      <c r="H191" s="120"/>
      <c r="I191" s="119"/>
      <c r="J191" s="119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4"/>
    </row>
    <row r="192" ht="14.25" customHeight="1">
      <c r="F192" s="119"/>
      <c r="G192" s="119"/>
      <c r="H192" s="120"/>
      <c r="I192" s="119"/>
      <c r="J192" s="119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4"/>
    </row>
    <row r="193" ht="14.25" customHeight="1">
      <c r="F193" s="119"/>
      <c r="G193" s="119"/>
      <c r="H193" s="120"/>
      <c r="I193" s="119"/>
      <c r="J193" s="119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4"/>
    </row>
    <row r="194" ht="14.25" customHeight="1">
      <c r="F194" s="119"/>
      <c r="G194" s="119"/>
      <c r="H194" s="120"/>
      <c r="I194" s="119"/>
      <c r="J194" s="119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4"/>
    </row>
    <row r="195" ht="14.25" customHeight="1">
      <c r="F195" s="119"/>
      <c r="G195" s="119"/>
      <c r="H195" s="120"/>
      <c r="I195" s="119"/>
      <c r="J195" s="119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4"/>
    </row>
    <row r="196" ht="14.25" customHeight="1">
      <c r="F196" s="119"/>
      <c r="G196" s="119"/>
      <c r="H196" s="120"/>
      <c r="I196" s="119"/>
      <c r="J196" s="119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4"/>
    </row>
    <row r="197" ht="14.25" customHeight="1">
      <c r="F197" s="119"/>
      <c r="G197" s="119"/>
      <c r="H197" s="120"/>
      <c r="I197" s="119"/>
      <c r="J197" s="119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4"/>
    </row>
    <row r="198" ht="14.25" customHeight="1">
      <c r="F198" s="119"/>
      <c r="G198" s="119"/>
      <c r="H198" s="120"/>
      <c r="I198" s="119"/>
      <c r="J198" s="119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4"/>
    </row>
    <row r="199" ht="14.25" customHeight="1">
      <c r="F199" s="119"/>
      <c r="G199" s="119"/>
      <c r="H199" s="120"/>
      <c r="I199" s="119"/>
      <c r="J199" s="119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4"/>
    </row>
    <row r="200" ht="14.25" customHeight="1">
      <c r="F200" s="119"/>
      <c r="G200" s="119"/>
      <c r="H200" s="120"/>
      <c r="I200" s="119"/>
      <c r="J200" s="119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4"/>
    </row>
    <row r="201" ht="14.25" customHeight="1">
      <c r="F201" s="119"/>
      <c r="G201" s="119"/>
      <c r="H201" s="120"/>
      <c r="I201" s="119"/>
      <c r="J201" s="119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4"/>
    </row>
    <row r="202" ht="14.25" customHeight="1">
      <c r="F202" s="119"/>
      <c r="G202" s="119"/>
      <c r="H202" s="120"/>
      <c r="I202" s="119"/>
      <c r="J202" s="119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4"/>
    </row>
    <row r="203" ht="14.25" customHeight="1">
      <c r="F203" s="119"/>
      <c r="G203" s="119"/>
      <c r="H203" s="120"/>
      <c r="I203" s="119"/>
      <c r="J203" s="119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4"/>
    </row>
    <row r="204" ht="14.25" customHeight="1">
      <c r="F204" s="119"/>
      <c r="G204" s="119"/>
      <c r="H204" s="120"/>
      <c r="I204" s="119"/>
      <c r="J204" s="119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4"/>
    </row>
    <row r="205" ht="14.25" customHeight="1">
      <c r="F205" s="119"/>
      <c r="G205" s="119"/>
      <c r="H205" s="120"/>
      <c r="I205" s="119"/>
      <c r="J205" s="119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4"/>
    </row>
    <row r="206" ht="14.25" customHeight="1">
      <c r="F206" s="119"/>
      <c r="G206" s="119"/>
      <c r="H206" s="120"/>
      <c r="I206" s="119"/>
      <c r="J206" s="119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4"/>
    </row>
    <row r="207" ht="14.25" customHeight="1">
      <c r="F207" s="119"/>
      <c r="G207" s="119"/>
      <c r="H207" s="120"/>
      <c r="I207" s="119"/>
      <c r="J207" s="119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4"/>
    </row>
    <row r="208" ht="14.25" customHeight="1">
      <c r="F208" s="119"/>
      <c r="G208" s="119"/>
      <c r="H208" s="120"/>
      <c r="I208" s="119"/>
      <c r="J208" s="119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4"/>
    </row>
    <row r="209" ht="14.25" customHeight="1">
      <c r="F209" s="119"/>
      <c r="G209" s="119"/>
      <c r="H209" s="120"/>
      <c r="I209" s="119"/>
      <c r="J209" s="119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4"/>
    </row>
    <row r="210" ht="14.25" customHeight="1">
      <c r="F210" s="119"/>
      <c r="G210" s="119"/>
      <c r="H210" s="120"/>
      <c r="I210" s="119"/>
      <c r="J210" s="119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4"/>
    </row>
    <row r="211" ht="14.25" customHeight="1">
      <c r="F211" s="119"/>
      <c r="G211" s="119"/>
      <c r="H211" s="120"/>
      <c r="I211" s="119"/>
      <c r="J211" s="119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4"/>
    </row>
    <row r="212" ht="14.25" customHeight="1">
      <c r="F212" s="119"/>
      <c r="G212" s="119"/>
      <c r="H212" s="120"/>
      <c r="I212" s="119"/>
      <c r="J212" s="119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4"/>
    </row>
    <row r="213" ht="14.25" customHeight="1">
      <c r="F213" s="119"/>
      <c r="G213" s="119"/>
      <c r="H213" s="120"/>
      <c r="I213" s="119"/>
      <c r="J213" s="119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4"/>
    </row>
    <row r="214" ht="14.25" customHeight="1">
      <c r="F214" s="119"/>
      <c r="G214" s="119"/>
      <c r="H214" s="120"/>
      <c r="I214" s="119"/>
      <c r="J214" s="119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4"/>
    </row>
    <row r="215" ht="14.25" customHeight="1">
      <c r="F215" s="119"/>
      <c r="G215" s="119"/>
      <c r="H215" s="120"/>
      <c r="I215" s="119"/>
      <c r="J215" s="119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4"/>
    </row>
    <row r="216" ht="14.25" customHeight="1">
      <c r="F216" s="119"/>
      <c r="G216" s="119"/>
      <c r="H216" s="120"/>
      <c r="I216" s="119"/>
      <c r="J216" s="119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4"/>
    </row>
    <row r="217" ht="14.25" customHeight="1">
      <c r="F217" s="119"/>
      <c r="G217" s="119"/>
      <c r="H217" s="120"/>
      <c r="I217" s="119"/>
      <c r="J217" s="119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4"/>
    </row>
    <row r="218" ht="14.25" customHeight="1">
      <c r="F218" s="119"/>
      <c r="G218" s="119"/>
      <c r="H218" s="120"/>
      <c r="I218" s="119"/>
      <c r="J218" s="119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4"/>
    </row>
    <row r="219" ht="14.25" customHeight="1">
      <c r="F219" s="119"/>
      <c r="G219" s="119"/>
      <c r="H219" s="120"/>
      <c r="I219" s="119"/>
      <c r="J219" s="119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4"/>
    </row>
    <row r="220" ht="14.25" customHeight="1">
      <c r="F220" s="119"/>
      <c r="G220" s="119"/>
      <c r="H220" s="120"/>
      <c r="I220" s="119"/>
      <c r="J220" s="119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4"/>
    </row>
    <row r="221" ht="14.25" customHeight="1">
      <c r="F221" s="119"/>
      <c r="G221" s="119"/>
      <c r="H221" s="120"/>
      <c r="I221" s="119"/>
      <c r="J221" s="119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4"/>
    </row>
    <row r="222" ht="14.25" customHeight="1">
      <c r="F222" s="119"/>
      <c r="G222" s="119"/>
      <c r="H222" s="120"/>
      <c r="I222" s="119"/>
      <c r="J222" s="119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4"/>
    </row>
    <row r="223" ht="14.25" customHeight="1">
      <c r="F223" s="119"/>
      <c r="G223" s="119"/>
      <c r="H223" s="120"/>
      <c r="I223" s="119"/>
      <c r="J223" s="119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4"/>
    </row>
    <row r="224" ht="14.25" customHeight="1">
      <c r="F224" s="119"/>
      <c r="G224" s="119"/>
      <c r="H224" s="120"/>
      <c r="I224" s="119"/>
      <c r="J224" s="119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4"/>
    </row>
    <row r="225" ht="14.25" customHeight="1">
      <c r="F225" s="119"/>
      <c r="G225" s="119"/>
      <c r="H225" s="120"/>
      <c r="I225" s="119"/>
      <c r="J225" s="119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4"/>
    </row>
    <row r="226" ht="14.25" customHeight="1">
      <c r="F226" s="119"/>
      <c r="G226" s="119"/>
      <c r="H226" s="120"/>
      <c r="I226" s="119"/>
      <c r="J226" s="119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/>
    </row>
    <row r="227" ht="14.25" customHeight="1">
      <c r="F227" s="119"/>
      <c r="G227" s="119"/>
      <c r="H227" s="120"/>
      <c r="I227" s="119"/>
      <c r="J227" s="119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4"/>
    </row>
    <row r="228" ht="14.25" customHeight="1">
      <c r="F228" s="119"/>
      <c r="G228" s="119"/>
      <c r="H228" s="120"/>
      <c r="I228" s="119"/>
      <c r="J228" s="119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4"/>
    </row>
    <row r="229" ht="14.25" customHeight="1">
      <c r="F229" s="119"/>
      <c r="G229" s="119"/>
      <c r="H229" s="120"/>
      <c r="I229" s="119"/>
      <c r="J229" s="119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4"/>
    </row>
    <row r="230" ht="14.25" customHeight="1">
      <c r="F230" s="119"/>
      <c r="G230" s="119"/>
      <c r="H230" s="120"/>
      <c r="I230" s="119"/>
      <c r="J230" s="119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4"/>
    </row>
    <row r="231" ht="14.25" customHeight="1">
      <c r="F231" s="119"/>
      <c r="G231" s="119"/>
      <c r="H231" s="120"/>
      <c r="I231" s="119"/>
      <c r="J231" s="119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4"/>
    </row>
    <row r="232" ht="14.25" customHeight="1">
      <c r="F232" s="119"/>
      <c r="G232" s="119"/>
      <c r="H232" s="120"/>
      <c r="I232" s="119"/>
      <c r="J232" s="119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4"/>
    </row>
    <row r="233" ht="14.25" customHeight="1">
      <c r="F233" s="119"/>
      <c r="G233" s="119"/>
      <c r="H233" s="120"/>
      <c r="I233" s="119"/>
      <c r="J233" s="119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4"/>
    </row>
    <row r="234" ht="14.25" customHeight="1">
      <c r="F234" s="119"/>
      <c r="G234" s="119"/>
      <c r="H234" s="120"/>
      <c r="I234" s="119"/>
      <c r="J234" s="119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4"/>
    </row>
    <row r="235" ht="14.25" customHeight="1">
      <c r="F235" s="119"/>
      <c r="G235" s="119"/>
      <c r="H235" s="120"/>
      <c r="I235" s="119"/>
      <c r="J235" s="119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4"/>
    </row>
    <row r="236" ht="14.25" customHeight="1">
      <c r="F236" s="119"/>
      <c r="G236" s="119"/>
      <c r="H236" s="120"/>
      <c r="I236" s="119"/>
      <c r="J236" s="119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4"/>
    </row>
    <row r="237" ht="14.25" customHeight="1">
      <c r="F237" s="119"/>
      <c r="G237" s="119"/>
      <c r="H237" s="120"/>
      <c r="I237" s="119"/>
      <c r="J237" s="119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4"/>
    </row>
    <row r="238" ht="14.25" customHeight="1">
      <c r="F238" s="119"/>
      <c r="G238" s="119"/>
      <c r="H238" s="120"/>
      <c r="I238" s="119"/>
      <c r="J238" s="119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4"/>
    </row>
    <row r="239" ht="14.25" customHeight="1">
      <c r="F239" s="119"/>
      <c r="G239" s="119"/>
      <c r="H239" s="120"/>
      <c r="I239" s="119"/>
      <c r="J239" s="119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4"/>
    </row>
    <row r="240" ht="14.25" customHeight="1">
      <c r="F240" s="119"/>
      <c r="G240" s="119"/>
      <c r="H240" s="120"/>
      <c r="I240" s="119"/>
      <c r="J240" s="119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4"/>
    </row>
    <row r="241" ht="14.25" customHeight="1">
      <c r="F241" s="119"/>
      <c r="G241" s="119"/>
      <c r="H241" s="120"/>
      <c r="I241" s="119"/>
      <c r="J241" s="119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4"/>
    </row>
    <row r="242" ht="14.25" customHeight="1">
      <c r="F242" s="119"/>
      <c r="G242" s="119"/>
      <c r="H242" s="120"/>
      <c r="I242" s="119"/>
      <c r="J242" s="119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4"/>
    </row>
    <row r="243" ht="14.25" customHeight="1">
      <c r="F243" s="119"/>
      <c r="G243" s="119"/>
      <c r="H243" s="120"/>
      <c r="I243" s="119"/>
      <c r="J243" s="119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4"/>
    </row>
    <row r="244" ht="14.25" customHeight="1">
      <c r="F244" s="119"/>
      <c r="G244" s="119"/>
      <c r="H244" s="120"/>
      <c r="I244" s="119"/>
      <c r="J244" s="119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4"/>
    </row>
    <row r="245" ht="14.25" customHeight="1">
      <c r="F245" s="119"/>
      <c r="G245" s="119"/>
      <c r="H245" s="120"/>
      <c r="I245" s="119"/>
      <c r="J245" s="119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4"/>
    </row>
    <row r="246" ht="14.25" customHeight="1">
      <c r="F246" s="119"/>
      <c r="G246" s="119"/>
      <c r="H246" s="120"/>
      <c r="I246" s="119"/>
      <c r="J246" s="119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4"/>
    </row>
    <row r="247" ht="14.25" customHeight="1">
      <c r="F247" s="119"/>
      <c r="G247" s="119"/>
      <c r="H247" s="120"/>
      <c r="I247" s="119"/>
      <c r="J247" s="119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4"/>
    </row>
    <row r="248" ht="14.25" customHeight="1">
      <c r="F248" s="119"/>
      <c r="G248" s="119"/>
      <c r="H248" s="120"/>
      <c r="I248" s="119"/>
      <c r="J248" s="119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4"/>
    </row>
    <row r="249" ht="14.25" customHeight="1">
      <c r="F249" s="119"/>
      <c r="G249" s="119"/>
      <c r="H249" s="120"/>
      <c r="I249" s="119"/>
      <c r="J249" s="119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4"/>
    </row>
    <row r="250" ht="14.25" customHeight="1">
      <c r="F250" s="119"/>
      <c r="G250" s="119"/>
      <c r="H250" s="120"/>
      <c r="I250" s="119"/>
      <c r="J250" s="119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4"/>
    </row>
    <row r="251" ht="14.25" customHeight="1">
      <c r="F251" s="119"/>
      <c r="G251" s="119"/>
      <c r="H251" s="120"/>
      <c r="I251" s="119"/>
      <c r="J251" s="119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4"/>
    </row>
    <row r="252" ht="14.25" customHeight="1">
      <c r="F252" s="119"/>
      <c r="G252" s="119"/>
      <c r="H252" s="120"/>
      <c r="I252" s="119"/>
      <c r="J252" s="119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4"/>
    </row>
    <row r="253" ht="14.25" customHeight="1">
      <c r="F253" s="119"/>
      <c r="G253" s="119"/>
      <c r="H253" s="120"/>
      <c r="I253" s="119"/>
      <c r="J253" s="119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4"/>
    </row>
    <row r="254" ht="14.25" customHeight="1">
      <c r="F254" s="119"/>
      <c r="G254" s="119"/>
      <c r="H254" s="120"/>
      <c r="I254" s="119"/>
      <c r="J254" s="119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4"/>
    </row>
    <row r="255" ht="14.25" customHeight="1">
      <c r="F255" s="119"/>
      <c r="G255" s="119"/>
      <c r="H255" s="120"/>
      <c r="I255" s="119"/>
      <c r="J255" s="119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4"/>
    </row>
    <row r="256" ht="14.25" customHeight="1">
      <c r="F256" s="119"/>
      <c r="G256" s="119"/>
      <c r="H256" s="120"/>
      <c r="I256" s="119"/>
      <c r="J256" s="119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4"/>
    </row>
    <row r="257" ht="14.25" customHeight="1">
      <c r="F257" s="119"/>
      <c r="G257" s="119"/>
      <c r="H257" s="120"/>
      <c r="I257" s="119"/>
      <c r="J257" s="119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4"/>
    </row>
    <row r="258" ht="14.25" customHeight="1">
      <c r="F258" s="119"/>
      <c r="G258" s="119"/>
      <c r="H258" s="120"/>
      <c r="I258" s="119"/>
      <c r="J258" s="119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4"/>
    </row>
    <row r="259" ht="14.25" customHeight="1">
      <c r="F259" s="119"/>
      <c r="G259" s="119"/>
      <c r="H259" s="120"/>
      <c r="I259" s="119"/>
      <c r="J259" s="119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4"/>
    </row>
    <row r="260" ht="14.25" customHeight="1">
      <c r="F260" s="119"/>
      <c r="G260" s="119"/>
      <c r="H260" s="120"/>
      <c r="I260" s="119"/>
      <c r="J260" s="119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4"/>
    </row>
    <row r="261" ht="14.25" customHeight="1">
      <c r="F261" s="119"/>
      <c r="G261" s="119"/>
      <c r="H261" s="120"/>
      <c r="I261" s="119"/>
      <c r="J261" s="119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4"/>
    </row>
    <row r="262" ht="14.25" customHeight="1">
      <c r="F262" s="119"/>
      <c r="G262" s="119"/>
      <c r="H262" s="120"/>
      <c r="I262" s="119"/>
      <c r="J262" s="119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4"/>
    </row>
    <row r="263" ht="14.25" customHeight="1">
      <c r="F263" s="119"/>
      <c r="G263" s="119"/>
      <c r="H263" s="120"/>
      <c r="I263" s="119"/>
      <c r="J263" s="119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4"/>
    </row>
    <row r="264" ht="14.25" customHeight="1">
      <c r="F264" s="119"/>
      <c r="G264" s="119"/>
      <c r="H264" s="120"/>
      <c r="I264" s="119"/>
      <c r="J264" s="119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4"/>
    </row>
    <row r="265" ht="14.25" customHeight="1">
      <c r="F265" s="119"/>
      <c r="G265" s="119"/>
      <c r="H265" s="120"/>
      <c r="I265" s="119"/>
      <c r="J265" s="119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4"/>
    </row>
    <row r="266" ht="14.25" customHeight="1">
      <c r="F266" s="119"/>
      <c r="G266" s="119"/>
      <c r="H266" s="120"/>
      <c r="I266" s="119"/>
      <c r="J266" s="119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4"/>
    </row>
    <row r="267" ht="14.25" customHeight="1">
      <c r="F267" s="119"/>
      <c r="G267" s="119"/>
      <c r="H267" s="120"/>
      <c r="I267" s="119"/>
      <c r="J267" s="119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4"/>
    </row>
    <row r="268" ht="14.25" customHeight="1">
      <c r="F268" s="119"/>
      <c r="G268" s="119"/>
      <c r="H268" s="120"/>
      <c r="I268" s="119"/>
      <c r="J268" s="119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4"/>
    </row>
    <row r="269" ht="14.25" customHeight="1">
      <c r="F269" s="119"/>
      <c r="G269" s="119"/>
      <c r="H269" s="120"/>
      <c r="I269" s="119"/>
      <c r="J269" s="119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4"/>
    </row>
    <row r="270" ht="14.25" customHeight="1">
      <c r="F270" s="119"/>
      <c r="G270" s="119"/>
      <c r="H270" s="120"/>
      <c r="I270" s="119"/>
      <c r="J270" s="119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4"/>
    </row>
    <row r="271" ht="14.25" customHeight="1">
      <c r="F271" s="119"/>
      <c r="G271" s="119"/>
      <c r="H271" s="120"/>
      <c r="I271" s="119"/>
      <c r="J271" s="119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4"/>
    </row>
    <row r="272" ht="14.25" customHeight="1">
      <c r="F272" s="119"/>
      <c r="G272" s="119"/>
      <c r="H272" s="120"/>
      <c r="I272" s="119"/>
      <c r="J272" s="119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4"/>
    </row>
    <row r="273" ht="14.25" customHeight="1">
      <c r="F273" s="119"/>
      <c r="G273" s="119"/>
      <c r="H273" s="120"/>
      <c r="I273" s="119"/>
      <c r="J273" s="119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4"/>
    </row>
    <row r="274" ht="14.25" customHeight="1">
      <c r="F274" s="119"/>
      <c r="G274" s="119"/>
      <c r="H274" s="120"/>
      <c r="I274" s="119"/>
      <c r="J274" s="119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4"/>
    </row>
    <row r="275" ht="14.25" customHeight="1">
      <c r="F275" s="119"/>
      <c r="G275" s="119"/>
      <c r="H275" s="120"/>
      <c r="I275" s="119"/>
      <c r="J275" s="119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4"/>
    </row>
    <row r="276" ht="14.25" customHeight="1">
      <c r="F276" s="119"/>
      <c r="G276" s="119"/>
      <c r="H276" s="120"/>
      <c r="I276" s="119"/>
      <c r="J276" s="119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4"/>
    </row>
    <row r="277" ht="14.25" customHeight="1">
      <c r="F277" s="119"/>
      <c r="G277" s="119"/>
      <c r="H277" s="120"/>
      <c r="I277" s="119"/>
      <c r="J277" s="119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4"/>
    </row>
    <row r="278" ht="14.25" customHeight="1">
      <c r="F278" s="119"/>
      <c r="G278" s="119"/>
      <c r="H278" s="120"/>
      <c r="I278" s="119"/>
      <c r="J278" s="119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4"/>
    </row>
    <row r="279" ht="14.25" customHeight="1">
      <c r="F279" s="119"/>
      <c r="G279" s="119"/>
      <c r="H279" s="120"/>
      <c r="I279" s="119"/>
      <c r="J279" s="119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4"/>
    </row>
    <row r="280" ht="14.25" customHeight="1">
      <c r="F280" s="119"/>
      <c r="G280" s="119"/>
      <c r="H280" s="120"/>
      <c r="I280" s="119"/>
      <c r="J280" s="119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4"/>
    </row>
    <row r="281" ht="14.25" customHeight="1">
      <c r="F281" s="119"/>
      <c r="G281" s="119"/>
      <c r="H281" s="120"/>
      <c r="I281" s="119"/>
      <c r="J281" s="119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4"/>
    </row>
    <row r="282" ht="14.25" customHeight="1">
      <c r="F282" s="119"/>
      <c r="G282" s="119"/>
      <c r="H282" s="120"/>
      <c r="I282" s="119"/>
      <c r="J282" s="119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4"/>
    </row>
    <row r="283" ht="14.25" customHeight="1">
      <c r="F283" s="119"/>
      <c r="G283" s="119"/>
      <c r="H283" s="120"/>
      <c r="I283" s="119"/>
      <c r="J283" s="119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4"/>
    </row>
    <row r="284" ht="14.25" customHeight="1">
      <c r="F284" s="119"/>
      <c r="G284" s="119"/>
      <c r="H284" s="120"/>
      <c r="I284" s="119"/>
      <c r="J284" s="119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4"/>
    </row>
    <row r="285" ht="14.25" customHeight="1">
      <c r="F285" s="119"/>
      <c r="G285" s="119"/>
      <c r="H285" s="120"/>
      <c r="I285" s="119"/>
      <c r="J285" s="119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4"/>
    </row>
    <row r="286" ht="14.25" customHeight="1">
      <c r="F286" s="119"/>
      <c r="G286" s="119"/>
      <c r="H286" s="120"/>
      <c r="I286" s="119"/>
      <c r="J286" s="119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4"/>
    </row>
    <row r="287" ht="14.25" customHeight="1">
      <c r="F287" s="119"/>
      <c r="G287" s="119"/>
      <c r="H287" s="120"/>
      <c r="I287" s="119"/>
      <c r="J287" s="119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4"/>
    </row>
    <row r="288" ht="14.25" customHeight="1">
      <c r="F288" s="119"/>
      <c r="G288" s="119"/>
      <c r="H288" s="120"/>
      <c r="I288" s="119"/>
      <c r="J288" s="119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4"/>
    </row>
    <row r="289" ht="14.25" customHeight="1">
      <c r="F289" s="119"/>
      <c r="G289" s="119"/>
      <c r="H289" s="120"/>
      <c r="I289" s="119"/>
      <c r="J289" s="119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4"/>
    </row>
    <row r="290" ht="14.25" customHeight="1">
      <c r="F290" s="119"/>
      <c r="G290" s="119"/>
      <c r="H290" s="120"/>
      <c r="I290" s="119"/>
      <c r="J290" s="119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4"/>
    </row>
    <row r="291" ht="14.25" customHeight="1">
      <c r="F291" s="119"/>
      <c r="G291" s="119"/>
      <c r="H291" s="120"/>
      <c r="I291" s="119"/>
      <c r="J291" s="119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4"/>
    </row>
    <row r="292" ht="14.25" customHeight="1">
      <c r="F292" s="119"/>
      <c r="G292" s="119"/>
      <c r="H292" s="120"/>
      <c r="I292" s="119"/>
      <c r="J292" s="119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4"/>
    </row>
    <row r="293" ht="14.25" customHeight="1">
      <c r="F293" s="119"/>
      <c r="G293" s="119"/>
      <c r="H293" s="120"/>
      <c r="I293" s="119"/>
      <c r="J293" s="119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4"/>
    </row>
    <row r="294" ht="14.25" customHeight="1">
      <c r="F294" s="119"/>
      <c r="G294" s="119"/>
      <c r="H294" s="120"/>
      <c r="I294" s="119"/>
      <c r="J294" s="119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4"/>
    </row>
    <row r="295" ht="14.25" customHeight="1">
      <c r="F295" s="119"/>
      <c r="G295" s="119"/>
      <c r="H295" s="120"/>
      <c r="I295" s="119"/>
      <c r="J295" s="119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4"/>
    </row>
    <row r="296" ht="14.25" customHeight="1">
      <c r="F296" s="119"/>
      <c r="G296" s="119"/>
      <c r="H296" s="120"/>
      <c r="I296" s="119"/>
      <c r="J296" s="119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4"/>
    </row>
    <row r="297" ht="14.25" customHeight="1">
      <c r="F297" s="119"/>
      <c r="G297" s="119"/>
      <c r="H297" s="120"/>
      <c r="I297" s="119"/>
      <c r="J297" s="119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4"/>
    </row>
    <row r="298" ht="14.25" customHeight="1">
      <c r="F298" s="119"/>
      <c r="G298" s="119"/>
      <c r="H298" s="120"/>
      <c r="I298" s="119"/>
      <c r="J298" s="119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4"/>
    </row>
    <row r="299" ht="14.25" customHeight="1">
      <c r="F299" s="119"/>
      <c r="G299" s="119"/>
      <c r="H299" s="120"/>
      <c r="I299" s="119"/>
      <c r="J299" s="119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4"/>
    </row>
    <row r="300" ht="14.25" customHeight="1">
      <c r="F300" s="119"/>
      <c r="G300" s="119"/>
      <c r="H300" s="120"/>
      <c r="I300" s="119"/>
      <c r="J300" s="119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4"/>
    </row>
    <row r="301" ht="14.25" customHeight="1">
      <c r="F301" s="119"/>
      <c r="G301" s="119"/>
      <c r="H301" s="120"/>
      <c r="I301" s="119"/>
      <c r="J301" s="119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4"/>
    </row>
    <row r="302" ht="14.25" customHeight="1">
      <c r="F302" s="119"/>
      <c r="G302" s="119"/>
      <c r="H302" s="120"/>
      <c r="I302" s="119"/>
      <c r="J302" s="119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4"/>
    </row>
    <row r="303" ht="14.25" customHeight="1">
      <c r="F303" s="119"/>
      <c r="G303" s="119"/>
      <c r="H303" s="120"/>
      <c r="I303" s="119"/>
      <c r="J303" s="119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4"/>
    </row>
    <row r="304" ht="14.25" customHeight="1">
      <c r="F304" s="119"/>
      <c r="G304" s="119"/>
      <c r="H304" s="120"/>
      <c r="I304" s="119"/>
      <c r="J304" s="119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4"/>
    </row>
    <row r="305" ht="14.25" customHeight="1">
      <c r="F305" s="119"/>
      <c r="G305" s="119"/>
      <c r="H305" s="120"/>
      <c r="I305" s="119"/>
      <c r="J305" s="119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4"/>
    </row>
    <row r="306" ht="14.25" customHeight="1">
      <c r="F306" s="119"/>
      <c r="G306" s="119"/>
      <c r="H306" s="120"/>
      <c r="I306" s="119"/>
      <c r="J306" s="119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4"/>
    </row>
    <row r="307" ht="14.25" customHeight="1">
      <c r="F307" s="119"/>
      <c r="G307" s="119"/>
      <c r="H307" s="120"/>
      <c r="I307" s="119"/>
      <c r="J307" s="119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4"/>
    </row>
    <row r="308" ht="14.25" customHeight="1">
      <c r="F308" s="119"/>
      <c r="G308" s="119"/>
      <c r="H308" s="120"/>
      <c r="I308" s="119"/>
      <c r="J308" s="119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4"/>
    </row>
    <row r="309" ht="14.25" customHeight="1">
      <c r="F309" s="119"/>
      <c r="G309" s="119"/>
      <c r="H309" s="120"/>
      <c r="I309" s="119"/>
      <c r="J309" s="119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4"/>
    </row>
    <row r="310" ht="14.25" customHeight="1">
      <c r="F310" s="119"/>
      <c r="G310" s="119"/>
      <c r="H310" s="120"/>
      <c r="I310" s="119"/>
      <c r="J310" s="119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4"/>
    </row>
    <row r="311" ht="14.25" customHeight="1">
      <c r="F311" s="119"/>
      <c r="G311" s="119"/>
      <c r="H311" s="120"/>
      <c r="I311" s="119"/>
      <c r="J311" s="119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4"/>
    </row>
    <row r="312" ht="14.25" customHeight="1">
      <c r="F312" s="119"/>
      <c r="G312" s="119"/>
      <c r="H312" s="120"/>
      <c r="I312" s="119"/>
      <c r="J312" s="119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4"/>
    </row>
    <row r="313" ht="14.25" customHeight="1">
      <c r="F313" s="119"/>
      <c r="G313" s="119"/>
      <c r="H313" s="120"/>
      <c r="I313" s="119"/>
      <c r="J313" s="119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4"/>
    </row>
    <row r="314" ht="14.25" customHeight="1">
      <c r="F314" s="119"/>
      <c r="G314" s="119"/>
      <c r="H314" s="120"/>
      <c r="I314" s="119"/>
      <c r="J314" s="119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4"/>
    </row>
    <row r="315" ht="14.25" customHeight="1">
      <c r="F315" s="119"/>
      <c r="G315" s="119"/>
      <c r="H315" s="120"/>
      <c r="I315" s="119"/>
      <c r="J315" s="119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4"/>
    </row>
    <row r="316" ht="14.25" customHeight="1">
      <c r="F316" s="119"/>
      <c r="G316" s="119"/>
      <c r="H316" s="120"/>
      <c r="I316" s="119"/>
      <c r="J316" s="119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4"/>
    </row>
    <row r="317" ht="14.25" customHeight="1">
      <c r="F317" s="119"/>
      <c r="G317" s="119"/>
      <c r="H317" s="120"/>
      <c r="I317" s="119"/>
      <c r="J317" s="119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4"/>
    </row>
    <row r="318" ht="14.25" customHeight="1">
      <c r="F318" s="119"/>
      <c r="G318" s="119"/>
      <c r="H318" s="120"/>
      <c r="I318" s="119"/>
      <c r="J318" s="119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4"/>
    </row>
    <row r="319" ht="14.25" customHeight="1">
      <c r="F319" s="119"/>
      <c r="G319" s="119"/>
      <c r="H319" s="120"/>
      <c r="I319" s="119"/>
      <c r="J319" s="119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4"/>
    </row>
    <row r="320" ht="14.25" customHeight="1">
      <c r="F320" s="119"/>
      <c r="G320" s="119"/>
      <c r="H320" s="120"/>
      <c r="I320" s="119"/>
      <c r="J320" s="119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4"/>
    </row>
    <row r="321" ht="14.25" customHeight="1">
      <c r="F321" s="119"/>
      <c r="G321" s="119"/>
      <c r="H321" s="120"/>
      <c r="I321" s="119"/>
      <c r="J321" s="119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4"/>
    </row>
    <row r="322" ht="14.25" customHeight="1">
      <c r="F322" s="119"/>
      <c r="G322" s="119"/>
      <c r="H322" s="120"/>
      <c r="I322" s="119"/>
      <c r="J322" s="119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4"/>
    </row>
    <row r="323" ht="14.25" customHeight="1">
      <c r="F323" s="119"/>
      <c r="G323" s="119"/>
      <c r="H323" s="120"/>
      <c r="I323" s="119"/>
      <c r="J323" s="119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4"/>
    </row>
    <row r="324" ht="14.25" customHeight="1">
      <c r="F324" s="119"/>
      <c r="G324" s="119"/>
      <c r="H324" s="120"/>
      <c r="I324" s="119"/>
      <c r="J324" s="119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4"/>
    </row>
    <row r="325" ht="14.25" customHeight="1">
      <c r="F325" s="119"/>
      <c r="G325" s="119"/>
      <c r="H325" s="120"/>
      <c r="I325" s="119"/>
      <c r="J325" s="119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4"/>
    </row>
    <row r="326" ht="14.25" customHeight="1">
      <c r="F326" s="119"/>
      <c r="G326" s="119"/>
      <c r="H326" s="120"/>
      <c r="I326" s="119"/>
      <c r="J326" s="119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4"/>
    </row>
    <row r="327" ht="14.25" customHeight="1">
      <c r="F327" s="119"/>
      <c r="G327" s="119"/>
      <c r="H327" s="120"/>
      <c r="I327" s="119"/>
      <c r="J327" s="119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4"/>
    </row>
    <row r="328" ht="14.25" customHeight="1">
      <c r="F328" s="119"/>
      <c r="G328" s="119"/>
      <c r="H328" s="120"/>
      <c r="I328" s="119"/>
      <c r="J328" s="119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4"/>
    </row>
    <row r="329" ht="14.25" customHeight="1">
      <c r="F329" s="119"/>
      <c r="G329" s="119"/>
      <c r="H329" s="120"/>
      <c r="I329" s="119"/>
      <c r="J329" s="119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4"/>
    </row>
    <row r="330" ht="14.25" customHeight="1">
      <c r="F330" s="119"/>
      <c r="G330" s="119"/>
      <c r="H330" s="120"/>
      <c r="I330" s="119"/>
      <c r="J330" s="119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4"/>
    </row>
    <row r="331" ht="14.25" customHeight="1">
      <c r="F331" s="119"/>
      <c r="G331" s="119"/>
      <c r="H331" s="120"/>
      <c r="I331" s="119"/>
      <c r="J331" s="119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4"/>
    </row>
    <row r="332" ht="14.25" customHeight="1">
      <c r="F332" s="119"/>
      <c r="G332" s="119"/>
      <c r="H332" s="120"/>
      <c r="I332" s="119"/>
      <c r="J332" s="119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4"/>
    </row>
    <row r="333" ht="14.25" customHeight="1">
      <c r="F333" s="119"/>
      <c r="G333" s="119"/>
      <c r="H333" s="120"/>
      <c r="I333" s="119"/>
      <c r="J333" s="119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4"/>
    </row>
    <row r="334" ht="14.25" customHeight="1">
      <c r="F334" s="119"/>
      <c r="G334" s="119"/>
      <c r="H334" s="120"/>
      <c r="I334" s="119"/>
      <c r="J334" s="119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4"/>
    </row>
    <row r="335" ht="14.25" customHeight="1">
      <c r="F335" s="119"/>
      <c r="G335" s="119"/>
      <c r="H335" s="120"/>
      <c r="I335" s="119"/>
      <c r="J335" s="119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4"/>
    </row>
    <row r="336" ht="14.25" customHeight="1">
      <c r="F336" s="119"/>
      <c r="G336" s="119"/>
      <c r="H336" s="120"/>
      <c r="I336" s="119"/>
      <c r="J336" s="119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4"/>
    </row>
    <row r="337" ht="14.25" customHeight="1">
      <c r="F337" s="119"/>
      <c r="G337" s="119"/>
      <c r="H337" s="120"/>
      <c r="I337" s="119"/>
      <c r="J337" s="119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4"/>
    </row>
    <row r="338" ht="14.25" customHeight="1">
      <c r="F338" s="119"/>
      <c r="G338" s="119"/>
      <c r="H338" s="120"/>
      <c r="I338" s="119"/>
      <c r="J338" s="119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4"/>
    </row>
    <row r="339" ht="14.25" customHeight="1">
      <c r="F339" s="119"/>
      <c r="G339" s="119"/>
      <c r="H339" s="120"/>
      <c r="I339" s="119"/>
      <c r="J339" s="119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4"/>
    </row>
    <row r="340" ht="14.25" customHeight="1">
      <c r="F340" s="119"/>
      <c r="G340" s="119"/>
      <c r="H340" s="120"/>
      <c r="I340" s="119"/>
      <c r="J340" s="119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4"/>
    </row>
    <row r="341" ht="14.25" customHeight="1">
      <c r="F341" s="119"/>
      <c r="G341" s="119"/>
      <c r="H341" s="120"/>
      <c r="I341" s="119"/>
      <c r="J341" s="119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4"/>
    </row>
    <row r="342" ht="14.25" customHeight="1">
      <c r="F342" s="119"/>
      <c r="G342" s="119"/>
      <c r="H342" s="120"/>
      <c r="I342" s="119"/>
      <c r="J342" s="119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4"/>
    </row>
    <row r="343" ht="14.25" customHeight="1">
      <c r="F343" s="119"/>
      <c r="G343" s="119"/>
      <c r="H343" s="120"/>
      <c r="I343" s="119"/>
      <c r="J343" s="119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4"/>
    </row>
    <row r="344" ht="14.25" customHeight="1">
      <c r="F344" s="119"/>
      <c r="G344" s="119"/>
      <c r="H344" s="120"/>
      <c r="I344" s="119"/>
      <c r="J344" s="119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4"/>
    </row>
    <row r="345" ht="14.25" customHeight="1">
      <c r="F345" s="119"/>
      <c r="G345" s="119"/>
      <c r="H345" s="120"/>
      <c r="I345" s="119"/>
      <c r="J345" s="119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4"/>
    </row>
    <row r="346" ht="14.25" customHeight="1">
      <c r="F346" s="119"/>
      <c r="G346" s="119"/>
      <c r="H346" s="120"/>
      <c r="I346" s="119"/>
      <c r="J346" s="119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4"/>
    </row>
    <row r="347" ht="14.25" customHeight="1">
      <c r="F347" s="119"/>
      <c r="G347" s="119"/>
      <c r="H347" s="120"/>
      <c r="I347" s="119"/>
      <c r="J347" s="119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4"/>
    </row>
    <row r="348" ht="14.25" customHeight="1">
      <c r="F348" s="119"/>
      <c r="G348" s="119"/>
      <c r="H348" s="120"/>
      <c r="I348" s="119"/>
      <c r="J348" s="119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4"/>
    </row>
    <row r="349" ht="14.25" customHeight="1">
      <c r="F349" s="119"/>
      <c r="G349" s="119"/>
      <c r="H349" s="120"/>
      <c r="I349" s="119"/>
      <c r="J349" s="119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4"/>
    </row>
    <row r="350" ht="14.25" customHeight="1">
      <c r="F350" s="119"/>
      <c r="G350" s="119"/>
      <c r="H350" s="120"/>
      <c r="I350" s="119"/>
      <c r="J350" s="119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4"/>
    </row>
    <row r="351" ht="14.25" customHeight="1">
      <c r="F351" s="119"/>
      <c r="G351" s="119"/>
      <c r="H351" s="120"/>
      <c r="I351" s="119"/>
      <c r="J351" s="119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4"/>
    </row>
    <row r="352" ht="14.25" customHeight="1">
      <c r="F352" s="119"/>
      <c r="G352" s="119"/>
      <c r="H352" s="120"/>
      <c r="I352" s="119"/>
      <c r="J352" s="119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4"/>
    </row>
    <row r="353" ht="14.25" customHeight="1">
      <c r="F353" s="119"/>
      <c r="G353" s="119"/>
      <c r="H353" s="120"/>
      <c r="I353" s="119"/>
      <c r="J353" s="119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4"/>
    </row>
    <row r="354" ht="14.25" customHeight="1">
      <c r="F354" s="119"/>
      <c r="G354" s="119"/>
      <c r="H354" s="120"/>
      <c r="I354" s="119"/>
      <c r="J354" s="119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4"/>
    </row>
    <row r="355" ht="14.25" customHeight="1">
      <c r="F355" s="119"/>
      <c r="G355" s="119"/>
      <c r="H355" s="120"/>
      <c r="I355" s="119"/>
      <c r="J355" s="119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4"/>
    </row>
    <row r="356" ht="14.25" customHeight="1">
      <c r="F356" s="119"/>
      <c r="G356" s="119"/>
      <c r="H356" s="120"/>
      <c r="I356" s="119"/>
      <c r="J356" s="119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4"/>
    </row>
    <row r="357" ht="14.25" customHeight="1">
      <c r="F357" s="119"/>
      <c r="G357" s="119"/>
      <c r="H357" s="120"/>
      <c r="I357" s="119"/>
      <c r="J357" s="119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4"/>
    </row>
    <row r="358" ht="14.25" customHeight="1">
      <c r="F358" s="119"/>
      <c r="G358" s="119"/>
      <c r="H358" s="120"/>
      <c r="I358" s="119"/>
      <c r="J358" s="119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4"/>
    </row>
    <row r="359" ht="14.25" customHeight="1">
      <c r="F359" s="119"/>
      <c r="G359" s="119"/>
      <c r="H359" s="120"/>
      <c r="I359" s="119"/>
      <c r="J359" s="119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4"/>
    </row>
    <row r="360" ht="14.25" customHeight="1">
      <c r="F360" s="119"/>
      <c r="G360" s="119"/>
      <c r="H360" s="120"/>
      <c r="I360" s="119"/>
      <c r="J360" s="119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4"/>
    </row>
    <row r="361" ht="14.25" customHeight="1">
      <c r="F361" s="119"/>
      <c r="G361" s="119"/>
      <c r="H361" s="120"/>
      <c r="I361" s="119"/>
      <c r="J361" s="119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4"/>
    </row>
    <row r="362" ht="14.25" customHeight="1">
      <c r="F362" s="119"/>
      <c r="G362" s="119"/>
      <c r="H362" s="120"/>
      <c r="I362" s="119"/>
      <c r="J362" s="119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4"/>
    </row>
    <row r="363" ht="14.25" customHeight="1">
      <c r="F363" s="119"/>
      <c r="G363" s="119"/>
      <c r="H363" s="120"/>
      <c r="I363" s="119"/>
      <c r="J363" s="119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4"/>
    </row>
    <row r="364" ht="14.25" customHeight="1">
      <c r="F364" s="119"/>
      <c r="G364" s="119"/>
      <c r="H364" s="120"/>
      <c r="I364" s="119"/>
      <c r="J364" s="119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4"/>
    </row>
    <row r="365" ht="14.25" customHeight="1">
      <c r="F365" s="119"/>
      <c r="G365" s="119"/>
      <c r="H365" s="120"/>
      <c r="I365" s="119"/>
      <c r="J365" s="119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4"/>
    </row>
    <row r="366" ht="14.25" customHeight="1">
      <c r="F366" s="119"/>
      <c r="G366" s="119"/>
      <c r="H366" s="120"/>
      <c r="I366" s="119"/>
      <c r="J366" s="119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4"/>
    </row>
    <row r="367" ht="14.25" customHeight="1">
      <c r="F367" s="119"/>
      <c r="G367" s="119"/>
      <c r="H367" s="120"/>
      <c r="I367" s="119"/>
      <c r="J367" s="119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4"/>
    </row>
    <row r="368" ht="14.25" customHeight="1">
      <c r="F368" s="119"/>
      <c r="G368" s="119"/>
      <c r="H368" s="120"/>
      <c r="I368" s="119"/>
      <c r="J368" s="119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4"/>
    </row>
    <row r="369" ht="14.25" customHeight="1">
      <c r="F369" s="119"/>
      <c r="G369" s="119"/>
      <c r="H369" s="120"/>
      <c r="I369" s="119"/>
      <c r="J369" s="119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4"/>
    </row>
    <row r="370" ht="14.25" customHeight="1">
      <c r="F370" s="119"/>
      <c r="G370" s="119"/>
      <c r="H370" s="120"/>
      <c r="I370" s="119"/>
      <c r="J370" s="119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4"/>
    </row>
    <row r="371" ht="14.25" customHeight="1">
      <c r="F371" s="119"/>
      <c r="G371" s="119"/>
      <c r="H371" s="120"/>
      <c r="I371" s="119"/>
      <c r="J371" s="119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4"/>
    </row>
    <row r="372" ht="14.25" customHeight="1">
      <c r="F372" s="119"/>
      <c r="G372" s="119"/>
      <c r="H372" s="120"/>
      <c r="I372" s="119"/>
      <c r="J372" s="119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4"/>
    </row>
    <row r="373" ht="14.25" customHeight="1">
      <c r="F373" s="119"/>
      <c r="G373" s="119"/>
      <c r="H373" s="120"/>
      <c r="I373" s="119"/>
      <c r="J373" s="119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4"/>
    </row>
    <row r="374" ht="14.25" customHeight="1">
      <c r="F374" s="119"/>
      <c r="G374" s="119"/>
      <c r="H374" s="120"/>
      <c r="I374" s="119"/>
      <c r="J374" s="119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4"/>
    </row>
    <row r="375" ht="14.25" customHeight="1">
      <c r="F375" s="119"/>
      <c r="G375" s="119"/>
      <c r="H375" s="120"/>
      <c r="I375" s="119"/>
      <c r="J375" s="119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4"/>
    </row>
    <row r="376" ht="14.25" customHeight="1">
      <c r="F376" s="119"/>
      <c r="G376" s="119"/>
      <c r="H376" s="120"/>
      <c r="I376" s="119"/>
      <c r="J376" s="119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4"/>
    </row>
    <row r="377" ht="14.25" customHeight="1">
      <c r="F377" s="119"/>
      <c r="G377" s="119"/>
      <c r="H377" s="120"/>
      <c r="I377" s="119"/>
      <c r="J377" s="119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4"/>
    </row>
    <row r="378" ht="14.25" customHeight="1">
      <c r="F378" s="119"/>
      <c r="G378" s="119"/>
      <c r="H378" s="120"/>
      <c r="I378" s="119"/>
      <c r="J378" s="119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4"/>
    </row>
    <row r="379" ht="14.25" customHeight="1">
      <c r="F379" s="119"/>
      <c r="G379" s="119"/>
      <c r="H379" s="120"/>
      <c r="I379" s="119"/>
      <c r="J379" s="119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4"/>
    </row>
    <row r="380" ht="14.25" customHeight="1">
      <c r="F380" s="119"/>
      <c r="G380" s="119"/>
      <c r="H380" s="120"/>
      <c r="I380" s="119"/>
      <c r="J380" s="119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4"/>
    </row>
    <row r="381" ht="14.25" customHeight="1">
      <c r="F381" s="119"/>
      <c r="G381" s="119"/>
      <c r="H381" s="120"/>
      <c r="I381" s="119"/>
      <c r="J381" s="119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4"/>
    </row>
    <row r="382" ht="14.25" customHeight="1">
      <c r="F382" s="119"/>
      <c r="G382" s="119"/>
      <c r="H382" s="120"/>
      <c r="I382" s="119"/>
      <c r="J382" s="119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4"/>
    </row>
    <row r="383" ht="14.25" customHeight="1">
      <c r="F383" s="119"/>
      <c r="G383" s="119"/>
      <c r="H383" s="120"/>
      <c r="I383" s="119"/>
      <c r="J383" s="119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4"/>
    </row>
    <row r="384" ht="14.25" customHeight="1">
      <c r="F384" s="119"/>
      <c r="G384" s="119"/>
      <c r="H384" s="120"/>
      <c r="I384" s="119"/>
      <c r="J384" s="119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4"/>
    </row>
    <row r="385" ht="14.25" customHeight="1">
      <c r="F385" s="119"/>
      <c r="G385" s="119"/>
      <c r="H385" s="120"/>
      <c r="I385" s="119"/>
      <c r="J385" s="119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4"/>
    </row>
    <row r="386" ht="14.25" customHeight="1">
      <c r="F386" s="119"/>
      <c r="G386" s="119"/>
      <c r="H386" s="120"/>
      <c r="I386" s="119"/>
      <c r="J386" s="119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4"/>
    </row>
    <row r="387" ht="14.25" customHeight="1">
      <c r="F387" s="119"/>
      <c r="G387" s="119"/>
      <c r="H387" s="120"/>
      <c r="I387" s="119"/>
      <c r="J387" s="119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4"/>
    </row>
    <row r="388" ht="14.25" customHeight="1">
      <c r="F388" s="119"/>
      <c r="G388" s="119"/>
      <c r="H388" s="120"/>
      <c r="I388" s="119"/>
      <c r="J388" s="119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4"/>
    </row>
    <row r="389" ht="14.25" customHeight="1">
      <c r="F389" s="119"/>
      <c r="G389" s="119"/>
      <c r="H389" s="120"/>
      <c r="I389" s="119"/>
      <c r="J389" s="119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4"/>
    </row>
    <row r="390" ht="14.25" customHeight="1">
      <c r="F390" s="119"/>
      <c r="G390" s="119"/>
      <c r="H390" s="120"/>
      <c r="I390" s="119"/>
      <c r="J390" s="119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4"/>
    </row>
    <row r="391" ht="14.25" customHeight="1">
      <c r="F391" s="119"/>
      <c r="G391" s="119"/>
      <c r="H391" s="120"/>
      <c r="I391" s="119"/>
      <c r="J391" s="119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4"/>
    </row>
    <row r="392" ht="14.25" customHeight="1">
      <c r="F392" s="119"/>
      <c r="G392" s="119"/>
      <c r="H392" s="120"/>
      <c r="I392" s="119"/>
      <c r="J392" s="119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4"/>
    </row>
    <row r="393" ht="14.25" customHeight="1">
      <c r="F393" s="119"/>
      <c r="G393" s="119"/>
      <c r="H393" s="120"/>
      <c r="I393" s="119"/>
      <c r="J393" s="119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4"/>
    </row>
    <row r="394" ht="14.25" customHeight="1">
      <c r="F394" s="119"/>
      <c r="G394" s="119"/>
      <c r="H394" s="120"/>
      <c r="I394" s="119"/>
      <c r="J394" s="119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4"/>
    </row>
    <row r="395" ht="14.25" customHeight="1">
      <c r="F395" s="119"/>
      <c r="G395" s="119"/>
      <c r="H395" s="120"/>
      <c r="I395" s="119"/>
      <c r="J395" s="119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4"/>
    </row>
    <row r="396" ht="14.25" customHeight="1">
      <c r="F396" s="119"/>
      <c r="G396" s="119"/>
      <c r="H396" s="120"/>
      <c r="I396" s="119"/>
      <c r="J396" s="119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4"/>
    </row>
    <row r="397" ht="14.25" customHeight="1">
      <c r="F397" s="119"/>
      <c r="G397" s="119"/>
      <c r="H397" s="120"/>
      <c r="I397" s="119"/>
      <c r="J397" s="119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4"/>
    </row>
    <row r="398" ht="14.25" customHeight="1">
      <c r="F398" s="119"/>
      <c r="G398" s="119"/>
      <c r="H398" s="120"/>
      <c r="I398" s="119"/>
      <c r="J398" s="119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4"/>
    </row>
    <row r="399" ht="14.25" customHeight="1">
      <c r="F399" s="119"/>
      <c r="G399" s="119"/>
      <c r="H399" s="120"/>
      <c r="I399" s="119"/>
      <c r="J399" s="119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4"/>
    </row>
    <row r="400" ht="14.25" customHeight="1">
      <c r="F400" s="119"/>
      <c r="G400" s="119"/>
      <c r="H400" s="120"/>
      <c r="I400" s="119"/>
      <c r="J400" s="119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4"/>
    </row>
    <row r="401" ht="14.25" customHeight="1">
      <c r="F401" s="119"/>
      <c r="G401" s="119"/>
      <c r="H401" s="120"/>
      <c r="I401" s="119"/>
      <c r="J401" s="119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4"/>
    </row>
    <row r="402" ht="14.25" customHeight="1">
      <c r="F402" s="119"/>
      <c r="G402" s="119"/>
      <c r="H402" s="120"/>
      <c r="I402" s="119"/>
      <c r="J402" s="119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4"/>
    </row>
    <row r="403" ht="14.25" customHeight="1">
      <c r="F403" s="119"/>
      <c r="G403" s="119"/>
      <c r="H403" s="120"/>
      <c r="I403" s="119"/>
      <c r="J403" s="119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4"/>
    </row>
    <row r="404" ht="14.25" customHeight="1">
      <c r="F404" s="119"/>
      <c r="G404" s="119"/>
      <c r="H404" s="120"/>
      <c r="I404" s="119"/>
      <c r="J404" s="119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4"/>
    </row>
    <row r="405" ht="14.25" customHeight="1">
      <c r="F405" s="119"/>
      <c r="G405" s="119"/>
      <c r="H405" s="120"/>
      <c r="I405" s="119"/>
      <c r="J405" s="119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4"/>
    </row>
    <row r="406" ht="14.25" customHeight="1">
      <c r="F406" s="119"/>
      <c r="G406" s="119"/>
      <c r="H406" s="120"/>
      <c r="I406" s="119"/>
      <c r="J406" s="119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4"/>
    </row>
    <row r="407" ht="14.25" customHeight="1">
      <c r="F407" s="119"/>
      <c r="G407" s="119"/>
      <c r="H407" s="120"/>
      <c r="I407" s="119"/>
      <c r="J407" s="119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4"/>
    </row>
    <row r="408" ht="14.25" customHeight="1">
      <c r="F408" s="119"/>
      <c r="G408" s="119"/>
      <c r="H408" s="120"/>
      <c r="I408" s="119"/>
      <c r="J408" s="119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4"/>
    </row>
    <row r="409" ht="14.25" customHeight="1">
      <c r="F409" s="119"/>
      <c r="G409" s="119"/>
      <c r="H409" s="120"/>
      <c r="I409" s="119"/>
      <c r="J409" s="119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4"/>
    </row>
    <row r="410" ht="14.25" customHeight="1">
      <c r="F410" s="119"/>
      <c r="G410" s="119"/>
      <c r="H410" s="120"/>
      <c r="I410" s="119"/>
      <c r="J410" s="119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4"/>
    </row>
    <row r="411" ht="14.25" customHeight="1">
      <c r="F411" s="119"/>
      <c r="G411" s="119"/>
      <c r="H411" s="120"/>
      <c r="I411" s="119"/>
      <c r="J411" s="119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4"/>
    </row>
    <row r="412" ht="14.25" customHeight="1">
      <c r="F412" s="119"/>
      <c r="G412" s="119"/>
      <c r="H412" s="120"/>
      <c r="I412" s="119"/>
      <c r="J412" s="119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4"/>
    </row>
    <row r="413" ht="14.25" customHeight="1">
      <c r="F413" s="119"/>
      <c r="G413" s="119"/>
      <c r="H413" s="120"/>
      <c r="I413" s="119"/>
      <c r="J413" s="119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4"/>
    </row>
    <row r="414" ht="14.25" customHeight="1">
      <c r="F414" s="119"/>
      <c r="G414" s="119"/>
      <c r="H414" s="120"/>
      <c r="I414" s="119"/>
      <c r="J414" s="119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4"/>
    </row>
    <row r="415" ht="14.25" customHeight="1">
      <c r="F415" s="119"/>
      <c r="G415" s="119"/>
      <c r="H415" s="120"/>
      <c r="I415" s="119"/>
      <c r="J415" s="119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4"/>
    </row>
    <row r="416" ht="14.25" customHeight="1">
      <c r="F416" s="119"/>
      <c r="G416" s="119"/>
      <c r="H416" s="120"/>
      <c r="I416" s="119"/>
      <c r="J416" s="119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4"/>
    </row>
    <row r="417" ht="14.25" customHeight="1">
      <c r="F417" s="119"/>
      <c r="G417" s="119"/>
      <c r="H417" s="120"/>
      <c r="I417" s="119"/>
      <c r="J417" s="119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4"/>
    </row>
    <row r="418" ht="14.25" customHeight="1">
      <c r="F418" s="119"/>
      <c r="G418" s="119"/>
      <c r="H418" s="120"/>
      <c r="I418" s="119"/>
      <c r="J418" s="119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4"/>
    </row>
    <row r="419" ht="14.25" customHeight="1">
      <c r="F419" s="119"/>
      <c r="G419" s="119"/>
      <c r="H419" s="120"/>
      <c r="I419" s="119"/>
      <c r="J419" s="119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4"/>
    </row>
    <row r="420" ht="14.25" customHeight="1">
      <c r="F420" s="119"/>
      <c r="G420" s="119"/>
      <c r="H420" s="120"/>
      <c r="I420" s="119"/>
      <c r="J420" s="119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4"/>
    </row>
    <row r="421" ht="14.25" customHeight="1">
      <c r="F421" s="119"/>
      <c r="G421" s="119"/>
      <c r="H421" s="120"/>
      <c r="I421" s="119"/>
      <c r="J421" s="119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4"/>
    </row>
    <row r="422" ht="14.25" customHeight="1">
      <c r="F422" s="119"/>
      <c r="G422" s="119"/>
      <c r="H422" s="120"/>
      <c r="I422" s="119"/>
      <c r="J422" s="119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4"/>
    </row>
    <row r="423" ht="14.25" customHeight="1">
      <c r="F423" s="119"/>
      <c r="G423" s="119"/>
      <c r="H423" s="120"/>
      <c r="I423" s="119"/>
      <c r="J423" s="119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4"/>
    </row>
    <row r="424" ht="14.25" customHeight="1">
      <c r="F424" s="119"/>
      <c r="G424" s="119"/>
      <c r="H424" s="120"/>
      <c r="I424" s="119"/>
      <c r="J424" s="119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4"/>
    </row>
    <row r="425" ht="14.25" customHeight="1">
      <c r="F425" s="119"/>
      <c r="G425" s="119"/>
      <c r="H425" s="120"/>
      <c r="I425" s="119"/>
      <c r="J425" s="119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4"/>
    </row>
    <row r="426" ht="14.25" customHeight="1">
      <c r="F426" s="119"/>
      <c r="G426" s="119"/>
      <c r="H426" s="120"/>
      <c r="I426" s="119"/>
      <c r="J426" s="119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4"/>
    </row>
    <row r="427" ht="14.25" customHeight="1">
      <c r="F427" s="119"/>
      <c r="G427" s="119"/>
      <c r="H427" s="120"/>
      <c r="I427" s="119"/>
      <c r="J427" s="119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4"/>
    </row>
    <row r="428" ht="14.25" customHeight="1">
      <c r="F428" s="119"/>
      <c r="G428" s="119"/>
      <c r="H428" s="120"/>
      <c r="I428" s="119"/>
      <c r="J428" s="119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4"/>
    </row>
    <row r="429" ht="14.25" customHeight="1">
      <c r="F429" s="119"/>
      <c r="G429" s="119"/>
      <c r="H429" s="120"/>
      <c r="I429" s="119"/>
      <c r="J429" s="119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4"/>
    </row>
    <row r="430" ht="14.25" customHeight="1">
      <c r="F430" s="119"/>
      <c r="G430" s="119"/>
      <c r="H430" s="120"/>
      <c r="I430" s="119"/>
      <c r="J430" s="119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4"/>
    </row>
    <row r="431" ht="14.25" customHeight="1">
      <c r="F431" s="119"/>
      <c r="G431" s="119"/>
      <c r="H431" s="120"/>
      <c r="I431" s="119"/>
      <c r="J431" s="119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4"/>
    </row>
    <row r="432" ht="14.25" customHeight="1">
      <c r="F432" s="119"/>
      <c r="G432" s="119"/>
      <c r="H432" s="120"/>
      <c r="I432" s="119"/>
      <c r="J432" s="119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4"/>
    </row>
    <row r="433" ht="14.25" customHeight="1">
      <c r="F433" s="119"/>
      <c r="G433" s="119"/>
      <c r="H433" s="120"/>
      <c r="I433" s="119"/>
      <c r="J433" s="119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4"/>
    </row>
    <row r="434" ht="14.25" customHeight="1">
      <c r="F434" s="119"/>
      <c r="G434" s="119"/>
      <c r="H434" s="120"/>
      <c r="I434" s="119"/>
      <c r="J434" s="119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4"/>
    </row>
    <row r="435" ht="14.25" customHeight="1">
      <c r="F435" s="119"/>
      <c r="G435" s="119"/>
      <c r="H435" s="120"/>
      <c r="I435" s="119"/>
      <c r="J435" s="119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4"/>
    </row>
    <row r="436" ht="14.25" customHeight="1">
      <c r="F436" s="119"/>
      <c r="G436" s="119"/>
      <c r="H436" s="120"/>
      <c r="I436" s="119"/>
      <c r="J436" s="119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4"/>
    </row>
    <row r="437" ht="14.25" customHeight="1">
      <c r="F437" s="119"/>
      <c r="G437" s="119"/>
      <c r="H437" s="120"/>
      <c r="I437" s="119"/>
      <c r="J437" s="119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4"/>
    </row>
    <row r="438" ht="14.25" customHeight="1">
      <c r="F438" s="119"/>
      <c r="G438" s="119"/>
      <c r="H438" s="120"/>
      <c r="I438" s="119"/>
      <c r="J438" s="119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4"/>
    </row>
    <row r="439" ht="14.25" customHeight="1">
      <c r="F439" s="119"/>
      <c r="G439" s="119"/>
      <c r="H439" s="120"/>
      <c r="I439" s="119"/>
      <c r="J439" s="119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4"/>
    </row>
    <row r="440" ht="14.25" customHeight="1">
      <c r="F440" s="119"/>
      <c r="G440" s="119"/>
      <c r="H440" s="120"/>
      <c r="I440" s="119"/>
      <c r="J440" s="119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4"/>
    </row>
    <row r="441" ht="14.25" customHeight="1">
      <c r="F441" s="119"/>
      <c r="G441" s="119"/>
      <c r="H441" s="120"/>
      <c r="I441" s="119"/>
      <c r="J441" s="119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4"/>
    </row>
    <row r="442" ht="14.25" customHeight="1">
      <c r="F442" s="119"/>
      <c r="G442" s="119"/>
      <c r="H442" s="120"/>
      <c r="I442" s="119"/>
      <c r="J442" s="119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4"/>
    </row>
    <row r="443" ht="14.25" customHeight="1">
      <c r="F443" s="119"/>
      <c r="G443" s="119"/>
      <c r="H443" s="120"/>
      <c r="I443" s="119"/>
      <c r="J443" s="119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4"/>
    </row>
    <row r="444" ht="14.25" customHeight="1">
      <c r="F444" s="119"/>
      <c r="G444" s="119"/>
      <c r="H444" s="120"/>
      <c r="I444" s="119"/>
      <c r="J444" s="119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4"/>
    </row>
    <row r="445" ht="14.25" customHeight="1">
      <c r="F445" s="119"/>
      <c r="G445" s="119"/>
      <c r="H445" s="120"/>
      <c r="I445" s="119"/>
      <c r="J445" s="119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4"/>
    </row>
    <row r="446" ht="14.25" customHeight="1">
      <c r="F446" s="119"/>
      <c r="G446" s="119"/>
      <c r="H446" s="120"/>
      <c r="I446" s="119"/>
      <c r="J446" s="119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4"/>
    </row>
    <row r="447" ht="14.25" customHeight="1">
      <c r="F447" s="119"/>
      <c r="G447" s="119"/>
      <c r="H447" s="120"/>
      <c r="I447" s="119"/>
      <c r="J447" s="119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4"/>
    </row>
    <row r="448" ht="14.25" customHeight="1">
      <c r="F448" s="119"/>
      <c r="G448" s="119"/>
      <c r="H448" s="120"/>
      <c r="I448" s="119"/>
      <c r="J448" s="119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4"/>
    </row>
    <row r="449" ht="14.25" customHeight="1">
      <c r="F449" s="119"/>
      <c r="G449" s="119"/>
      <c r="H449" s="120"/>
      <c r="I449" s="119"/>
      <c r="J449" s="119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4"/>
    </row>
    <row r="450" ht="14.25" customHeight="1">
      <c r="F450" s="119"/>
      <c r="G450" s="119"/>
      <c r="H450" s="120"/>
      <c r="I450" s="119"/>
      <c r="J450" s="119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4"/>
    </row>
    <row r="451" ht="14.25" customHeight="1">
      <c r="F451" s="119"/>
      <c r="G451" s="119"/>
      <c r="H451" s="120"/>
      <c r="I451" s="119"/>
      <c r="J451" s="119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4"/>
    </row>
    <row r="452" ht="14.25" customHeight="1">
      <c r="F452" s="119"/>
      <c r="G452" s="119"/>
      <c r="H452" s="120"/>
      <c r="I452" s="119"/>
      <c r="J452" s="119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4"/>
    </row>
    <row r="453" ht="14.25" customHeight="1">
      <c r="F453" s="119"/>
      <c r="G453" s="119"/>
      <c r="H453" s="120"/>
      <c r="I453" s="119"/>
      <c r="J453" s="119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4"/>
    </row>
    <row r="454" ht="14.25" customHeight="1">
      <c r="F454" s="119"/>
      <c r="G454" s="119"/>
      <c r="H454" s="120"/>
      <c r="I454" s="119"/>
      <c r="J454" s="119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4"/>
    </row>
    <row r="455" ht="14.25" customHeight="1">
      <c r="F455" s="119"/>
      <c r="G455" s="119"/>
      <c r="H455" s="120"/>
      <c r="I455" s="119"/>
      <c r="J455" s="119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4"/>
    </row>
    <row r="456" ht="14.25" customHeight="1">
      <c r="F456" s="119"/>
      <c r="G456" s="119"/>
      <c r="H456" s="120"/>
      <c r="I456" s="119"/>
      <c r="J456" s="119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4"/>
    </row>
    <row r="457" ht="14.25" customHeight="1">
      <c r="F457" s="119"/>
      <c r="G457" s="119"/>
      <c r="H457" s="120"/>
      <c r="I457" s="119"/>
      <c r="J457" s="119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4"/>
    </row>
    <row r="458" ht="14.25" customHeight="1">
      <c r="F458" s="119"/>
      <c r="G458" s="119"/>
      <c r="H458" s="120"/>
      <c r="I458" s="119"/>
      <c r="J458" s="119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4"/>
    </row>
    <row r="459" ht="14.25" customHeight="1">
      <c r="F459" s="119"/>
      <c r="G459" s="119"/>
      <c r="H459" s="120"/>
      <c r="I459" s="119"/>
      <c r="J459" s="119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4"/>
    </row>
    <row r="460" ht="14.25" customHeight="1">
      <c r="F460" s="119"/>
      <c r="G460" s="119"/>
      <c r="H460" s="120"/>
      <c r="I460" s="119"/>
      <c r="J460" s="119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4"/>
    </row>
    <row r="461" ht="14.25" customHeight="1">
      <c r="F461" s="119"/>
      <c r="G461" s="119"/>
      <c r="H461" s="120"/>
      <c r="I461" s="119"/>
      <c r="J461" s="119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4"/>
    </row>
    <row r="462" ht="14.25" customHeight="1">
      <c r="F462" s="119"/>
      <c r="G462" s="119"/>
      <c r="H462" s="120"/>
      <c r="I462" s="119"/>
      <c r="J462" s="119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4"/>
    </row>
    <row r="463" ht="14.25" customHeight="1">
      <c r="F463" s="119"/>
      <c r="G463" s="119"/>
      <c r="H463" s="120"/>
      <c r="I463" s="119"/>
      <c r="J463" s="119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4"/>
    </row>
    <row r="464" ht="14.25" customHeight="1">
      <c r="F464" s="119"/>
      <c r="G464" s="119"/>
      <c r="H464" s="120"/>
      <c r="I464" s="119"/>
      <c r="J464" s="119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4"/>
    </row>
    <row r="465" ht="14.25" customHeight="1">
      <c r="F465" s="119"/>
      <c r="G465" s="119"/>
      <c r="H465" s="120"/>
      <c r="I465" s="119"/>
      <c r="J465" s="119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4"/>
    </row>
    <row r="466" ht="14.25" customHeight="1">
      <c r="F466" s="119"/>
      <c r="G466" s="119"/>
      <c r="H466" s="120"/>
      <c r="I466" s="119"/>
      <c r="J466" s="119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4"/>
    </row>
    <row r="467" ht="14.25" customHeight="1">
      <c r="F467" s="119"/>
      <c r="G467" s="119"/>
      <c r="H467" s="120"/>
      <c r="I467" s="119"/>
      <c r="J467" s="119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4"/>
    </row>
    <row r="468" ht="14.25" customHeight="1">
      <c r="F468" s="119"/>
      <c r="G468" s="119"/>
      <c r="H468" s="120"/>
      <c r="I468" s="119"/>
      <c r="J468" s="119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4"/>
    </row>
    <row r="469" ht="14.25" customHeight="1">
      <c r="F469" s="119"/>
      <c r="G469" s="119"/>
      <c r="H469" s="120"/>
      <c r="I469" s="119"/>
      <c r="J469" s="119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4"/>
    </row>
    <row r="470" ht="14.25" customHeight="1">
      <c r="F470" s="119"/>
      <c r="G470" s="119"/>
      <c r="H470" s="120"/>
      <c r="I470" s="119"/>
      <c r="J470" s="119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4"/>
    </row>
    <row r="471" ht="14.25" customHeight="1">
      <c r="F471" s="119"/>
      <c r="G471" s="119"/>
      <c r="H471" s="120"/>
      <c r="I471" s="119"/>
      <c r="J471" s="119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4"/>
    </row>
    <row r="472" ht="14.25" customHeight="1">
      <c r="F472" s="119"/>
      <c r="G472" s="119"/>
      <c r="H472" s="120"/>
      <c r="I472" s="119"/>
      <c r="J472" s="119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4"/>
    </row>
    <row r="473" ht="14.25" customHeight="1">
      <c r="F473" s="119"/>
      <c r="G473" s="119"/>
      <c r="H473" s="120"/>
      <c r="I473" s="119"/>
      <c r="J473" s="119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4"/>
    </row>
    <row r="474" ht="14.25" customHeight="1">
      <c r="F474" s="119"/>
      <c r="G474" s="119"/>
      <c r="H474" s="120"/>
      <c r="I474" s="119"/>
      <c r="J474" s="119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4"/>
    </row>
    <row r="475" ht="14.25" customHeight="1">
      <c r="F475" s="119"/>
      <c r="G475" s="119"/>
      <c r="H475" s="120"/>
      <c r="I475" s="119"/>
      <c r="J475" s="119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4"/>
    </row>
    <row r="476" ht="14.25" customHeight="1">
      <c r="F476" s="119"/>
      <c r="G476" s="119"/>
      <c r="H476" s="120"/>
      <c r="I476" s="119"/>
      <c r="J476" s="119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4"/>
    </row>
    <row r="477" ht="14.25" customHeight="1">
      <c r="F477" s="119"/>
      <c r="G477" s="119"/>
      <c r="H477" s="120"/>
      <c r="I477" s="119"/>
      <c r="J477" s="119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4"/>
    </row>
    <row r="478" ht="14.25" customHeight="1">
      <c r="F478" s="119"/>
      <c r="G478" s="119"/>
      <c r="H478" s="120"/>
      <c r="I478" s="119"/>
      <c r="J478" s="119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4"/>
    </row>
    <row r="479" ht="14.25" customHeight="1">
      <c r="F479" s="119"/>
      <c r="G479" s="119"/>
      <c r="H479" s="120"/>
      <c r="I479" s="119"/>
      <c r="J479" s="119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4"/>
    </row>
    <row r="480" ht="14.25" customHeight="1">
      <c r="F480" s="119"/>
      <c r="G480" s="119"/>
      <c r="H480" s="120"/>
      <c r="I480" s="119"/>
      <c r="J480" s="119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4"/>
    </row>
    <row r="481" ht="14.25" customHeight="1">
      <c r="F481" s="119"/>
      <c r="G481" s="119"/>
      <c r="H481" s="120"/>
      <c r="I481" s="119"/>
      <c r="J481" s="119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4"/>
    </row>
    <row r="482" ht="14.25" customHeight="1">
      <c r="F482" s="119"/>
      <c r="G482" s="119"/>
      <c r="H482" s="120"/>
      <c r="I482" s="119"/>
      <c r="J482" s="119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4"/>
    </row>
    <row r="483" ht="14.25" customHeight="1">
      <c r="F483" s="119"/>
      <c r="G483" s="119"/>
      <c r="H483" s="120"/>
      <c r="I483" s="119"/>
      <c r="J483" s="119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4"/>
    </row>
    <row r="484" ht="14.25" customHeight="1">
      <c r="F484" s="119"/>
      <c r="G484" s="119"/>
      <c r="H484" s="120"/>
      <c r="I484" s="119"/>
      <c r="J484" s="119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4"/>
    </row>
    <row r="485" ht="14.25" customHeight="1">
      <c r="F485" s="119"/>
      <c r="G485" s="119"/>
      <c r="H485" s="120"/>
      <c r="I485" s="119"/>
      <c r="J485" s="119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4"/>
    </row>
    <row r="486" ht="14.25" customHeight="1">
      <c r="F486" s="119"/>
      <c r="G486" s="119"/>
      <c r="H486" s="120"/>
      <c r="I486" s="119"/>
      <c r="J486" s="119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4"/>
    </row>
    <row r="487" ht="14.25" customHeight="1">
      <c r="F487" s="119"/>
      <c r="G487" s="119"/>
      <c r="H487" s="120"/>
      <c r="I487" s="119"/>
      <c r="J487" s="119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4"/>
    </row>
    <row r="488" ht="14.25" customHeight="1">
      <c r="F488" s="119"/>
      <c r="G488" s="119"/>
      <c r="H488" s="120"/>
      <c r="I488" s="119"/>
      <c r="J488" s="119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4"/>
    </row>
    <row r="489" ht="14.25" customHeight="1">
      <c r="F489" s="119"/>
      <c r="G489" s="119"/>
      <c r="H489" s="120"/>
      <c r="I489" s="119"/>
      <c r="J489" s="119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4"/>
    </row>
    <row r="490" ht="14.25" customHeight="1">
      <c r="F490" s="119"/>
      <c r="G490" s="119"/>
      <c r="H490" s="120"/>
      <c r="I490" s="119"/>
      <c r="J490" s="119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4"/>
    </row>
    <row r="491" ht="14.25" customHeight="1">
      <c r="F491" s="119"/>
      <c r="G491" s="119"/>
      <c r="H491" s="120"/>
      <c r="I491" s="119"/>
      <c r="J491" s="119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4"/>
    </row>
    <row r="492" ht="14.25" customHeight="1">
      <c r="F492" s="119"/>
      <c r="G492" s="119"/>
      <c r="H492" s="120"/>
      <c r="I492" s="119"/>
      <c r="J492" s="119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4"/>
    </row>
    <row r="493" ht="14.25" customHeight="1">
      <c r="F493" s="119"/>
      <c r="G493" s="119"/>
      <c r="H493" s="120"/>
      <c r="I493" s="119"/>
      <c r="J493" s="119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4"/>
    </row>
    <row r="494" ht="14.25" customHeight="1">
      <c r="F494" s="119"/>
      <c r="G494" s="119"/>
      <c r="H494" s="120"/>
      <c r="I494" s="119"/>
      <c r="J494" s="119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4"/>
    </row>
    <row r="495" ht="14.25" customHeight="1">
      <c r="F495" s="119"/>
      <c r="G495" s="119"/>
      <c r="H495" s="120"/>
      <c r="I495" s="119"/>
      <c r="J495" s="119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4"/>
    </row>
    <row r="496" ht="14.25" customHeight="1">
      <c r="F496" s="119"/>
      <c r="G496" s="119"/>
      <c r="H496" s="120"/>
      <c r="I496" s="119"/>
      <c r="J496" s="119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4"/>
    </row>
    <row r="497" ht="14.25" customHeight="1">
      <c r="F497" s="119"/>
      <c r="G497" s="119"/>
      <c r="H497" s="120"/>
      <c r="I497" s="119"/>
      <c r="J497" s="119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4"/>
    </row>
    <row r="498" ht="14.25" customHeight="1">
      <c r="F498" s="119"/>
      <c r="G498" s="119"/>
      <c r="H498" s="120"/>
      <c r="I498" s="119"/>
      <c r="J498" s="119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4"/>
    </row>
    <row r="499" ht="14.25" customHeight="1">
      <c r="F499" s="119"/>
      <c r="G499" s="119"/>
      <c r="H499" s="120"/>
      <c r="I499" s="119"/>
      <c r="J499" s="119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4"/>
    </row>
    <row r="500" ht="14.25" customHeight="1">
      <c r="F500" s="119"/>
      <c r="G500" s="119"/>
      <c r="H500" s="120"/>
      <c r="I500" s="119"/>
      <c r="J500" s="119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4"/>
    </row>
    <row r="501" ht="14.25" customHeight="1">
      <c r="F501" s="119"/>
      <c r="G501" s="119"/>
      <c r="H501" s="120"/>
      <c r="I501" s="119"/>
      <c r="J501" s="119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4"/>
    </row>
    <row r="502" ht="14.25" customHeight="1">
      <c r="F502" s="119"/>
      <c r="G502" s="119"/>
      <c r="H502" s="120"/>
      <c r="I502" s="119"/>
      <c r="J502" s="119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4"/>
    </row>
    <row r="503" ht="14.25" customHeight="1">
      <c r="F503" s="119"/>
      <c r="G503" s="119"/>
      <c r="H503" s="120"/>
      <c r="I503" s="119"/>
      <c r="J503" s="119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4"/>
    </row>
    <row r="504" ht="14.25" customHeight="1">
      <c r="F504" s="119"/>
      <c r="G504" s="119"/>
      <c r="H504" s="120"/>
      <c r="I504" s="119"/>
      <c r="J504" s="119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4"/>
    </row>
    <row r="505" ht="14.25" customHeight="1">
      <c r="F505" s="119"/>
      <c r="G505" s="119"/>
      <c r="H505" s="120"/>
      <c r="I505" s="119"/>
      <c r="J505" s="119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4"/>
    </row>
    <row r="506" ht="14.25" customHeight="1">
      <c r="F506" s="119"/>
      <c r="G506" s="119"/>
      <c r="H506" s="120"/>
      <c r="I506" s="119"/>
      <c r="J506" s="119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4"/>
    </row>
    <row r="507" ht="14.25" customHeight="1">
      <c r="F507" s="119"/>
      <c r="G507" s="119"/>
      <c r="H507" s="120"/>
      <c r="I507" s="119"/>
      <c r="J507" s="119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4"/>
    </row>
    <row r="508" ht="14.25" customHeight="1">
      <c r="F508" s="119"/>
      <c r="G508" s="119"/>
      <c r="H508" s="120"/>
      <c r="I508" s="119"/>
      <c r="J508" s="119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4"/>
    </row>
    <row r="509" ht="14.25" customHeight="1">
      <c r="F509" s="119"/>
      <c r="G509" s="119"/>
      <c r="H509" s="120"/>
      <c r="I509" s="119"/>
      <c r="J509" s="119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4"/>
    </row>
    <row r="510" ht="14.25" customHeight="1">
      <c r="F510" s="119"/>
      <c r="G510" s="119"/>
      <c r="H510" s="120"/>
      <c r="I510" s="119"/>
      <c r="J510" s="119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4"/>
    </row>
    <row r="511" ht="14.25" customHeight="1">
      <c r="F511" s="119"/>
      <c r="G511" s="119"/>
      <c r="H511" s="120"/>
      <c r="I511" s="119"/>
      <c r="J511" s="119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4"/>
    </row>
    <row r="512" ht="14.25" customHeight="1">
      <c r="F512" s="119"/>
      <c r="G512" s="119"/>
      <c r="H512" s="120"/>
      <c r="I512" s="119"/>
      <c r="J512" s="119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4"/>
    </row>
    <row r="513" ht="14.25" customHeight="1">
      <c r="F513" s="119"/>
      <c r="G513" s="119"/>
      <c r="H513" s="120"/>
      <c r="I513" s="119"/>
      <c r="J513" s="119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4"/>
    </row>
    <row r="514" ht="14.25" customHeight="1">
      <c r="F514" s="119"/>
      <c r="G514" s="119"/>
      <c r="H514" s="120"/>
      <c r="I514" s="119"/>
      <c r="J514" s="119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4"/>
    </row>
    <row r="515" ht="14.25" customHeight="1">
      <c r="F515" s="119"/>
      <c r="G515" s="119"/>
      <c r="H515" s="120"/>
      <c r="I515" s="119"/>
      <c r="J515" s="119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4"/>
    </row>
    <row r="516" ht="14.25" customHeight="1">
      <c r="F516" s="119"/>
      <c r="G516" s="119"/>
      <c r="H516" s="120"/>
      <c r="I516" s="119"/>
      <c r="J516" s="119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4"/>
    </row>
    <row r="517" ht="14.25" customHeight="1">
      <c r="F517" s="119"/>
      <c r="G517" s="119"/>
      <c r="H517" s="120"/>
      <c r="I517" s="119"/>
      <c r="J517" s="119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4"/>
    </row>
    <row r="518" ht="14.25" customHeight="1">
      <c r="F518" s="119"/>
      <c r="G518" s="119"/>
      <c r="H518" s="120"/>
      <c r="I518" s="119"/>
      <c r="J518" s="119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4"/>
    </row>
    <row r="519" ht="14.25" customHeight="1">
      <c r="F519" s="119"/>
      <c r="G519" s="119"/>
      <c r="H519" s="120"/>
      <c r="I519" s="119"/>
      <c r="J519" s="119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4"/>
    </row>
    <row r="520" ht="14.25" customHeight="1">
      <c r="F520" s="119"/>
      <c r="G520" s="119"/>
      <c r="H520" s="120"/>
      <c r="I520" s="119"/>
      <c r="J520" s="119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4"/>
    </row>
    <row r="521" ht="14.25" customHeight="1">
      <c r="F521" s="119"/>
      <c r="G521" s="119"/>
      <c r="H521" s="120"/>
      <c r="I521" s="119"/>
      <c r="J521" s="119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4"/>
    </row>
    <row r="522" ht="14.25" customHeight="1">
      <c r="F522" s="119"/>
      <c r="G522" s="119"/>
      <c r="H522" s="120"/>
      <c r="I522" s="119"/>
      <c r="J522" s="119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4"/>
    </row>
    <row r="523" ht="14.25" customHeight="1">
      <c r="F523" s="119"/>
      <c r="G523" s="119"/>
      <c r="H523" s="120"/>
      <c r="I523" s="119"/>
      <c r="J523" s="119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4"/>
    </row>
    <row r="524" ht="14.25" customHeight="1">
      <c r="F524" s="119"/>
      <c r="G524" s="119"/>
      <c r="H524" s="120"/>
      <c r="I524" s="119"/>
      <c r="J524" s="119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4"/>
    </row>
    <row r="525" ht="14.25" customHeight="1">
      <c r="F525" s="119"/>
      <c r="G525" s="119"/>
      <c r="H525" s="120"/>
      <c r="I525" s="119"/>
      <c r="J525" s="119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4"/>
    </row>
    <row r="526" ht="14.25" customHeight="1">
      <c r="F526" s="119"/>
      <c r="G526" s="119"/>
      <c r="H526" s="120"/>
      <c r="I526" s="119"/>
      <c r="J526" s="119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4"/>
    </row>
    <row r="527" ht="14.25" customHeight="1">
      <c r="F527" s="119"/>
      <c r="G527" s="119"/>
      <c r="H527" s="120"/>
      <c r="I527" s="119"/>
      <c r="J527" s="119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4"/>
    </row>
    <row r="528" ht="14.25" customHeight="1">
      <c r="F528" s="119"/>
      <c r="G528" s="119"/>
      <c r="H528" s="120"/>
      <c r="I528" s="119"/>
      <c r="J528" s="119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4"/>
    </row>
    <row r="529" ht="14.25" customHeight="1">
      <c r="F529" s="119"/>
      <c r="G529" s="119"/>
      <c r="H529" s="120"/>
      <c r="I529" s="119"/>
      <c r="J529" s="119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4"/>
    </row>
    <row r="530" ht="14.25" customHeight="1">
      <c r="F530" s="119"/>
      <c r="G530" s="119"/>
      <c r="H530" s="120"/>
      <c r="I530" s="119"/>
      <c r="J530" s="119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4"/>
    </row>
    <row r="531" ht="14.25" customHeight="1">
      <c r="F531" s="119"/>
      <c r="G531" s="119"/>
      <c r="H531" s="120"/>
      <c r="I531" s="119"/>
      <c r="J531" s="119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4"/>
    </row>
    <row r="532" ht="14.25" customHeight="1">
      <c r="F532" s="119"/>
      <c r="G532" s="119"/>
      <c r="H532" s="120"/>
      <c r="I532" s="119"/>
      <c r="J532" s="119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4"/>
    </row>
    <row r="533" ht="14.25" customHeight="1">
      <c r="F533" s="119"/>
      <c r="G533" s="119"/>
      <c r="H533" s="120"/>
      <c r="I533" s="119"/>
      <c r="J533" s="119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4"/>
    </row>
    <row r="534" ht="14.25" customHeight="1">
      <c r="F534" s="119"/>
      <c r="G534" s="119"/>
      <c r="H534" s="120"/>
      <c r="I534" s="119"/>
      <c r="J534" s="119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4"/>
    </row>
    <row r="535" ht="14.25" customHeight="1">
      <c r="F535" s="119"/>
      <c r="G535" s="119"/>
      <c r="H535" s="120"/>
      <c r="I535" s="119"/>
      <c r="J535" s="119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4"/>
    </row>
    <row r="536" ht="14.25" customHeight="1">
      <c r="F536" s="119"/>
      <c r="G536" s="119"/>
      <c r="H536" s="120"/>
      <c r="I536" s="119"/>
      <c r="J536" s="119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4"/>
    </row>
    <row r="537" ht="14.25" customHeight="1">
      <c r="F537" s="119"/>
      <c r="G537" s="119"/>
      <c r="H537" s="120"/>
      <c r="I537" s="119"/>
      <c r="J537" s="119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4"/>
    </row>
    <row r="538" ht="14.25" customHeight="1">
      <c r="F538" s="119"/>
      <c r="G538" s="119"/>
      <c r="H538" s="120"/>
      <c r="I538" s="119"/>
      <c r="J538" s="119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4"/>
    </row>
    <row r="539" ht="14.25" customHeight="1">
      <c r="F539" s="119"/>
      <c r="G539" s="119"/>
      <c r="H539" s="120"/>
      <c r="I539" s="119"/>
      <c r="J539" s="119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4"/>
    </row>
    <row r="540" ht="14.25" customHeight="1">
      <c r="F540" s="119"/>
      <c r="G540" s="119"/>
      <c r="H540" s="120"/>
      <c r="I540" s="119"/>
      <c r="J540" s="119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4"/>
    </row>
    <row r="541" ht="14.25" customHeight="1">
      <c r="F541" s="119"/>
      <c r="G541" s="119"/>
      <c r="H541" s="120"/>
      <c r="I541" s="119"/>
      <c r="J541" s="119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4"/>
    </row>
    <row r="542" ht="14.25" customHeight="1">
      <c r="F542" s="119"/>
      <c r="G542" s="119"/>
      <c r="H542" s="120"/>
      <c r="I542" s="119"/>
      <c r="J542" s="119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4"/>
    </row>
    <row r="543" ht="14.25" customHeight="1">
      <c r="F543" s="119"/>
      <c r="G543" s="119"/>
      <c r="H543" s="120"/>
      <c r="I543" s="119"/>
      <c r="J543" s="119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4"/>
    </row>
    <row r="544" ht="14.25" customHeight="1">
      <c r="F544" s="119"/>
      <c r="G544" s="119"/>
      <c r="H544" s="120"/>
      <c r="I544" s="119"/>
      <c r="J544" s="119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4"/>
    </row>
    <row r="545" ht="14.25" customHeight="1">
      <c r="F545" s="119"/>
      <c r="G545" s="119"/>
      <c r="H545" s="120"/>
      <c r="I545" s="119"/>
      <c r="J545" s="119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4"/>
    </row>
    <row r="546" ht="14.25" customHeight="1">
      <c r="F546" s="119"/>
      <c r="G546" s="119"/>
      <c r="H546" s="120"/>
      <c r="I546" s="119"/>
      <c r="J546" s="119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4"/>
    </row>
    <row r="547" ht="14.25" customHeight="1">
      <c r="F547" s="119"/>
      <c r="G547" s="119"/>
      <c r="H547" s="120"/>
      <c r="I547" s="119"/>
      <c r="J547" s="119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4"/>
    </row>
    <row r="548" ht="14.25" customHeight="1">
      <c r="F548" s="119"/>
      <c r="G548" s="119"/>
      <c r="H548" s="120"/>
      <c r="I548" s="119"/>
      <c r="J548" s="119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4"/>
    </row>
    <row r="549" ht="14.25" customHeight="1">
      <c r="F549" s="119"/>
      <c r="G549" s="119"/>
      <c r="H549" s="120"/>
      <c r="I549" s="119"/>
      <c r="J549" s="119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4"/>
    </row>
    <row r="550" ht="14.25" customHeight="1">
      <c r="F550" s="119"/>
      <c r="G550" s="119"/>
      <c r="H550" s="120"/>
      <c r="I550" s="119"/>
      <c r="J550" s="119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4"/>
    </row>
    <row r="551" ht="14.25" customHeight="1">
      <c r="F551" s="119"/>
      <c r="G551" s="119"/>
      <c r="H551" s="120"/>
      <c r="I551" s="119"/>
      <c r="J551" s="119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4"/>
    </row>
    <row r="552" ht="14.25" customHeight="1">
      <c r="F552" s="119"/>
      <c r="G552" s="119"/>
      <c r="H552" s="120"/>
      <c r="I552" s="119"/>
      <c r="J552" s="119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4"/>
    </row>
    <row r="553" ht="14.25" customHeight="1">
      <c r="F553" s="119"/>
      <c r="G553" s="119"/>
      <c r="H553" s="120"/>
      <c r="I553" s="119"/>
      <c r="J553" s="119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4"/>
    </row>
    <row r="554" ht="14.25" customHeight="1">
      <c r="F554" s="119"/>
      <c r="G554" s="119"/>
      <c r="H554" s="120"/>
      <c r="I554" s="119"/>
      <c r="J554" s="119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4"/>
    </row>
    <row r="555" ht="14.25" customHeight="1">
      <c r="F555" s="119"/>
      <c r="G555" s="119"/>
      <c r="H555" s="120"/>
      <c r="I555" s="119"/>
      <c r="J555" s="119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4"/>
    </row>
    <row r="556" ht="14.25" customHeight="1">
      <c r="F556" s="119"/>
      <c r="G556" s="119"/>
      <c r="H556" s="120"/>
      <c r="I556" s="119"/>
      <c r="J556" s="119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4"/>
    </row>
    <row r="557" ht="14.25" customHeight="1">
      <c r="F557" s="119"/>
      <c r="G557" s="119"/>
      <c r="H557" s="120"/>
      <c r="I557" s="119"/>
      <c r="J557" s="119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4"/>
    </row>
    <row r="558" ht="14.25" customHeight="1">
      <c r="F558" s="119"/>
      <c r="G558" s="119"/>
      <c r="H558" s="120"/>
      <c r="I558" s="119"/>
      <c r="J558" s="119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4"/>
    </row>
    <row r="559" ht="14.25" customHeight="1">
      <c r="F559" s="119"/>
      <c r="G559" s="119"/>
      <c r="H559" s="120"/>
      <c r="I559" s="119"/>
      <c r="J559" s="119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4"/>
    </row>
    <row r="560" ht="14.25" customHeight="1">
      <c r="F560" s="119"/>
      <c r="G560" s="119"/>
      <c r="H560" s="120"/>
      <c r="I560" s="119"/>
      <c r="J560" s="119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4"/>
    </row>
    <row r="561" ht="14.25" customHeight="1">
      <c r="F561" s="119"/>
      <c r="G561" s="119"/>
      <c r="H561" s="120"/>
      <c r="I561" s="119"/>
      <c r="J561" s="119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4"/>
    </row>
    <row r="562" ht="14.25" customHeight="1">
      <c r="F562" s="119"/>
      <c r="G562" s="119"/>
      <c r="H562" s="120"/>
      <c r="I562" s="119"/>
      <c r="J562" s="119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4"/>
    </row>
    <row r="563" ht="14.25" customHeight="1">
      <c r="F563" s="119"/>
      <c r="G563" s="119"/>
      <c r="H563" s="120"/>
      <c r="I563" s="119"/>
      <c r="J563" s="119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4"/>
    </row>
    <row r="564" ht="14.25" customHeight="1">
      <c r="F564" s="119"/>
      <c r="G564" s="119"/>
      <c r="H564" s="120"/>
      <c r="I564" s="119"/>
      <c r="J564" s="119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4"/>
    </row>
    <row r="565" ht="14.25" customHeight="1">
      <c r="F565" s="119"/>
      <c r="G565" s="119"/>
      <c r="H565" s="120"/>
      <c r="I565" s="119"/>
      <c r="J565" s="119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4"/>
    </row>
    <row r="566" ht="14.25" customHeight="1">
      <c r="F566" s="119"/>
      <c r="G566" s="119"/>
      <c r="H566" s="120"/>
      <c r="I566" s="119"/>
      <c r="J566" s="119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4"/>
    </row>
    <row r="567" ht="14.25" customHeight="1">
      <c r="F567" s="119"/>
      <c r="G567" s="119"/>
      <c r="H567" s="120"/>
      <c r="I567" s="119"/>
      <c r="J567" s="119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4"/>
    </row>
    <row r="568" ht="14.25" customHeight="1">
      <c r="F568" s="119"/>
      <c r="G568" s="119"/>
      <c r="H568" s="120"/>
      <c r="I568" s="119"/>
      <c r="J568" s="119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4"/>
    </row>
    <row r="569" ht="14.25" customHeight="1">
      <c r="F569" s="119"/>
      <c r="G569" s="119"/>
      <c r="H569" s="120"/>
      <c r="I569" s="119"/>
      <c r="J569" s="119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4"/>
    </row>
    <row r="570" ht="14.25" customHeight="1">
      <c r="F570" s="119"/>
      <c r="G570" s="119"/>
      <c r="H570" s="120"/>
      <c r="I570" s="119"/>
      <c r="J570" s="119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4"/>
    </row>
    <row r="571" ht="14.25" customHeight="1">
      <c r="F571" s="119"/>
      <c r="G571" s="119"/>
      <c r="H571" s="120"/>
      <c r="I571" s="119"/>
      <c r="J571" s="119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4"/>
    </row>
    <row r="572" ht="14.25" customHeight="1">
      <c r="F572" s="119"/>
      <c r="G572" s="119"/>
      <c r="H572" s="120"/>
      <c r="I572" s="119"/>
      <c r="J572" s="119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4"/>
    </row>
    <row r="573" ht="14.25" customHeight="1">
      <c r="F573" s="119"/>
      <c r="G573" s="119"/>
      <c r="H573" s="120"/>
      <c r="I573" s="119"/>
      <c r="J573" s="119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4"/>
    </row>
    <row r="574" ht="14.25" customHeight="1">
      <c r="F574" s="119"/>
      <c r="G574" s="119"/>
      <c r="H574" s="120"/>
      <c r="I574" s="119"/>
      <c r="J574" s="119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4"/>
    </row>
    <row r="575" ht="14.25" customHeight="1">
      <c r="F575" s="119"/>
      <c r="G575" s="119"/>
      <c r="H575" s="120"/>
      <c r="I575" s="119"/>
      <c r="J575" s="119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4"/>
    </row>
    <row r="576" ht="14.25" customHeight="1">
      <c r="F576" s="119"/>
      <c r="G576" s="119"/>
      <c r="H576" s="120"/>
      <c r="I576" s="119"/>
      <c r="J576" s="119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4"/>
    </row>
    <row r="577" ht="14.25" customHeight="1">
      <c r="F577" s="119"/>
      <c r="G577" s="119"/>
      <c r="H577" s="120"/>
      <c r="I577" s="119"/>
      <c r="J577" s="119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4"/>
    </row>
    <row r="578" ht="14.25" customHeight="1">
      <c r="F578" s="119"/>
      <c r="G578" s="119"/>
      <c r="H578" s="120"/>
      <c r="I578" s="119"/>
      <c r="J578" s="119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4"/>
    </row>
    <row r="579" ht="14.25" customHeight="1">
      <c r="F579" s="119"/>
      <c r="G579" s="119"/>
      <c r="H579" s="120"/>
      <c r="I579" s="119"/>
      <c r="J579" s="119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4"/>
    </row>
    <row r="580" ht="14.25" customHeight="1">
      <c r="F580" s="119"/>
      <c r="G580" s="119"/>
      <c r="H580" s="120"/>
      <c r="I580" s="119"/>
      <c r="J580" s="119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4"/>
    </row>
    <row r="581" ht="14.25" customHeight="1">
      <c r="F581" s="119"/>
      <c r="G581" s="119"/>
      <c r="H581" s="120"/>
      <c r="I581" s="119"/>
      <c r="J581" s="119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4"/>
    </row>
    <row r="582" ht="14.25" customHeight="1">
      <c r="F582" s="119"/>
      <c r="G582" s="119"/>
      <c r="H582" s="120"/>
      <c r="I582" s="119"/>
      <c r="J582" s="119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4"/>
    </row>
    <row r="583" ht="14.25" customHeight="1">
      <c r="F583" s="119"/>
      <c r="G583" s="119"/>
      <c r="H583" s="120"/>
      <c r="I583" s="119"/>
      <c r="J583" s="119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4"/>
    </row>
    <row r="584" ht="14.25" customHeight="1">
      <c r="F584" s="119"/>
      <c r="G584" s="119"/>
      <c r="H584" s="120"/>
      <c r="I584" s="119"/>
      <c r="J584" s="119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4"/>
    </row>
    <row r="585" ht="14.25" customHeight="1">
      <c r="F585" s="119"/>
      <c r="G585" s="119"/>
      <c r="H585" s="120"/>
      <c r="I585" s="119"/>
      <c r="J585" s="119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4"/>
    </row>
    <row r="586" ht="14.25" customHeight="1">
      <c r="F586" s="119"/>
      <c r="G586" s="119"/>
      <c r="H586" s="120"/>
      <c r="I586" s="119"/>
      <c r="J586" s="119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4"/>
    </row>
    <row r="587" ht="14.25" customHeight="1">
      <c r="F587" s="119"/>
      <c r="G587" s="119"/>
      <c r="H587" s="120"/>
      <c r="I587" s="119"/>
      <c r="J587" s="119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4"/>
    </row>
    <row r="588" ht="14.25" customHeight="1">
      <c r="F588" s="119"/>
      <c r="G588" s="119"/>
      <c r="H588" s="120"/>
      <c r="I588" s="119"/>
      <c r="J588" s="119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4"/>
    </row>
    <row r="589" ht="14.25" customHeight="1">
      <c r="F589" s="119"/>
      <c r="G589" s="119"/>
      <c r="H589" s="120"/>
      <c r="I589" s="119"/>
      <c r="J589" s="119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4"/>
    </row>
    <row r="590" ht="14.25" customHeight="1">
      <c r="F590" s="119"/>
      <c r="G590" s="119"/>
      <c r="H590" s="120"/>
      <c r="I590" s="119"/>
      <c r="J590" s="119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4"/>
    </row>
    <row r="591" ht="14.25" customHeight="1">
      <c r="F591" s="119"/>
      <c r="G591" s="119"/>
      <c r="H591" s="120"/>
      <c r="I591" s="119"/>
      <c r="J591" s="119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4"/>
    </row>
    <row r="592" ht="14.25" customHeight="1">
      <c r="F592" s="119"/>
      <c r="G592" s="119"/>
      <c r="H592" s="120"/>
      <c r="I592" s="119"/>
      <c r="J592" s="119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4"/>
    </row>
    <row r="593" ht="14.25" customHeight="1">
      <c r="F593" s="119"/>
      <c r="G593" s="119"/>
      <c r="H593" s="120"/>
      <c r="I593" s="119"/>
      <c r="J593" s="119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4"/>
    </row>
    <row r="594" ht="14.25" customHeight="1">
      <c r="F594" s="119"/>
      <c r="G594" s="119"/>
      <c r="H594" s="120"/>
      <c r="I594" s="119"/>
      <c r="J594" s="119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4"/>
    </row>
    <row r="595" ht="14.25" customHeight="1">
      <c r="F595" s="119"/>
      <c r="G595" s="119"/>
      <c r="H595" s="120"/>
      <c r="I595" s="119"/>
      <c r="J595" s="119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4"/>
    </row>
    <row r="596" ht="14.25" customHeight="1">
      <c r="F596" s="119"/>
      <c r="G596" s="119"/>
      <c r="H596" s="120"/>
      <c r="I596" s="119"/>
      <c r="J596" s="119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4"/>
    </row>
    <row r="597" ht="14.25" customHeight="1">
      <c r="F597" s="119"/>
      <c r="G597" s="119"/>
      <c r="H597" s="120"/>
      <c r="I597" s="119"/>
      <c r="J597" s="119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4"/>
    </row>
    <row r="598" ht="14.25" customHeight="1">
      <c r="F598" s="119"/>
      <c r="G598" s="119"/>
      <c r="H598" s="120"/>
      <c r="I598" s="119"/>
      <c r="J598" s="119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4"/>
    </row>
    <row r="599" ht="14.25" customHeight="1">
      <c r="F599" s="119"/>
      <c r="G599" s="119"/>
      <c r="H599" s="120"/>
      <c r="I599" s="119"/>
      <c r="J599" s="119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4"/>
    </row>
    <row r="600" ht="14.25" customHeight="1">
      <c r="F600" s="119"/>
      <c r="G600" s="119"/>
      <c r="H600" s="120"/>
      <c r="I600" s="119"/>
      <c r="J600" s="119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4"/>
    </row>
    <row r="601" ht="14.25" customHeight="1">
      <c r="F601" s="119"/>
      <c r="G601" s="119"/>
      <c r="H601" s="120"/>
      <c r="I601" s="119"/>
      <c r="J601" s="119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4"/>
    </row>
    <row r="602" ht="14.25" customHeight="1">
      <c r="F602" s="119"/>
      <c r="G602" s="119"/>
      <c r="H602" s="120"/>
      <c r="I602" s="119"/>
      <c r="J602" s="119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4"/>
    </row>
    <row r="603" ht="14.25" customHeight="1">
      <c r="F603" s="119"/>
      <c r="G603" s="119"/>
      <c r="H603" s="120"/>
      <c r="I603" s="119"/>
      <c r="J603" s="119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4"/>
    </row>
    <row r="604" ht="14.25" customHeight="1">
      <c r="F604" s="119"/>
      <c r="G604" s="119"/>
      <c r="H604" s="120"/>
      <c r="I604" s="119"/>
      <c r="J604" s="119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4"/>
    </row>
    <row r="605" ht="14.25" customHeight="1">
      <c r="F605" s="119"/>
      <c r="G605" s="119"/>
      <c r="H605" s="120"/>
      <c r="I605" s="119"/>
      <c r="J605" s="119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4"/>
    </row>
    <row r="606" ht="14.25" customHeight="1">
      <c r="F606" s="119"/>
      <c r="G606" s="119"/>
      <c r="H606" s="120"/>
      <c r="I606" s="119"/>
      <c r="J606" s="119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4"/>
    </row>
    <row r="607" ht="14.25" customHeight="1">
      <c r="F607" s="119"/>
      <c r="G607" s="119"/>
      <c r="H607" s="120"/>
      <c r="I607" s="119"/>
      <c r="J607" s="119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4"/>
    </row>
    <row r="608" ht="14.25" customHeight="1">
      <c r="F608" s="119"/>
      <c r="G608" s="119"/>
      <c r="H608" s="120"/>
      <c r="I608" s="119"/>
      <c r="J608" s="119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4"/>
    </row>
    <row r="609" ht="14.25" customHeight="1">
      <c r="F609" s="119"/>
      <c r="G609" s="119"/>
      <c r="H609" s="120"/>
      <c r="I609" s="119"/>
      <c r="J609" s="119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4"/>
    </row>
    <row r="610" ht="14.25" customHeight="1">
      <c r="F610" s="119"/>
      <c r="G610" s="119"/>
      <c r="H610" s="120"/>
      <c r="I610" s="119"/>
      <c r="J610" s="119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4"/>
    </row>
    <row r="611" ht="14.25" customHeight="1">
      <c r="F611" s="119"/>
      <c r="G611" s="119"/>
      <c r="H611" s="120"/>
      <c r="I611" s="119"/>
      <c r="J611" s="119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4"/>
    </row>
    <row r="612" ht="14.25" customHeight="1">
      <c r="F612" s="119"/>
      <c r="G612" s="119"/>
      <c r="H612" s="120"/>
      <c r="I612" s="119"/>
      <c r="J612" s="119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4"/>
    </row>
    <row r="613" ht="14.25" customHeight="1">
      <c r="F613" s="119"/>
      <c r="G613" s="119"/>
      <c r="H613" s="120"/>
      <c r="I613" s="119"/>
      <c r="J613" s="119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4"/>
    </row>
    <row r="614" ht="14.25" customHeight="1">
      <c r="F614" s="119"/>
      <c r="G614" s="119"/>
      <c r="H614" s="120"/>
      <c r="I614" s="119"/>
      <c r="J614" s="119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4"/>
    </row>
    <row r="615" ht="14.25" customHeight="1">
      <c r="F615" s="119"/>
      <c r="G615" s="119"/>
      <c r="H615" s="120"/>
      <c r="I615" s="119"/>
      <c r="J615" s="119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4"/>
    </row>
    <row r="616" ht="14.25" customHeight="1">
      <c r="F616" s="119"/>
      <c r="G616" s="119"/>
      <c r="H616" s="120"/>
      <c r="I616" s="119"/>
      <c r="J616" s="119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4"/>
    </row>
    <row r="617" ht="14.25" customHeight="1">
      <c r="F617" s="119"/>
      <c r="G617" s="119"/>
      <c r="H617" s="120"/>
      <c r="I617" s="119"/>
      <c r="J617" s="119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4"/>
    </row>
    <row r="618" ht="14.25" customHeight="1">
      <c r="F618" s="119"/>
      <c r="G618" s="119"/>
      <c r="H618" s="120"/>
      <c r="I618" s="119"/>
      <c r="J618" s="119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4"/>
    </row>
    <row r="619" ht="14.25" customHeight="1">
      <c r="F619" s="119"/>
      <c r="G619" s="119"/>
      <c r="H619" s="120"/>
      <c r="I619" s="119"/>
      <c r="J619" s="119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4"/>
    </row>
    <row r="620" ht="14.25" customHeight="1">
      <c r="F620" s="119"/>
      <c r="G620" s="119"/>
      <c r="H620" s="120"/>
      <c r="I620" s="119"/>
      <c r="J620" s="119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4"/>
    </row>
    <row r="621" ht="14.25" customHeight="1">
      <c r="F621" s="119"/>
      <c r="G621" s="119"/>
      <c r="H621" s="120"/>
      <c r="I621" s="119"/>
      <c r="J621" s="119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4"/>
    </row>
    <row r="622" ht="14.25" customHeight="1">
      <c r="F622" s="119"/>
      <c r="G622" s="119"/>
      <c r="H622" s="120"/>
      <c r="I622" s="119"/>
      <c r="J622" s="119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4"/>
    </row>
    <row r="623" ht="14.25" customHeight="1">
      <c r="F623" s="119"/>
      <c r="G623" s="119"/>
      <c r="H623" s="120"/>
      <c r="I623" s="119"/>
      <c r="J623" s="119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4"/>
    </row>
    <row r="624" ht="14.25" customHeight="1">
      <c r="F624" s="119"/>
      <c r="G624" s="119"/>
      <c r="H624" s="120"/>
      <c r="I624" s="119"/>
      <c r="J624" s="119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4"/>
    </row>
    <row r="625" ht="14.25" customHeight="1">
      <c r="F625" s="119"/>
      <c r="G625" s="119"/>
      <c r="H625" s="120"/>
      <c r="I625" s="119"/>
      <c r="J625" s="119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4"/>
    </row>
    <row r="626" ht="14.25" customHeight="1">
      <c r="F626" s="119"/>
      <c r="G626" s="119"/>
      <c r="H626" s="120"/>
      <c r="I626" s="119"/>
      <c r="J626" s="119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4"/>
    </row>
    <row r="627" ht="14.25" customHeight="1">
      <c r="F627" s="119"/>
      <c r="G627" s="119"/>
      <c r="H627" s="120"/>
      <c r="I627" s="119"/>
      <c r="J627" s="119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4"/>
    </row>
    <row r="628" ht="14.25" customHeight="1">
      <c r="F628" s="119"/>
      <c r="G628" s="119"/>
      <c r="H628" s="120"/>
      <c r="I628" s="119"/>
      <c r="J628" s="119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4"/>
    </row>
    <row r="629" ht="14.25" customHeight="1">
      <c r="F629" s="119"/>
      <c r="G629" s="119"/>
      <c r="H629" s="120"/>
      <c r="I629" s="119"/>
      <c r="J629" s="119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4"/>
    </row>
    <row r="630" ht="14.25" customHeight="1">
      <c r="F630" s="119"/>
      <c r="G630" s="119"/>
      <c r="H630" s="120"/>
      <c r="I630" s="119"/>
      <c r="J630" s="119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4"/>
    </row>
    <row r="631" ht="14.25" customHeight="1">
      <c r="F631" s="119"/>
      <c r="G631" s="119"/>
      <c r="H631" s="120"/>
      <c r="I631" s="119"/>
      <c r="J631" s="119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4"/>
    </row>
    <row r="632" ht="14.25" customHeight="1">
      <c r="F632" s="119"/>
      <c r="G632" s="119"/>
      <c r="H632" s="120"/>
      <c r="I632" s="119"/>
      <c r="J632" s="119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4"/>
    </row>
    <row r="633" ht="14.25" customHeight="1">
      <c r="F633" s="119"/>
      <c r="G633" s="119"/>
      <c r="H633" s="120"/>
      <c r="I633" s="119"/>
      <c r="J633" s="119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4"/>
    </row>
    <row r="634" ht="14.25" customHeight="1">
      <c r="F634" s="119"/>
      <c r="G634" s="119"/>
      <c r="H634" s="120"/>
      <c r="I634" s="119"/>
      <c r="J634" s="119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4"/>
    </row>
    <row r="635" ht="14.25" customHeight="1">
      <c r="F635" s="119"/>
      <c r="G635" s="119"/>
      <c r="H635" s="120"/>
      <c r="I635" s="119"/>
      <c r="J635" s="119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4"/>
    </row>
    <row r="636" ht="14.25" customHeight="1">
      <c r="F636" s="119"/>
      <c r="G636" s="119"/>
      <c r="H636" s="120"/>
      <c r="I636" s="119"/>
      <c r="J636" s="119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4"/>
    </row>
    <row r="637" ht="14.25" customHeight="1">
      <c r="F637" s="119"/>
      <c r="G637" s="119"/>
      <c r="H637" s="120"/>
      <c r="I637" s="119"/>
      <c r="J637" s="119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4"/>
    </row>
    <row r="638" ht="14.25" customHeight="1">
      <c r="F638" s="119"/>
      <c r="G638" s="119"/>
      <c r="H638" s="120"/>
      <c r="I638" s="119"/>
      <c r="J638" s="119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4"/>
    </row>
    <row r="639" ht="14.25" customHeight="1">
      <c r="F639" s="119"/>
      <c r="G639" s="119"/>
      <c r="H639" s="120"/>
      <c r="I639" s="119"/>
      <c r="J639" s="119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4"/>
    </row>
    <row r="640" ht="14.25" customHeight="1">
      <c r="F640" s="119"/>
      <c r="G640" s="119"/>
      <c r="H640" s="120"/>
      <c r="I640" s="119"/>
      <c r="J640" s="119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4"/>
    </row>
    <row r="641" ht="14.25" customHeight="1">
      <c r="F641" s="119"/>
      <c r="G641" s="119"/>
      <c r="H641" s="120"/>
      <c r="I641" s="119"/>
      <c r="J641" s="119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4"/>
    </row>
    <row r="642" ht="14.25" customHeight="1">
      <c r="F642" s="119"/>
      <c r="G642" s="119"/>
      <c r="H642" s="120"/>
      <c r="I642" s="119"/>
      <c r="J642" s="119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4"/>
    </row>
    <row r="643" ht="14.25" customHeight="1">
      <c r="F643" s="119"/>
      <c r="G643" s="119"/>
      <c r="H643" s="120"/>
      <c r="I643" s="119"/>
      <c r="J643" s="119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4"/>
    </row>
    <row r="644" ht="14.25" customHeight="1">
      <c r="F644" s="119"/>
      <c r="G644" s="119"/>
      <c r="H644" s="120"/>
      <c r="I644" s="119"/>
      <c r="J644" s="119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4"/>
    </row>
    <row r="645" ht="14.25" customHeight="1">
      <c r="F645" s="119"/>
      <c r="G645" s="119"/>
      <c r="H645" s="120"/>
      <c r="I645" s="119"/>
      <c r="J645" s="119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4"/>
    </row>
    <row r="646" ht="14.25" customHeight="1">
      <c r="F646" s="119"/>
      <c r="G646" s="119"/>
      <c r="H646" s="120"/>
      <c r="I646" s="119"/>
      <c r="J646" s="119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4"/>
    </row>
    <row r="647" ht="14.25" customHeight="1">
      <c r="F647" s="119"/>
      <c r="G647" s="119"/>
      <c r="H647" s="120"/>
      <c r="I647" s="119"/>
      <c r="J647" s="119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4"/>
    </row>
    <row r="648" ht="14.25" customHeight="1">
      <c r="F648" s="119"/>
      <c r="G648" s="119"/>
      <c r="H648" s="120"/>
      <c r="I648" s="119"/>
      <c r="J648" s="119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4"/>
    </row>
    <row r="649" ht="14.25" customHeight="1">
      <c r="F649" s="119"/>
      <c r="G649" s="119"/>
      <c r="H649" s="120"/>
      <c r="I649" s="119"/>
      <c r="J649" s="119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4"/>
    </row>
    <row r="650" ht="14.25" customHeight="1">
      <c r="F650" s="119"/>
      <c r="G650" s="119"/>
      <c r="H650" s="120"/>
      <c r="I650" s="119"/>
      <c r="J650" s="119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4"/>
    </row>
    <row r="651" ht="14.25" customHeight="1">
      <c r="F651" s="119"/>
      <c r="G651" s="119"/>
      <c r="H651" s="120"/>
      <c r="I651" s="119"/>
      <c r="J651" s="119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4"/>
    </row>
    <row r="652" ht="14.25" customHeight="1">
      <c r="F652" s="119"/>
      <c r="G652" s="119"/>
      <c r="H652" s="120"/>
      <c r="I652" s="119"/>
      <c r="J652" s="119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4"/>
    </row>
    <row r="653" ht="14.25" customHeight="1">
      <c r="F653" s="119"/>
      <c r="G653" s="119"/>
      <c r="H653" s="120"/>
      <c r="I653" s="119"/>
      <c r="J653" s="119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4"/>
    </row>
    <row r="654" ht="14.25" customHeight="1">
      <c r="F654" s="119"/>
      <c r="G654" s="119"/>
      <c r="H654" s="120"/>
      <c r="I654" s="119"/>
      <c r="J654" s="119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4"/>
    </row>
    <row r="655" ht="14.25" customHeight="1">
      <c r="F655" s="119"/>
      <c r="G655" s="119"/>
      <c r="H655" s="120"/>
      <c r="I655" s="119"/>
      <c r="J655" s="119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4"/>
    </row>
    <row r="656" ht="14.25" customHeight="1">
      <c r="F656" s="119"/>
      <c r="G656" s="119"/>
      <c r="H656" s="120"/>
      <c r="I656" s="119"/>
      <c r="J656" s="119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4"/>
    </row>
    <row r="657" ht="14.25" customHeight="1">
      <c r="F657" s="119"/>
      <c r="G657" s="119"/>
      <c r="H657" s="120"/>
      <c r="I657" s="119"/>
      <c r="J657" s="119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4"/>
    </row>
    <row r="658" ht="14.25" customHeight="1">
      <c r="F658" s="119"/>
      <c r="G658" s="119"/>
      <c r="H658" s="120"/>
      <c r="I658" s="119"/>
      <c r="J658" s="119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4"/>
    </row>
    <row r="659" ht="14.25" customHeight="1">
      <c r="F659" s="119"/>
      <c r="G659" s="119"/>
      <c r="H659" s="120"/>
      <c r="I659" s="119"/>
      <c r="J659" s="119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4"/>
    </row>
    <row r="660" ht="14.25" customHeight="1">
      <c r="F660" s="119"/>
      <c r="G660" s="119"/>
      <c r="H660" s="120"/>
      <c r="I660" s="119"/>
      <c r="J660" s="119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4"/>
    </row>
    <row r="661" ht="14.25" customHeight="1">
      <c r="F661" s="119"/>
      <c r="G661" s="119"/>
      <c r="H661" s="120"/>
      <c r="I661" s="119"/>
      <c r="J661" s="119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4"/>
    </row>
    <row r="662" ht="14.25" customHeight="1">
      <c r="F662" s="119"/>
      <c r="G662" s="119"/>
      <c r="H662" s="120"/>
      <c r="I662" s="119"/>
      <c r="J662" s="119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4"/>
    </row>
    <row r="663" ht="14.25" customHeight="1">
      <c r="F663" s="119"/>
      <c r="G663" s="119"/>
      <c r="H663" s="120"/>
      <c r="I663" s="119"/>
      <c r="J663" s="119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4"/>
    </row>
    <row r="664" ht="14.25" customHeight="1">
      <c r="F664" s="119"/>
      <c r="G664" s="119"/>
      <c r="H664" s="120"/>
      <c r="I664" s="119"/>
      <c r="J664" s="119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4"/>
    </row>
    <row r="665" ht="14.25" customHeight="1">
      <c r="F665" s="119"/>
      <c r="G665" s="119"/>
      <c r="H665" s="120"/>
      <c r="I665" s="119"/>
      <c r="J665" s="119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4"/>
    </row>
    <row r="666" ht="14.25" customHeight="1">
      <c r="F666" s="119"/>
      <c r="G666" s="119"/>
      <c r="H666" s="120"/>
      <c r="I666" s="119"/>
      <c r="J666" s="119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4"/>
    </row>
    <row r="667" ht="14.25" customHeight="1">
      <c r="F667" s="119"/>
      <c r="G667" s="119"/>
      <c r="H667" s="120"/>
      <c r="I667" s="119"/>
      <c r="J667" s="119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4"/>
    </row>
    <row r="668" ht="14.25" customHeight="1">
      <c r="F668" s="119"/>
      <c r="G668" s="119"/>
      <c r="H668" s="120"/>
      <c r="I668" s="119"/>
      <c r="J668" s="119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4"/>
    </row>
    <row r="669" ht="14.25" customHeight="1">
      <c r="F669" s="119"/>
      <c r="G669" s="119"/>
      <c r="H669" s="120"/>
      <c r="I669" s="119"/>
      <c r="J669" s="119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4"/>
    </row>
    <row r="670" ht="14.25" customHeight="1">
      <c r="F670" s="119"/>
      <c r="G670" s="119"/>
      <c r="H670" s="120"/>
      <c r="I670" s="119"/>
      <c r="J670" s="119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4"/>
    </row>
    <row r="671" ht="14.25" customHeight="1">
      <c r="F671" s="119"/>
      <c r="G671" s="119"/>
      <c r="H671" s="120"/>
      <c r="I671" s="119"/>
      <c r="J671" s="119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4"/>
    </row>
    <row r="672" ht="14.25" customHeight="1">
      <c r="F672" s="119"/>
      <c r="G672" s="119"/>
      <c r="H672" s="120"/>
      <c r="I672" s="119"/>
      <c r="J672" s="119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4"/>
    </row>
    <row r="673" ht="14.25" customHeight="1">
      <c r="F673" s="119"/>
      <c r="G673" s="119"/>
      <c r="H673" s="120"/>
      <c r="I673" s="119"/>
      <c r="J673" s="119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4"/>
    </row>
    <row r="674" ht="14.25" customHeight="1">
      <c r="F674" s="119"/>
      <c r="G674" s="119"/>
      <c r="H674" s="120"/>
      <c r="I674" s="119"/>
      <c r="J674" s="119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4"/>
    </row>
    <row r="675" ht="14.25" customHeight="1">
      <c r="F675" s="119"/>
      <c r="G675" s="119"/>
      <c r="H675" s="120"/>
      <c r="I675" s="119"/>
      <c r="J675" s="119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4"/>
    </row>
    <row r="676" ht="14.25" customHeight="1">
      <c r="F676" s="119"/>
      <c r="G676" s="119"/>
      <c r="H676" s="120"/>
      <c r="I676" s="119"/>
      <c r="J676" s="119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4"/>
    </row>
    <row r="677" ht="14.25" customHeight="1">
      <c r="F677" s="119"/>
      <c r="G677" s="119"/>
      <c r="H677" s="120"/>
      <c r="I677" s="119"/>
      <c r="J677" s="119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4"/>
    </row>
    <row r="678" ht="14.25" customHeight="1">
      <c r="F678" s="119"/>
      <c r="G678" s="119"/>
      <c r="H678" s="120"/>
      <c r="I678" s="119"/>
      <c r="J678" s="119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4"/>
    </row>
    <row r="679" ht="14.25" customHeight="1">
      <c r="F679" s="119"/>
      <c r="G679" s="119"/>
      <c r="H679" s="120"/>
      <c r="I679" s="119"/>
      <c r="J679" s="119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4"/>
    </row>
    <row r="680" ht="14.25" customHeight="1">
      <c r="F680" s="119"/>
      <c r="G680" s="119"/>
      <c r="H680" s="120"/>
      <c r="I680" s="119"/>
      <c r="J680" s="119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4"/>
    </row>
    <row r="681" ht="14.25" customHeight="1">
      <c r="F681" s="119"/>
      <c r="G681" s="119"/>
      <c r="H681" s="120"/>
      <c r="I681" s="119"/>
      <c r="J681" s="119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4"/>
    </row>
    <row r="682" ht="14.25" customHeight="1">
      <c r="F682" s="119"/>
      <c r="G682" s="119"/>
      <c r="H682" s="120"/>
      <c r="I682" s="119"/>
      <c r="J682" s="119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4"/>
    </row>
    <row r="683" ht="14.25" customHeight="1">
      <c r="F683" s="119"/>
      <c r="G683" s="119"/>
      <c r="H683" s="120"/>
      <c r="I683" s="119"/>
      <c r="J683" s="119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4"/>
    </row>
    <row r="684" ht="14.25" customHeight="1">
      <c r="F684" s="119"/>
      <c r="G684" s="119"/>
      <c r="H684" s="120"/>
      <c r="I684" s="119"/>
      <c r="J684" s="119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4"/>
    </row>
    <row r="685" ht="14.25" customHeight="1">
      <c r="F685" s="119"/>
      <c r="G685" s="119"/>
      <c r="H685" s="120"/>
      <c r="I685" s="119"/>
      <c r="J685" s="119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4"/>
    </row>
    <row r="686" ht="14.25" customHeight="1">
      <c r="F686" s="119"/>
      <c r="G686" s="119"/>
      <c r="H686" s="120"/>
      <c r="I686" s="119"/>
      <c r="J686" s="119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4"/>
    </row>
    <row r="687" ht="14.25" customHeight="1">
      <c r="F687" s="119"/>
      <c r="G687" s="119"/>
      <c r="H687" s="120"/>
      <c r="I687" s="119"/>
      <c r="J687" s="119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4"/>
    </row>
    <row r="688" ht="14.25" customHeight="1">
      <c r="F688" s="119"/>
      <c r="G688" s="119"/>
      <c r="H688" s="120"/>
      <c r="I688" s="119"/>
      <c r="J688" s="119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4"/>
    </row>
    <row r="689" ht="14.25" customHeight="1">
      <c r="F689" s="119"/>
      <c r="G689" s="119"/>
      <c r="H689" s="120"/>
      <c r="I689" s="119"/>
      <c r="J689" s="119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4"/>
    </row>
    <row r="690" ht="14.25" customHeight="1">
      <c r="F690" s="119"/>
      <c r="G690" s="119"/>
      <c r="H690" s="120"/>
      <c r="I690" s="119"/>
      <c r="J690" s="119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4"/>
    </row>
    <row r="691" ht="14.25" customHeight="1">
      <c r="F691" s="119"/>
      <c r="G691" s="119"/>
      <c r="H691" s="120"/>
      <c r="I691" s="119"/>
      <c r="J691" s="119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4"/>
    </row>
    <row r="692" ht="14.25" customHeight="1">
      <c r="F692" s="119"/>
      <c r="G692" s="119"/>
      <c r="H692" s="120"/>
      <c r="I692" s="119"/>
      <c r="J692" s="119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4"/>
    </row>
    <row r="693" ht="14.25" customHeight="1">
      <c r="F693" s="119"/>
      <c r="G693" s="119"/>
      <c r="H693" s="120"/>
      <c r="I693" s="119"/>
      <c r="J693" s="119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4"/>
    </row>
    <row r="694" ht="14.25" customHeight="1">
      <c r="F694" s="119"/>
      <c r="G694" s="119"/>
      <c r="H694" s="120"/>
      <c r="I694" s="119"/>
      <c r="J694" s="119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4"/>
    </row>
    <row r="695" ht="14.25" customHeight="1">
      <c r="F695" s="119"/>
      <c r="G695" s="119"/>
      <c r="H695" s="120"/>
      <c r="I695" s="119"/>
      <c r="J695" s="119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4"/>
    </row>
    <row r="696" ht="14.25" customHeight="1">
      <c r="F696" s="119"/>
      <c r="G696" s="119"/>
      <c r="H696" s="120"/>
      <c r="I696" s="119"/>
      <c r="J696" s="119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4"/>
    </row>
    <row r="697" ht="14.25" customHeight="1">
      <c r="F697" s="119"/>
      <c r="G697" s="119"/>
      <c r="H697" s="120"/>
      <c r="I697" s="119"/>
      <c r="J697" s="119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4"/>
    </row>
    <row r="698" ht="14.25" customHeight="1">
      <c r="F698" s="119"/>
      <c r="G698" s="119"/>
      <c r="H698" s="120"/>
      <c r="I698" s="119"/>
      <c r="J698" s="119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4"/>
    </row>
    <row r="699" ht="14.25" customHeight="1">
      <c r="F699" s="119"/>
      <c r="G699" s="119"/>
      <c r="H699" s="120"/>
      <c r="I699" s="119"/>
      <c r="J699" s="119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4"/>
    </row>
    <row r="700" ht="14.25" customHeight="1">
      <c r="F700" s="119"/>
      <c r="G700" s="119"/>
      <c r="H700" s="120"/>
      <c r="I700" s="119"/>
      <c r="J700" s="119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4"/>
    </row>
    <row r="701" ht="14.25" customHeight="1">
      <c r="F701" s="119"/>
      <c r="G701" s="119"/>
      <c r="H701" s="120"/>
      <c r="I701" s="119"/>
      <c r="J701" s="119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4"/>
    </row>
    <row r="702" ht="14.25" customHeight="1">
      <c r="F702" s="119"/>
      <c r="G702" s="119"/>
      <c r="H702" s="120"/>
      <c r="I702" s="119"/>
      <c r="J702" s="119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4"/>
    </row>
    <row r="703" ht="14.25" customHeight="1">
      <c r="F703" s="119"/>
      <c r="G703" s="119"/>
      <c r="H703" s="120"/>
      <c r="I703" s="119"/>
      <c r="J703" s="119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4"/>
    </row>
    <row r="704" ht="14.25" customHeight="1">
      <c r="F704" s="119"/>
      <c r="G704" s="119"/>
      <c r="H704" s="120"/>
      <c r="I704" s="119"/>
      <c r="J704" s="119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4"/>
    </row>
    <row r="705" ht="14.25" customHeight="1">
      <c r="F705" s="119"/>
      <c r="G705" s="119"/>
      <c r="H705" s="120"/>
      <c r="I705" s="119"/>
      <c r="J705" s="119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4"/>
    </row>
    <row r="706" ht="14.25" customHeight="1">
      <c r="F706" s="119"/>
      <c r="G706" s="119"/>
      <c r="H706" s="120"/>
      <c r="I706" s="119"/>
      <c r="J706" s="119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4"/>
    </row>
    <row r="707" ht="14.25" customHeight="1">
      <c r="F707" s="119"/>
      <c r="G707" s="119"/>
      <c r="H707" s="120"/>
      <c r="I707" s="119"/>
      <c r="J707" s="119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4"/>
    </row>
    <row r="708" ht="14.25" customHeight="1">
      <c r="F708" s="119"/>
      <c r="G708" s="119"/>
      <c r="H708" s="120"/>
      <c r="I708" s="119"/>
      <c r="J708" s="119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4"/>
    </row>
    <row r="709" ht="14.25" customHeight="1">
      <c r="F709" s="119"/>
      <c r="G709" s="119"/>
      <c r="H709" s="120"/>
      <c r="I709" s="119"/>
      <c r="J709" s="119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4"/>
    </row>
    <row r="710" ht="14.25" customHeight="1">
      <c r="F710" s="119"/>
      <c r="G710" s="119"/>
      <c r="H710" s="120"/>
      <c r="I710" s="119"/>
      <c r="J710" s="119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4"/>
    </row>
    <row r="711" ht="14.25" customHeight="1">
      <c r="F711" s="119"/>
      <c r="G711" s="119"/>
      <c r="H711" s="120"/>
      <c r="I711" s="119"/>
      <c r="J711" s="119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4"/>
    </row>
    <row r="712" ht="14.25" customHeight="1">
      <c r="F712" s="119"/>
      <c r="G712" s="119"/>
      <c r="H712" s="120"/>
      <c r="I712" s="119"/>
      <c r="J712" s="119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4"/>
    </row>
    <row r="713" ht="14.25" customHeight="1">
      <c r="F713" s="119"/>
      <c r="G713" s="119"/>
      <c r="H713" s="120"/>
      <c r="I713" s="119"/>
      <c r="J713" s="119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4"/>
    </row>
    <row r="714" ht="14.25" customHeight="1">
      <c r="F714" s="119"/>
      <c r="G714" s="119"/>
      <c r="H714" s="120"/>
      <c r="I714" s="119"/>
      <c r="J714" s="119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4"/>
    </row>
    <row r="715" ht="14.25" customHeight="1">
      <c r="F715" s="119"/>
      <c r="G715" s="119"/>
      <c r="H715" s="120"/>
      <c r="I715" s="119"/>
      <c r="J715" s="119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4"/>
    </row>
    <row r="716" ht="14.25" customHeight="1">
      <c r="F716" s="119"/>
      <c r="G716" s="119"/>
      <c r="H716" s="120"/>
      <c r="I716" s="119"/>
      <c r="J716" s="119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4"/>
    </row>
    <row r="717" ht="14.25" customHeight="1">
      <c r="F717" s="119"/>
      <c r="G717" s="119"/>
      <c r="H717" s="120"/>
      <c r="I717" s="119"/>
      <c r="J717" s="119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4"/>
    </row>
    <row r="718" ht="14.25" customHeight="1">
      <c r="F718" s="119"/>
      <c r="G718" s="119"/>
      <c r="H718" s="120"/>
      <c r="I718" s="119"/>
      <c r="J718" s="119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4"/>
    </row>
    <row r="719" ht="14.25" customHeight="1">
      <c r="F719" s="119"/>
      <c r="G719" s="119"/>
      <c r="H719" s="120"/>
      <c r="I719" s="119"/>
      <c r="J719" s="119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4"/>
    </row>
    <row r="720" ht="14.25" customHeight="1">
      <c r="F720" s="119"/>
      <c r="G720" s="119"/>
      <c r="H720" s="120"/>
      <c r="I720" s="119"/>
      <c r="J720" s="119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4"/>
    </row>
    <row r="721" ht="14.25" customHeight="1">
      <c r="F721" s="119"/>
      <c r="G721" s="119"/>
      <c r="H721" s="120"/>
      <c r="I721" s="119"/>
      <c r="J721" s="119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4"/>
    </row>
    <row r="722" ht="14.25" customHeight="1">
      <c r="F722" s="119"/>
      <c r="G722" s="119"/>
      <c r="H722" s="120"/>
      <c r="I722" s="119"/>
      <c r="J722" s="119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4"/>
    </row>
    <row r="723" ht="14.25" customHeight="1">
      <c r="F723" s="119"/>
      <c r="G723" s="119"/>
      <c r="H723" s="120"/>
      <c r="I723" s="119"/>
      <c r="J723" s="119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4"/>
    </row>
    <row r="724" ht="14.25" customHeight="1">
      <c r="F724" s="119"/>
      <c r="G724" s="119"/>
      <c r="H724" s="120"/>
      <c r="I724" s="119"/>
      <c r="J724" s="119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4"/>
    </row>
    <row r="725" ht="14.25" customHeight="1">
      <c r="F725" s="119"/>
      <c r="G725" s="119"/>
      <c r="H725" s="120"/>
      <c r="I725" s="119"/>
      <c r="J725" s="119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4"/>
    </row>
    <row r="726" ht="14.25" customHeight="1">
      <c r="F726" s="119"/>
      <c r="G726" s="119"/>
      <c r="H726" s="120"/>
      <c r="I726" s="119"/>
      <c r="J726" s="119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4"/>
    </row>
    <row r="727" ht="14.25" customHeight="1">
      <c r="F727" s="119"/>
      <c r="G727" s="119"/>
      <c r="H727" s="120"/>
      <c r="I727" s="119"/>
      <c r="J727" s="119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4"/>
    </row>
    <row r="728" ht="14.25" customHeight="1">
      <c r="F728" s="119"/>
      <c r="G728" s="119"/>
      <c r="H728" s="120"/>
      <c r="I728" s="119"/>
      <c r="J728" s="119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4"/>
    </row>
    <row r="729" ht="14.25" customHeight="1">
      <c r="F729" s="119"/>
      <c r="G729" s="119"/>
      <c r="H729" s="120"/>
      <c r="I729" s="119"/>
      <c r="J729" s="119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4"/>
    </row>
    <row r="730" ht="14.25" customHeight="1">
      <c r="F730" s="119"/>
      <c r="G730" s="119"/>
      <c r="H730" s="120"/>
      <c r="I730" s="119"/>
      <c r="J730" s="119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4"/>
    </row>
    <row r="731" ht="14.25" customHeight="1">
      <c r="F731" s="119"/>
      <c r="G731" s="119"/>
      <c r="H731" s="120"/>
      <c r="I731" s="119"/>
      <c r="J731" s="119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4"/>
    </row>
    <row r="732" ht="14.25" customHeight="1">
      <c r="F732" s="119"/>
      <c r="G732" s="119"/>
      <c r="H732" s="120"/>
      <c r="I732" s="119"/>
      <c r="J732" s="119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4"/>
    </row>
    <row r="733" ht="14.25" customHeight="1">
      <c r="F733" s="119"/>
      <c r="G733" s="119"/>
      <c r="H733" s="120"/>
      <c r="I733" s="119"/>
      <c r="J733" s="119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4"/>
    </row>
    <row r="734" ht="14.25" customHeight="1">
      <c r="F734" s="119"/>
      <c r="G734" s="119"/>
      <c r="H734" s="120"/>
      <c r="I734" s="119"/>
      <c r="J734" s="119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4"/>
    </row>
    <row r="735" ht="14.25" customHeight="1">
      <c r="F735" s="119"/>
      <c r="G735" s="119"/>
      <c r="H735" s="120"/>
      <c r="I735" s="119"/>
      <c r="J735" s="119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4"/>
    </row>
    <row r="736" ht="14.25" customHeight="1">
      <c r="F736" s="119"/>
      <c r="G736" s="119"/>
      <c r="H736" s="120"/>
      <c r="I736" s="119"/>
      <c r="J736" s="119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4"/>
    </row>
    <row r="737" ht="14.25" customHeight="1">
      <c r="F737" s="119"/>
      <c r="G737" s="119"/>
      <c r="H737" s="120"/>
      <c r="I737" s="119"/>
      <c r="J737" s="119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4"/>
    </row>
    <row r="738" ht="14.25" customHeight="1">
      <c r="F738" s="119"/>
      <c r="G738" s="119"/>
      <c r="H738" s="120"/>
      <c r="I738" s="119"/>
      <c r="J738" s="119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4"/>
    </row>
    <row r="739" ht="14.25" customHeight="1">
      <c r="F739" s="119"/>
      <c r="G739" s="119"/>
      <c r="H739" s="120"/>
      <c r="I739" s="119"/>
      <c r="J739" s="119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4"/>
    </row>
    <row r="740" ht="14.25" customHeight="1">
      <c r="F740" s="119"/>
      <c r="G740" s="119"/>
      <c r="H740" s="120"/>
      <c r="I740" s="119"/>
      <c r="J740" s="119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4"/>
    </row>
    <row r="741" ht="14.25" customHeight="1">
      <c r="F741" s="119"/>
      <c r="G741" s="119"/>
      <c r="H741" s="120"/>
      <c r="I741" s="119"/>
      <c r="J741" s="119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4"/>
    </row>
    <row r="742" ht="14.25" customHeight="1">
      <c r="F742" s="119"/>
      <c r="G742" s="119"/>
      <c r="H742" s="120"/>
      <c r="I742" s="119"/>
      <c r="J742" s="119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4"/>
    </row>
    <row r="743" ht="14.25" customHeight="1">
      <c r="F743" s="119"/>
      <c r="G743" s="119"/>
      <c r="H743" s="120"/>
      <c r="I743" s="119"/>
      <c r="J743" s="119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4"/>
    </row>
    <row r="744" ht="14.25" customHeight="1">
      <c r="F744" s="119"/>
      <c r="G744" s="119"/>
      <c r="H744" s="120"/>
      <c r="I744" s="119"/>
      <c r="J744" s="119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4"/>
    </row>
    <row r="745" ht="14.25" customHeight="1">
      <c r="F745" s="119"/>
      <c r="G745" s="119"/>
      <c r="H745" s="120"/>
      <c r="I745" s="119"/>
      <c r="J745" s="119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4"/>
    </row>
    <row r="746" ht="14.25" customHeight="1">
      <c r="F746" s="119"/>
      <c r="G746" s="119"/>
      <c r="H746" s="120"/>
      <c r="I746" s="119"/>
      <c r="J746" s="119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4"/>
    </row>
    <row r="747" ht="14.25" customHeight="1">
      <c r="F747" s="119"/>
      <c r="G747" s="119"/>
      <c r="H747" s="120"/>
      <c r="I747" s="119"/>
      <c r="J747" s="119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4"/>
    </row>
    <row r="748" ht="14.25" customHeight="1">
      <c r="F748" s="119"/>
      <c r="G748" s="119"/>
      <c r="H748" s="120"/>
      <c r="I748" s="119"/>
      <c r="J748" s="119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4"/>
    </row>
    <row r="749" ht="14.25" customHeight="1">
      <c r="F749" s="119"/>
      <c r="G749" s="119"/>
      <c r="H749" s="120"/>
      <c r="I749" s="119"/>
      <c r="J749" s="119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4"/>
    </row>
    <row r="750" ht="14.25" customHeight="1">
      <c r="F750" s="119"/>
      <c r="G750" s="119"/>
      <c r="H750" s="120"/>
      <c r="I750" s="119"/>
      <c r="J750" s="119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4"/>
    </row>
    <row r="751" ht="14.25" customHeight="1">
      <c r="F751" s="119"/>
      <c r="G751" s="119"/>
      <c r="H751" s="120"/>
      <c r="I751" s="119"/>
      <c r="J751" s="119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4"/>
    </row>
    <row r="752" ht="14.25" customHeight="1">
      <c r="F752" s="119"/>
      <c r="G752" s="119"/>
      <c r="H752" s="120"/>
      <c r="I752" s="119"/>
      <c r="J752" s="119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4"/>
    </row>
    <row r="753" ht="14.25" customHeight="1">
      <c r="F753" s="119"/>
      <c r="G753" s="119"/>
      <c r="H753" s="120"/>
      <c r="I753" s="119"/>
      <c r="J753" s="119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4"/>
    </row>
    <row r="754" ht="14.25" customHeight="1">
      <c r="F754" s="119"/>
      <c r="G754" s="119"/>
      <c r="H754" s="120"/>
      <c r="I754" s="119"/>
      <c r="J754" s="119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4"/>
    </row>
    <row r="755" ht="14.25" customHeight="1">
      <c r="F755" s="119"/>
      <c r="G755" s="119"/>
      <c r="H755" s="120"/>
      <c r="I755" s="119"/>
      <c r="J755" s="119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4"/>
    </row>
    <row r="756" ht="14.25" customHeight="1">
      <c r="F756" s="119"/>
      <c r="G756" s="119"/>
      <c r="H756" s="120"/>
      <c r="I756" s="119"/>
      <c r="J756" s="119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4"/>
    </row>
    <row r="757" ht="14.25" customHeight="1">
      <c r="F757" s="119"/>
      <c r="G757" s="119"/>
      <c r="H757" s="120"/>
      <c r="I757" s="119"/>
      <c r="J757" s="119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4"/>
    </row>
    <row r="758" ht="14.25" customHeight="1">
      <c r="F758" s="119"/>
      <c r="G758" s="119"/>
      <c r="H758" s="120"/>
      <c r="I758" s="119"/>
      <c r="J758" s="119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4"/>
    </row>
    <row r="759" ht="14.25" customHeight="1">
      <c r="F759" s="119"/>
      <c r="G759" s="119"/>
      <c r="H759" s="120"/>
      <c r="I759" s="119"/>
      <c r="J759" s="119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4"/>
    </row>
    <row r="760" ht="14.25" customHeight="1">
      <c r="F760" s="119"/>
      <c r="G760" s="119"/>
      <c r="H760" s="120"/>
      <c r="I760" s="119"/>
      <c r="J760" s="119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4"/>
    </row>
    <row r="761" ht="14.25" customHeight="1">
      <c r="F761" s="119"/>
      <c r="G761" s="119"/>
      <c r="H761" s="120"/>
      <c r="I761" s="119"/>
      <c r="J761" s="119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4"/>
    </row>
    <row r="762" ht="14.25" customHeight="1">
      <c r="F762" s="119"/>
      <c r="G762" s="119"/>
      <c r="H762" s="120"/>
      <c r="I762" s="119"/>
      <c r="J762" s="119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4"/>
    </row>
    <row r="763" ht="14.25" customHeight="1">
      <c r="F763" s="119"/>
      <c r="G763" s="119"/>
      <c r="H763" s="120"/>
      <c r="I763" s="119"/>
      <c r="J763" s="119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4"/>
    </row>
    <row r="764" ht="14.25" customHeight="1">
      <c r="F764" s="119"/>
      <c r="G764" s="119"/>
      <c r="H764" s="120"/>
      <c r="I764" s="119"/>
      <c r="J764" s="119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4"/>
    </row>
    <row r="765" ht="14.25" customHeight="1">
      <c r="F765" s="119"/>
      <c r="G765" s="119"/>
      <c r="H765" s="120"/>
      <c r="I765" s="119"/>
      <c r="J765" s="119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4"/>
    </row>
    <row r="766" ht="14.25" customHeight="1">
      <c r="F766" s="119"/>
      <c r="G766" s="119"/>
      <c r="H766" s="120"/>
      <c r="I766" s="119"/>
      <c r="J766" s="119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4"/>
    </row>
    <row r="767" ht="14.25" customHeight="1">
      <c r="F767" s="119"/>
      <c r="G767" s="119"/>
      <c r="H767" s="120"/>
      <c r="I767" s="119"/>
      <c r="J767" s="119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4"/>
    </row>
    <row r="768" ht="14.25" customHeight="1">
      <c r="F768" s="119"/>
      <c r="G768" s="119"/>
      <c r="H768" s="120"/>
      <c r="I768" s="119"/>
      <c r="J768" s="119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4"/>
    </row>
    <row r="769" ht="14.25" customHeight="1">
      <c r="F769" s="119"/>
      <c r="G769" s="119"/>
      <c r="H769" s="120"/>
      <c r="I769" s="119"/>
      <c r="J769" s="119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4"/>
    </row>
    <row r="770" ht="14.25" customHeight="1">
      <c r="F770" s="119"/>
      <c r="G770" s="119"/>
      <c r="H770" s="120"/>
      <c r="I770" s="119"/>
      <c r="J770" s="119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4"/>
    </row>
    <row r="771" ht="14.25" customHeight="1">
      <c r="F771" s="119"/>
      <c r="G771" s="119"/>
      <c r="H771" s="120"/>
      <c r="I771" s="119"/>
      <c r="J771" s="119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4"/>
    </row>
    <row r="772" ht="14.25" customHeight="1">
      <c r="F772" s="119"/>
      <c r="G772" s="119"/>
      <c r="H772" s="120"/>
      <c r="I772" s="119"/>
      <c r="J772" s="119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4"/>
    </row>
    <row r="773" ht="14.25" customHeight="1">
      <c r="F773" s="119"/>
      <c r="G773" s="119"/>
      <c r="H773" s="120"/>
      <c r="I773" s="119"/>
      <c r="J773" s="119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4"/>
    </row>
    <row r="774" ht="14.25" customHeight="1">
      <c r="F774" s="119"/>
      <c r="G774" s="119"/>
      <c r="H774" s="120"/>
      <c r="I774" s="119"/>
      <c r="J774" s="119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4"/>
    </row>
    <row r="775" ht="14.25" customHeight="1">
      <c r="F775" s="119"/>
      <c r="G775" s="119"/>
      <c r="H775" s="120"/>
      <c r="I775" s="119"/>
      <c r="J775" s="119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4"/>
    </row>
    <row r="776" ht="14.25" customHeight="1">
      <c r="F776" s="119"/>
      <c r="G776" s="119"/>
      <c r="H776" s="120"/>
      <c r="I776" s="119"/>
      <c r="J776" s="119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4"/>
    </row>
    <row r="777" ht="14.25" customHeight="1">
      <c r="F777" s="119"/>
      <c r="G777" s="119"/>
      <c r="H777" s="120"/>
      <c r="I777" s="119"/>
      <c r="J777" s="119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4"/>
    </row>
    <row r="778" ht="14.25" customHeight="1">
      <c r="F778" s="119"/>
      <c r="G778" s="119"/>
      <c r="H778" s="120"/>
      <c r="I778" s="119"/>
      <c r="J778" s="119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4"/>
    </row>
    <row r="779" ht="14.25" customHeight="1">
      <c r="F779" s="119"/>
      <c r="G779" s="119"/>
      <c r="H779" s="120"/>
      <c r="I779" s="119"/>
      <c r="J779" s="119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4"/>
    </row>
    <row r="780" ht="14.25" customHeight="1">
      <c r="F780" s="119"/>
      <c r="G780" s="119"/>
      <c r="H780" s="120"/>
      <c r="I780" s="119"/>
      <c r="J780" s="119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4"/>
    </row>
    <row r="781" ht="14.25" customHeight="1">
      <c r="F781" s="119"/>
      <c r="G781" s="119"/>
      <c r="H781" s="120"/>
      <c r="I781" s="119"/>
      <c r="J781" s="119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4"/>
    </row>
    <row r="782" ht="14.25" customHeight="1">
      <c r="F782" s="119"/>
      <c r="G782" s="119"/>
      <c r="H782" s="120"/>
      <c r="I782" s="119"/>
      <c r="J782" s="119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4"/>
    </row>
    <row r="783" ht="14.25" customHeight="1">
      <c r="F783" s="119"/>
      <c r="G783" s="119"/>
      <c r="H783" s="120"/>
      <c r="I783" s="119"/>
      <c r="J783" s="119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4"/>
    </row>
    <row r="784" ht="14.25" customHeight="1">
      <c r="F784" s="119"/>
      <c r="G784" s="119"/>
      <c r="H784" s="120"/>
      <c r="I784" s="119"/>
      <c r="J784" s="119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4"/>
    </row>
    <row r="785" ht="14.25" customHeight="1">
      <c r="F785" s="119"/>
      <c r="G785" s="119"/>
      <c r="H785" s="120"/>
      <c r="I785" s="119"/>
      <c r="J785" s="119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4"/>
    </row>
    <row r="786" ht="14.25" customHeight="1">
      <c r="F786" s="119"/>
      <c r="G786" s="119"/>
      <c r="H786" s="120"/>
      <c r="I786" s="119"/>
      <c r="J786" s="119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4"/>
    </row>
    <row r="787" ht="14.25" customHeight="1">
      <c r="F787" s="119"/>
      <c r="G787" s="119"/>
      <c r="H787" s="120"/>
      <c r="I787" s="119"/>
      <c r="J787" s="119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4"/>
    </row>
    <row r="788" ht="14.25" customHeight="1">
      <c r="F788" s="119"/>
      <c r="G788" s="119"/>
      <c r="H788" s="120"/>
      <c r="I788" s="119"/>
      <c r="J788" s="119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4"/>
    </row>
    <row r="789" ht="14.25" customHeight="1">
      <c r="F789" s="119"/>
      <c r="G789" s="119"/>
      <c r="H789" s="120"/>
      <c r="I789" s="119"/>
      <c r="J789" s="119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4"/>
    </row>
    <row r="790" ht="14.25" customHeight="1">
      <c r="F790" s="119"/>
      <c r="G790" s="119"/>
      <c r="H790" s="120"/>
      <c r="I790" s="119"/>
      <c r="J790" s="119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4"/>
    </row>
    <row r="791" ht="14.25" customHeight="1">
      <c r="F791" s="119"/>
      <c r="G791" s="119"/>
      <c r="H791" s="120"/>
      <c r="I791" s="119"/>
      <c r="J791" s="119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4"/>
    </row>
    <row r="792" ht="14.25" customHeight="1">
      <c r="F792" s="119"/>
      <c r="G792" s="119"/>
      <c r="H792" s="120"/>
      <c r="I792" s="119"/>
      <c r="J792" s="119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4"/>
    </row>
    <row r="793" ht="14.25" customHeight="1">
      <c r="F793" s="119"/>
      <c r="G793" s="119"/>
      <c r="H793" s="120"/>
      <c r="I793" s="119"/>
      <c r="J793" s="119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4"/>
    </row>
    <row r="794" ht="14.25" customHeight="1">
      <c r="F794" s="119"/>
      <c r="G794" s="119"/>
      <c r="H794" s="120"/>
      <c r="I794" s="119"/>
      <c r="J794" s="119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4"/>
    </row>
    <row r="795" ht="14.25" customHeight="1">
      <c r="F795" s="119"/>
      <c r="G795" s="119"/>
      <c r="H795" s="120"/>
      <c r="I795" s="119"/>
      <c r="J795" s="119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4"/>
    </row>
    <row r="796" ht="14.25" customHeight="1">
      <c r="F796" s="119"/>
      <c r="G796" s="119"/>
      <c r="H796" s="120"/>
      <c r="I796" s="119"/>
      <c r="J796" s="119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4"/>
    </row>
    <row r="797" ht="14.25" customHeight="1">
      <c r="F797" s="119"/>
      <c r="G797" s="119"/>
      <c r="H797" s="120"/>
      <c r="I797" s="119"/>
      <c r="J797" s="119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4"/>
    </row>
    <row r="798" ht="14.25" customHeight="1">
      <c r="F798" s="119"/>
      <c r="G798" s="119"/>
      <c r="H798" s="120"/>
      <c r="I798" s="119"/>
      <c r="J798" s="119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4"/>
    </row>
    <row r="799" ht="14.25" customHeight="1">
      <c r="F799" s="119"/>
      <c r="G799" s="119"/>
      <c r="H799" s="120"/>
      <c r="I799" s="119"/>
      <c r="J799" s="119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4"/>
    </row>
    <row r="800" ht="14.25" customHeight="1">
      <c r="F800" s="119"/>
      <c r="G800" s="119"/>
      <c r="H800" s="120"/>
      <c r="I800" s="119"/>
      <c r="J800" s="119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4"/>
    </row>
    <row r="801" ht="14.25" customHeight="1">
      <c r="F801" s="119"/>
      <c r="G801" s="119"/>
      <c r="H801" s="120"/>
      <c r="I801" s="119"/>
      <c r="J801" s="119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4"/>
    </row>
    <row r="802" ht="14.25" customHeight="1">
      <c r="F802" s="119"/>
      <c r="G802" s="119"/>
      <c r="H802" s="120"/>
      <c r="I802" s="119"/>
      <c r="J802" s="119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4"/>
    </row>
    <row r="803" ht="14.25" customHeight="1">
      <c r="F803" s="119"/>
      <c r="G803" s="119"/>
      <c r="H803" s="120"/>
      <c r="I803" s="119"/>
      <c r="J803" s="119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4"/>
    </row>
    <row r="804" ht="14.25" customHeight="1">
      <c r="F804" s="119"/>
      <c r="G804" s="119"/>
      <c r="H804" s="120"/>
      <c r="I804" s="119"/>
      <c r="J804" s="119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4"/>
    </row>
    <row r="805" ht="14.25" customHeight="1">
      <c r="F805" s="119"/>
      <c r="G805" s="119"/>
      <c r="H805" s="120"/>
      <c r="I805" s="119"/>
      <c r="J805" s="119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4"/>
    </row>
    <row r="806" ht="14.25" customHeight="1">
      <c r="F806" s="119"/>
      <c r="G806" s="119"/>
      <c r="H806" s="120"/>
      <c r="I806" s="119"/>
      <c r="J806" s="119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4"/>
    </row>
    <row r="807" ht="14.25" customHeight="1">
      <c r="F807" s="119"/>
      <c r="G807" s="119"/>
      <c r="H807" s="120"/>
      <c r="I807" s="119"/>
      <c r="J807" s="119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4"/>
    </row>
    <row r="808" ht="14.25" customHeight="1">
      <c r="F808" s="119"/>
      <c r="G808" s="119"/>
      <c r="H808" s="120"/>
      <c r="I808" s="119"/>
      <c r="J808" s="119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4"/>
    </row>
    <row r="809" ht="14.25" customHeight="1">
      <c r="F809" s="119"/>
      <c r="G809" s="119"/>
      <c r="H809" s="120"/>
      <c r="I809" s="119"/>
      <c r="J809" s="119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4"/>
    </row>
    <row r="810" ht="14.25" customHeight="1">
      <c r="F810" s="119"/>
      <c r="G810" s="119"/>
      <c r="H810" s="120"/>
      <c r="I810" s="119"/>
      <c r="J810" s="119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4"/>
    </row>
    <row r="811" ht="14.25" customHeight="1">
      <c r="F811" s="119"/>
      <c r="G811" s="119"/>
      <c r="H811" s="120"/>
      <c r="I811" s="119"/>
      <c r="J811" s="119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4"/>
    </row>
    <row r="812" ht="14.25" customHeight="1">
      <c r="F812" s="119"/>
      <c r="G812" s="119"/>
      <c r="H812" s="120"/>
      <c r="I812" s="119"/>
      <c r="J812" s="119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4"/>
    </row>
    <row r="813" ht="14.25" customHeight="1">
      <c r="F813" s="119"/>
      <c r="G813" s="119"/>
      <c r="H813" s="120"/>
      <c r="I813" s="119"/>
      <c r="J813" s="119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4"/>
    </row>
    <row r="814" ht="14.25" customHeight="1">
      <c r="F814" s="119"/>
      <c r="G814" s="119"/>
      <c r="H814" s="120"/>
      <c r="I814" s="119"/>
      <c r="J814" s="119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4"/>
    </row>
    <row r="815" ht="14.25" customHeight="1">
      <c r="F815" s="119"/>
      <c r="G815" s="119"/>
      <c r="H815" s="120"/>
      <c r="I815" s="119"/>
      <c r="J815" s="119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4"/>
    </row>
    <row r="816" ht="14.25" customHeight="1">
      <c r="F816" s="119"/>
      <c r="G816" s="119"/>
      <c r="H816" s="120"/>
      <c r="I816" s="119"/>
      <c r="J816" s="119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4"/>
    </row>
    <row r="817" ht="14.25" customHeight="1">
      <c r="F817" s="119"/>
      <c r="G817" s="119"/>
      <c r="H817" s="120"/>
      <c r="I817" s="119"/>
      <c r="J817" s="119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4"/>
    </row>
    <row r="818" ht="14.25" customHeight="1">
      <c r="F818" s="119"/>
      <c r="G818" s="119"/>
      <c r="H818" s="120"/>
      <c r="I818" s="119"/>
      <c r="J818" s="119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4"/>
    </row>
    <row r="819" ht="14.25" customHeight="1">
      <c r="F819" s="119"/>
      <c r="G819" s="119"/>
      <c r="H819" s="120"/>
      <c r="I819" s="119"/>
      <c r="J819" s="119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4"/>
    </row>
    <row r="820" ht="14.25" customHeight="1">
      <c r="F820" s="119"/>
      <c r="G820" s="119"/>
      <c r="H820" s="120"/>
      <c r="I820" s="119"/>
      <c r="J820" s="119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4"/>
    </row>
    <row r="821" ht="14.25" customHeight="1">
      <c r="F821" s="119"/>
      <c r="G821" s="119"/>
      <c r="H821" s="120"/>
      <c r="I821" s="119"/>
      <c r="J821" s="119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4"/>
    </row>
    <row r="822" ht="14.25" customHeight="1">
      <c r="F822" s="119"/>
      <c r="G822" s="119"/>
      <c r="H822" s="120"/>
      <c r="I822" s="119"/>
      <c r="J822" s="119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4"/>
    </row>
    <row r="823" ht="14.25" customHeight="1">
      <c r="F823" s="119"/>
      <c r="G823" s="119"/>
      <c r="H823" s="120"/>
      <c r="I823" s="119"/>
      <c r="J823" s="119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4"/>
    </row>
    <row r="824" ht="14.25" customHeight="1">
      <c r="F824" s="119"/>
      <c r="G824" s="119"/>
      <c r="H824" s="120"/>
      <c r="I824" s="119"/>
      <c r="J824" s="119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4"/>
    </row>
    <row r="825" ht="14.25" customHeight="1">
      <c r="F825" s="119"/>
      <c r="G825" s="119"/>
      <c r="H825" s="120"/>
      <c r="I825" s="119"/>
      <c r="J825" s="119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4"/>
    </row>
    <row r="826" ht="14.25" customHeight="1">
      <c r="F826" s="119"/>
      <c r="G826" s="119"/>
      <c r="H826" s="120"/>
      <c r="I826" s="119"/>
      <c r="J826" s="119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4"/>
    </row>
    <row r="827" ht="14.25" customHeight="1">
      <c r="F827" s="119"/>
      <c r="G827" s="119"/>
      <c r="H827" s="120"/>
      <c r="I827" s="119"/>
      <c r="J827" s="119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4"/>
    </row>
    <row r="828" ht="14.25" customHeight="1">
      <c r="F828" s="119"/>
      <c r="G828" s="119"/>
      <c r="H828" s="120"/>
      <c r="I828" s="119"/>
      <c r="J828" s="119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4"/>
    </row>
    <row r="829" ht="14.25" customHeight="1">
      <c r="F829" s="119"/>
      <c r="G829" s="119"/>
      <c r="H829" s="120"/>
      <c r="I829" s="119"/>
      <c r="J829" s="119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4"/>
    </row>
    <row r="830" ht="14.25" customHeight="1">
      <c r="F830" s="119"/>
      <c r="G830" s="119"/>
      <c r="H830" s="120"/>
      <c r="I830" s="119"/>
      <c r="J830" s="119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4"/>
    </row>
    <row r="831" ht="14.25" customHeight="1">
      <c r="F831" s="119"/>
      <c r="G831" s="119"/>
      <c r="H831" s="120"/>
      <c r="I831" s="119"/>
      <c r="J831" s="119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4"/>
    </row>
    <row r="832" ht="14.25" customHeight="1">
      <c r="F832" s="119"/>
      <c r="G832" s="119"/>
      <c r="H832" s="120"/>
      <c r="I832" s="119"/>
      <c r="J832" s="119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4"/>
    </row>
    <row r="833" ht="14.25" customHeight="1">
      <c r="F833" s="119"/>
      <c r="G833" s="119"/>
      <c r="H833" s="120"/>
      <c r="I833" s="119"/>
      <c r="J833" s="119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4"/>
    </row>
    <row r="834" ht="14.25" customHeight="1">
      <c r="F834" s="119"/>
      <c r="G834" s="119"/>
      <c r="H834" s="120"/>
      <c r="I834" s="119"/>
      <c r="J834" s="119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4"/>
    </row>
    <row r="835" ht="14.25" customHeight="1">
      <c r="F835" s="119"/>
      <c r="G835" s="119"/>
      <c r="H835" s="120"/>
      <c r="I835" s="119"/>
      <c r="J835" s="119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4"/>
    </row>
    <row r="836" ht="14.25" customHeight="1">
      <c r="F836" s="119"/>
      <c r="G836" s="119"/>
      <c r="H836" s="120"/>
      <c r="I836" s="119"/>
      <c r="J836" s="119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4"/>
    </row>
    <row r="837" ht="14.25" customHeight="1">
      <c r="F837" s="119"/>
      <c r="G837" s="119"/>
      <c r="H837" s="120"/>
      <c r="I837" s="119"/>
      <c r="J837" s="119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4"/>
    </row>
    <row r="838" ht="14.25" customHeight="1">
      <c r="F838" s="119"/>
      <c r="G838" s="119"/>
      <c r="H838" s="120"/>
      <c r="I838" s="119"/>
      <c r="J838" s="119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4"/>
    </row>
    <row r="839" ht="14.25" customHeight="1">
      <c r="F839" s="119"/>
      <c r="G839" s="119"/>
      <c r="H839" s="120"/>
      <c r="I839" s="119"/>
      <c r="J839" s="119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4"/>
    </row>
    <row r="840" ht="14.25" customHeight="1">
      <c r="F840" s="119"/>
      <c r="G840" s="119"/>
      <c r="H840" s="120"/>
      <c r="I840" s="119"/>
      <c r="J840" s="119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4"/>
    </row>
    <row r="841" ht="14.25" customHeight="1">
      <c r="F841" s="119"/>
      <c r="G841" s="119"/>
      <c r="H841" s="120"/>
      <c r="I841" s="119"/>
      <c r="J841" s="119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4"/>
    </row>
    <row r="842" ht="14.25" customHeight="1">
      <c r="F842" s="119"/>
      <c r="G842" s="119"/>
      <c r="H842" s="120"/>
      <c r="I842" s="119"/>
      <c r="J842" s="119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4"/>
    </row>
    <row r="843" ht="14.25" customHeight="1">
      <c r="F843" s="119"/>
      <c r="G843" s="119"/>
      <c r="H843" s="120"/>
      <c r="I843" s="119"/>
      <c r="J843" s="119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4"/>
    </row>
    <row r="844" ht="14.25" customHeight="1">
      <c r="F844" s="119"/>
      <c r="G844" s="119"/>
      <c r="H844" s="120"/>
      <c r="I844" s="119"/>
      <c r="J844" s="119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4"/>
    </row>
    <row r="845" ht="14.25" customHeight="1">
      <c r="F845" s="119"/>
      <c r="G845" s="119"/>
      <c r="H845" s="120"/>
      <c r="I845" s="119"/>
      <c r="J845" s="119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4"/>
    </row>
    <row r="846" ht="14.25" customHeight="1">
      <c r="F846" s="119"/>
      <c r="G846" s="119"/>
      <c r="H846" s="120"/>
      <c r="I846" s="119"/>
      <c r="J846" s="119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4"/>
    </row>
    <row r="847" ht="14.25" customHeight="1">
      <c r="F847" s="119"/>
      <c r="G847" s="119"/>
      <c r="H847" s="120"/>
      <c r="I847" s="119"/>
      <c r="J847" s="119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4"/>
    </row>
    <row r="848" ht="14.25" customHeight="1">
      <c r="F848" s="119"/>
      <c r="G848" s="119"/>
      <c r="H848" s="120"/>
      <c r="I848" s="119"/>
      <c r="J848" s="119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4"/>
    </row>
    <row r="849" ht="14.25" customHeight="1">
      <c r="F849" s="119"/>
      <c r="G849" s="119"/>
      <c r="H849" s="120"/>
      <c r="I849" s="119"/>
      <c r="J849" s="119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4"/>
    </row>
    <row r="850" ht="14.25" customHeight="1">
      <c r="F850" s="119"/>
      <c r="G850" s="119"/>
      <c r="H850" s="120"/>
      <c r="I850" s="119"/>
      <c r="J850" s="119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4"/>
    </row>
    <row r="851" ht="14.25" customHeight="1">
      <c r="F851" s="119"/>
      <c r="G851" s="119"/>
      <c r="H851" s="120"/>
      <c r="I851" s="119"/>
      <c r="J851" s="119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4"/>
    </row>
    <row r="852" ht="14.25" customHeight="1">
      <c r="F852" s="119"/>
      <c r="G852" s="119"/>
      <c r="H852" s="120"/>
      <c r="I852" s="119"/>
      <c r="J852" s="119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4"/>
    </row>
    <row r="853" ht="14.25" customHeight="1">
      <c r="F853" s="119"/>
      <c r="G853" s="119"/>
      <c r="H853" s="120"/>
      <c r="I853" s="119"/>
      <c r="J853" s="119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4"/>
    </row>
    <row r="854" ht="14.25" customHeight="1">
      <c r="F854" s="119"/>
      <c r="G854" s="119"/>
      <c r="H854" s="120"/>
      <c r="I854" s="119"/>
      <c r="J854" s="119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4"/>
    </row>
    <row r="855" ht="14.25" customHeight="1">
      <c r="F855" s="119"/>
      <c r="G855" s="119"/>
      <c r="H855" s="120"/>
      <c r="I855" s="119"/>
      <c r="J855" s="119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4"/>
    </row>
    <row r="856" ht="14.25" customHeight="1">
      <c r="F856" s="119"/>
      <c r="G856" s="119"/>
      <c r="H856" s="120"/>
      <c r="I856" s="119"/>
      <c r="J856" s="119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4"/>
    </row>
    <row r="857" ht="14.25" customHeight="1">
      <c r="F857" s="119"/>
      <c r="G857" s="119"/>
      <c r="H857" s="120"/>
      <c r="I857" s="119"/>
      <c r="J857" s="119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4"/>
    </row>
    <row r="858" ht="14.25" customHeight="1">
      <c r="F858" s="119"/>
      <c r="G858" s="119"/>
      <c r="H858" s="120"/>
      <c r="I858" s="119"/>
      <c r="J858" s="119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4"/>
    </row>
    <row r="859" ht="14.25" customHeight="1">
      <c r="F859" s="119"/>
      <c r="G859" s="119"/>
      <c r="H859" s="120"/>
      <c r="I859" s="119"/>
      <c r="J859" s="119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4"/>
    </row>
    <row r="860" ht="14.25" customHeight="1">
      <c r="F860" s="119"/>
      <c r="G860" s="119"/>
      <c r="H860" s="120"/>
      <c r="I860" s="119"/>
      <c r="J860" s="119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4"/>
    </row>
    <row r="861" ht="14.25" customHeight="1">
      <c r="F861" s="119"/>
      <c r="G861" s="119"/>
      <c r="H861" s="120"/>
      <c r="I861" s="119"/>
      <c r="J861" s="119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4"/>
    </row>
    <row r="862" ht="14.25" customHeight="1">
      <c r="F862" s="119"/>
      <c r="G862" s="119"/>
      <c r="H862" s="120"/>
      <c r="I862" s="119"/>
      <c r="J862" s="119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4"/>
    </row>
    <row r="863" ht="14.25" customHeight="1">
      <c r="F863" s="119"/>
      <c r="G863" s="119"/>
      <c r="H863" s="120"/>
      <c r="I863" s="119"/>
      <c r="J863" s="119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4"/>
    </row>
    <row r="864" ht="14.25" customHeight="1">
      <c r="F864" s="119"/>
      <c r="G864" s="119"/>
      <c r="H864" s="120"/>
      <c r="I864" s="119"/>
      <c r="J864" s="119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4"/>
    </row>
    <row r="865" ht="14.25" customHeight="1">
      <c r="F865" s="119"/>
      <c r="G865" s="119"/>
      <c r="H865" s="120"/>
      <c r="I865" s="119"/>
      <c r="J865" s="119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4"/>
    </row>
    <row r="866" ht="14.25" customHeight="1">
      <c r="F866" s="119"/>
      <c r="G866" s="119"/>
      <c r="H866" s="120"/>
      <c r="I866" s="119"/>
      <c r="J866" s="119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4"/>
    </row>
    <row r="867" ht="14.25" customHeight="1">
      <c r="F867" s="119"/>
      <c r="G867" s="119"/>
      <c r="H867" s="120"/>
      <c r="I867" s="119"/>
      <c r="J867" s="119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4"/>
    </row>
    <row r="868" ht="14.25" customHeight="1">
      <c r="F868" s="119"/>
      <c r="G868" s="119"/>
      <c r="H868" s="120"/>
      <c r="I868" s="119"/>
      <c r="J868" s="119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4"/>
    </row>
    <row r="869" ht="14.25" customHeight="1">
      <c r="F869" s="119"/>
      <c r="G869" s="119"/>
      <c r="H869" s="120"/>
      <c r="I869" s="119"/>
      <c r="J869" s="119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4"/>
    </row>
    <row r="870" ht="14.25" customHeight="1">
      <c r="F870" s="119"/>
      <c r="G870" s="119"/>
      <c r="H870" s="120"/>
      <c r="I870" s="119"/>
      <c r="J870" s="119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4"/>
    </row>
    <row r="871" ht="14.25" customHeight="1">
      <c r="F871" s="119"/>
      <c r="G871" s="119"/>
      <c r="H871" s="120"/>
      <c r="I871" s="119"/>
      <c r="J871" s="119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4"/>
    </row>
    <row r="872" ht="14.25" customHeight="1">
      <c r="F872" s="119"/>
      <c r="G872" s="119"/>
      <c r="H872" s="120"/>
      <c r="I872" s="119"/>
      <c r="J872" s="119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4"/>
    </row>
    <row r="873" ht="14.25" customHeight="1">
      <c r="F873" s="119"/>
      <c r="G873" s="119"/>
      <c r="H873" s="120"/>
      <c r="I873" s="119"/>
      <c r="J873" s="119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4"/>
    </row>
    <row r="874" ht="14.25" customHeight="1">
      <c r="F874" s="119"/>
      <c r="G874" s="119"/>
      <c r="H874" s="120"/>
      <c r="I874" s="119"/>
      <c r="J874" s="119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4"/>
    </row>
    <row r="875" ht="14.25" customHeight="1">
      <c r="F875" s="119"/>
      <c r="G875" s="119"/>
      <c r="H875" s="120"/>
      <c r="I875" s="119"/>
      <c r="J875" s="119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4"/>
    </row>
    <row r="876" ht="14.25" customHeight="1">
      <c r="F876" s="119"/>
      <c r="G876" s="119"/>
      <c r="H876" s="120"/>
      <c r="I876" s="119"/>
      <c r="J876" s="119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4"/>
    </row>
    <row r="877" ht="14.25" customHeight="1">
      <c r="F877" s="119"/>
      <c r="G877" s="119"/>
      <c r="H877" s="120"/>
      <c r="I877" s="119"/>
      <c r="J877" s="119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4"/>
    </row>
    <row r="878" ht="14.25" customHeight="1">
      <c r="F878" s="119"/>
      <c r="G878" s="119"/>
      <c r="H878" s="120"/>
      <c r="I878" s="119"/>
      <c r="J878" s="119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4"/>
    </row>
    <row r="879" ht="14.25" customHeight="1">
      <c r="F879" s="119"/>
      <c r="G879" s="119"/>
      <c r="H879" s="120"/>
      <c r="I879" s="119"/>
      <c r="J879" s="119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4"/>
    </row>
    <row r="880" ht="14.25" customHeight="1">
      <c r="F880" s="119"/>
      <c r="G880" s="119"/>
      <c r="H880" s="120"/>
      <c r="I880" s="119"/>
      <c r="J880" s="119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4"/>
    </row>
    <row r="881" ht="14.25" customHeight="1">
      <c r="F881" s="119"/>
      <c r="G881" s="119"/>
      <c r="H881" s="120"/>
      <c r="I881" s="119"/>
      <c r="J881" s="119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4"/>
    </row>
    <row r="882" ht="14.25" customHeight="1">
      <c r="F882" s="119"/>
      <c r="G882" s="119"/>
      <c r="H882" s="120"/>
      <c r="I882" s="119"/>
      <c r="J882" s="119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4"/>
    </row>
    <row r="883" ht="14.25" customHeight="1">
      <c r="F883" s="119"/>
      <c r="G883" s="119"/>
      <c r="H883" s="120"/>
      <c r="I883" s="119"/>
      <c r="J883" s="119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4"/>
    </row>
    <row r="884" ht="14.25" customHeight="1">
      <c r="F884" s="119"/>
      <c r="G884" s="119"/>
      <c r="H884" s="120"/>
      <c r="I884" s="119"/>
      <c r="J884" s="119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4"/>
    </row>
    <row r="885" ht="14.25" customHeight="1">
      <c r="F885" s="119"/>
      <c r="G885" s="119"/>
      <c r="H885" s="120"/>
      <c r="I885" s="119"/>
      <c r="J885" s="119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4"/>
    </row>
    <row r="886" ht="14.25" customHeight="1">
      <c r="F886" s="119"/>
      <c r="G886" s="119"/>
      <c r="H886" s="120"/>
      <c r="I886" s="119"/>
      <c r="J886" s="119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4"/>
    </row>
    <row r="887" ht="14.25" customHeight="1">
      <c r="F887" s="119"/>
      <c r="G887" s="119"/>
      <c r="H887" s="120"/>
      <c r="I887" s="119"/>
      <c r="J887" s="119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4"/>
    </row>
    <row r="888" ht="14.25" customHeight="1">
      <c r="F888" s="119"/>
      <c r="G888" s="119"/>
      <c r="H888" s="120"/>
      <c r="I888" s="119"/>
      <c r="J888" s="119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4"/>
    </row>
    <row r="889" ht="14.25" customHeight="1">
      <c r="F889" s="119"/>
      <c r="G889" s="119"/>
      <c r="H889" s="120"/>
      <c r="I889" s="119"/>
      <c r="J889" s="119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4"/>
    </row>
    <row r="890" ht="14.25" customHeight="1">
      <c r="F890" s="119"/>
      <c r="G890" s="119"/>
      <c r="H890" s="120"/>
      <c r="I890" s="119"/>
      <c r="J890" s="119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4"/>
    </row>
    <row r="891" ht="14.25" customHeight="1">
      <c r="F891" s="119"/>
      <c r="G891" s="119"/>
      <c r="H891" s="120"/>
      <c r="I891" s="119"/>
      <c r="J891" s="119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4"/>
    </row>
    <row r="892" ht="14.25" customHeight="1">
      <c r="F892" s="119"/>
      <c r="G892" s="119"/>
      <c r="H892" s="120"/>
      <c r="I892" s="119"/>
      <c r="J892" s="119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4"/>
    </row>
    <row r="893" ht="14.25" customHeight="1">
      <c r="F893" s="119"/>
      <c r="G893" s="119"/>
      <c r="H893" s="120"/>
      <c r="I893" s="119"/>
      <c r="J893" s="119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4"/>
    </row>
    <row r="894" ht="14.25" customHeight="1">
      <c r="F894" s="119"/>
      <c r="G894" s="119"/>
      <c r="H894" s="120"/>
      <c r="I894" s="119"/>
      <c r="J894" s="119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4"/>
    </row>
    <row r="895" ht="14.25" customHeight="1">
      <c r="F895" s="119"/>
      <c r="G895" s="119"/>
      <c r="H895" s="120"/>
      <c r="I895" s="119"/>
      <c r="J895" s="119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4"/>
    </row>
    <row r="896" ht="14.25" customHeight="1">
      <c r="F896" s="119"/>
      <c r="G896" s="119"/>
      <c r="H896" s="120"/>
      <c r="I896" s="119"/>
      <c r="J896" s="119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4"/>
    </row>
    <row r="897" ht="14.25" customHeight="1">
      <c r="F897" s="119"/>
      <c r="G897" s="119"/>
      <c r="H897" s="120"/>
      <c r="I897" s="119"/>
      <c r="J897" s="119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4"/>
    </row>
    <row r="898" ht="14.25" customHeight="1">
      <c r="F898" s="119"/>
      <c r="G898" s="119"/>
      <c r="H898" s="120"/>
      <c r="I898" s="119"/>
      <c r="J898" s="119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4"/>
    </row>
    <row r="899" ht="14.25" customHeight="1">
      <c r="F899" s="119"/>
      <c r="G899" s="119"/>
      <c r="H899" s="120"/>
      <c r="I899" s="119"/>
      <c r="J899" s="119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4"/>
    </row>
    <row r="900" ht="14.25" customHeight="1">
      <c r="F900" s="119"/>
      <c r="G900" s="119"/>
      <c r="H900" s="120"/>
      <c r="I900" s="119"/>
      <c r="J900" s="119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4"/>
    </row>
    <row r="901" ht="14.25" customHeight="1">
      <c r="F901" s="119"/>
      <c r="G901" s="119"/>
      <c r="H901" s="120"/>
      <c r="I901" s="119"/>
      <c r="J901" s="119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4"/>
    </row>
    <row r="902" ht="14.25" customHeight="1">
      <c r="F902" s="119"/>
      <c r="G902" s="119"/>
      <c r="H902" s="120"/>
      <c r="I902" s="119"/>
      <c r="J902" s="119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4"/>
    </row>
    <row r="903" ht="14.25" customHeight="1">
      <c r="F903" s="119"/>
      <c r="G903" s="119"/>
      <c r="H903" s="120"/>
      <c r="I903" s="119"/>
      <c r="J903" s="119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4"/>
    </row>
    <row r="904" ht="14.25" customHeight="1">
      <c r="F904" s="119"/>
      <c r="G904" s="119"/>
      <c r="H904" s="120"/>
      <c r="I904" s="119"/>
      <c r="J904" s="119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4"/>
    </row>
    <row r="905" ht="14.25" customHeight="1">
      <c r="F905" s="119"/>
      <c r="G905" s="119"/>
      <c r="H905" s="120"/>
      <c r="I905" s="119"/>
      <c r="J905" s="119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4"/>
    </row>
    <row r="906" ht="14.25" customHeight="1">
      <c r="F906" s="119"/>
      <c r="G906" s="119"/>
      <c r="H906" s="120"/>
      <c r="I906" s="119"/>
      <c r="J906" s="119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4"/>
    </row>
    <row r="907" ht="14.25" customHeight="1">
      <c r="F907" s="119"/>
      <c r="G907" s="119"/>
      <c r="H907" s="120"/>
      <c r="I907" s="119"/>
      <c r="J907" s="119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4"/>
    </row>
    <row r="908" ht="14.25" customHeight="1">
      <c r="F908" s="119"/>
      <c r="G908" s="119"/>
      <c r="H908" s="120"/>
      <c r="I908" s="119"/>
      <c r="J908" s="119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4"/>
    </row>
    <row r="909" ht="14.25" customHeight="1">
      <c r="F909" s="119"/>
      <c r="G909" s="119"/>
      <c r="H909" s="120"/>
      <c r="I909" s="119"/>
      <c r="J909" s="119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4"/>
    </row>
    <row r="910" ht="14.25" customHeight="1">
      <c r="F910" s="119"/>
      <c r="G910" s="119"/>
      <c r="H910" s="120"/>
      <c r="I910" s="119"/>
      <c r="J910" s="119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4"/>
    </row>
    <row r="911" ht="14.25" customHeight="1">
      <c r="F911" s="119"/>
      <c r="G911" s="119"/>
      <c r="H911" s="120"/>
      <c r="I911" s="119"/>
      <c r="J911" s="119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4"/>
    </row>
    <row r="912" ht="14.25" customHeight="1">
      <c r="F912" s="119"/>
      <c r="G912" s="119"/>
      <c r="H912" s="120"/>
      <c r="I912" s="119"/>
      <c r="J912" s="119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4"/>
    </row>
    <row r="913" ht="14.25" customHeight="1">
      <c r="F913" s="119"/>
      <c r="G913" s="119"/>
      <c r="H913" s="120"/>
      <c r="I913" s="119"/>
      <c r="J913" s="119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4"/>
    </row>
    <row r="914" ht="14.25" customHeight="1">
      <c r="F914" s="119"/>
      <c r="G914" s="119"/>
      <c r="H914" s="120"/>
      <c r="I914" s="119"/>
      <c r="J914" s="119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4"/>
    </row>
    <row r="915" ht="14.25" customHeight="1">
      <c r="F915" s="119"/>
      <c r="G915" s="119"/>
      <c r="H915" s="120"/>
      <c r="I915" s="119"/>
      <c r="J915" s="119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4"/>
    </row>
    <row r="916" ht="14.25" customHeight="1">
      <c r="F916" s="119"/>
      <c r="G916" s="119"/>
      <c r="H916" s="120"/>
      <c r="I916" s="119"/>
      <c r="J916" s="119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4"/>
    </row>
    <row r="917" ht="14.25" customHeight="1">
      <c r="F917" s="119"/>
      <c r="G917" s="119"/>
      <c r="H917" s="120"/>
      <c r="I917" s="119"/>
      <c r="J917" s="119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4"/>
    </row>
    <row r="918" ht="14.25" customHeight="1">
      <c r="F918" s="119"/>
      <c r="G918" s="119"/>
      <c r="H918" s="120"/>
      <c r="I918" s="119"/>
      <c r="J918" s="119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4"/>
    </row>
    <row r="919" ht="14.25" customHeight="1">
      <c r="F919" s="119"/>
      <c r="G919" s="119"/>
      <c r="H919" s="120"/>
      <c r="I919" s="119"/>
      <c r="J919" s="119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4"/>
    </row>
    <row r="920" ht="14.25" customHeight="1">
      <c r="F920" s="119"/>
      <c r="G920" s="119"/>
      <c r="H920" s="120"/>
      <c r="I920" s="119"/>
      <c r="J920" s="119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4"/>
    </row>
    <row r="921" ht="14.25" customHeight="1">
      <c r="F921" s="119"/>
      <c r="G921" s="119"/>
      <c r="H921" s="120"/>
      <c r="I921" s="119"/>
      <c r="J921" s="119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4"/>
    </row>
    <row r="922" ht="14.25" customHeight="1">
      <c r="F922" s="119"/>
      <c r="G922" s="119"/>
      <c r="H922" s="120"/>
      <c r="I922" s="119"/>
      <c r="J922" s="119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4"/>
    </row>
    <row r="923" ht="14.25" customHeight="1">
      <c r="F923" s="119"/>
      <c r="G923" s="119"/>
      <c r="H923" s="120"/>
      <c r="I923" s="119"/>
      <c r="J923" s="119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4"/>
    </row>
    <row r="924" ht="14.25" customHeight="1">
      <c r="F924" s="119"/>
      <c r="G924" s="119"/>
      <c r="H924" s="120"/>
      <c r="I924" s="119"/>
      <c r="J924" s="119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4"/>
    </row>
    <row r="925" ht="14.25" customHeight="1">
      <c r="F925" s="119"/>
      <c r="G925" s="119"/>
      <c r="H925" s="120"/>
      <c r="I925" s="119"/>
      <c r="J925" s="119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4"/>
    </row>
    <row r="926" ht="14.25" customHeight="1">
      <c r="F926" s="119"/>
      <c r="G926" s="119"/>
      <c r="H926" s="120"/>
      <c r="I926" s="119"/>
      <c r="J926" s="119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4"/>
    </row>
    <row r="927" ht="14.25" customHeight="1">
      <c r="F927" s="119"/>
      <c r="G927" s="119"/>
      <c r="H927" s="120"/>
      <c r="I927" s="119"/>
      <c r="J927" s="119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4"/>
    </row>
    <row r="928" ht="14.25" customHeight="1">
      <c r="F928" s="119"/>
      <c r="G928" s="119"/>
      <c r="H928" s="120"/>
      <c r="I928" s="119"/>
      <c r="J928" s="119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4"/>
    </row>
    <row r="929" ht="14.25" customHeight="1">
      <c r="F929" s="119"/>
      <c r="G929" s="119"/>
      <c r="H929" s="120"/>
      <c r="I929" s="119"/>
      <c r="J929" s="119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4"/>
    </row>
    <row r="930" ht="14.25" customHeight="1">
      <c r="F930" s="119"/>
      <c r="G930" s="119"/>
      <c r="H930" s="120"/>
      <c r="I930" s="119"/>
      <c r="J930" s="119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4"/>
    </row>
    <row r="931" ht="14.25" customHeight="1">
      <c r="F931" s="119"/>
      <c r="G931" s="119"/>
      <c r="H931" s="120"/>
      <c r="I931" s="119"/>
      <c r="J931" s="119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4"/>
    </row>
    <row r="932" ht="14.25" customHeight="1">
      <c r="F932" s="119"/>
      <c r="G932" s="119"/>
      <c r="H932" s="120"/>
      <c r="I932" s="119"/>
      <c r="J932" s="119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4"/>
    </row>
    <row r="933" ht="14.25" customHeight="1">
      <c r="F933" s="119"/>
      <c r="G933" s="119"/>
      <c r="H933" s="120"/>
      <c r="I933" s="119"/>
      <c r="J933" s="119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4"/>
    </row>
    <row r="934" ht="14.25" customHeight="1">
      <c r="F934" s="119"/>
      <c r="G934" s="119"/>
      <c r="H934" s="120"/>
      <c r="I934" s="119"/>
      <c r="J934" s="119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4"/>
    </row>
    <row r="935" ht="14.25" customHeight="1">
      <c r="F935" s="119"/>
      <c r="G935" s="119"/>
      <c r="H935" s="120"/>
      <c r="I935" s="119"/>
      <c r="J935" s="119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4"/>
    </row>
    <row r="936" ht="14.25" customHeight="1">
      <c r="F936" s="119"/>
      <c r="G936" s="119"/>
      <c r="H936" s="120"/>
      <c r="I936" s="119"/>
      <c r="J936" s="119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4"/>
    </row>
    <row r="937" ht="14.25" customHeight="1">
      <c r="F937" s="119"/>
      <c r="G937" s="119"/>
      <c r="H937" s="120"/>
      <c r="I937" s="119"/>
      <c r="J937" s="119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4"/>
    </row>
    <row r="938" ht="14.25" customHeight="1">
      <c r="F938" s="119"/>
      <c r="G938" s="119"/>
      <c r="H938" s="120"/>
      <c r="I938" s="119"/>
      <c r="J938" s="119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4"/>
    </row>
    <row r="939" ht="14.25" customHeight="1">
      <c r="F939" s="119"/>
      <c r="G939" s="119"/>
      <c r="H939" s="120"/>
      <c r="I939" s="119"/>
      <c r="J939" s="119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4"/>
    </row>
    <row r="940" ht="14.25" customHeight="1">
      <c r="F940" s="119"/>
      <c r="G940" s="119"/>
      <c r="H940" s="120"/>
      <c r="I940" s="119"/>
      <c r="J940" s="119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4"/>
    </row>
    <row r="941" ht="14.25" customHeight="1">
      <c r="F941" s="119"/>
      <c r="G941" s="119"/>
      <c r="H941" s="120"/>
      <c r="I941" s="119"/>
      <c r="J941" s="119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4"/>
    </row>
    <row r="942" ht="14.25" customHeight="1">
      <c r="F942" s="119"/>
      <c r="G942" s="119"/>
      <c r="H942" s="120"/>
      <c r="I942" s="119"/>
      <c r="J942" s="119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4"/>
    </row>
    <row r="943" ht="14.25" customHeight="1">
      <c r="F943" s="119"/>
      <c r="G943" s="119"/>
      <c r="H943" s="120"/>
      <c r="I943" s="119"/>
      <c r="J943" s="119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4"/>
    </row>
    <row r="944" ht="14.25" customHeight="1">
      <c r="F944" s="119"/>
      <c r="G944" s="119"/>
      <c r="H944" s="120"/>
      <c r="I944" s="119"/>
      <c r="J944" s="119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4"/>
    </row>
    <row r="945" ht="14.25" customHeight="1">
      <c r="F945" s="119"/>
      <c r="G945" s="119"/>
      <c r="H945" s="120"/>
      <c r="I945" s="119"/>
      <c r="J945" s="119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4"/>
    </row>
    <row r="946" ht="14.25" customHeight="1">
      <c r="F946" s="119"/>
      <c r="G946" s="119"/>
      <c r="H946" s="120"/>
      <c r="I946" s="119"/>
      <c r="J946" s="119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4"/>
    </row>
    <row r="947" ht="14.25" customHeight="1">
      <c r="F947" s="119"/>
      <c r="G947" s="119"/>
      <c r="H947" s="120"/>
      <c r="I947" s="119"/>
      <c r="J947" s="119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4"/>
    </row>
    <row r="948" ht="14.25" customHeight="1">
      <c r="F948" s="119"/>
      <c r="G948" s="119"/>
      <c r="H948" s="120"/>
      <c r="I948" s="119"/>
      <c r="J948" s="119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4"/>
    </row>
    <row r="949" ht="14.25" customHeight="1">
      <c r="F949" s="119"/>
      <c r="G949" s="119"/>
      <c r="H949" s="120"/>
      <c r="I949" s="119"/>
      <c r="J949" s="119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4"/>
    </row>
    <row r="950" ht="14.25" customHeight="1">
      <c r="F950" s="119"/>
      <c r="G950" s="119"/>
      <c r="H950" s="120"/>
      <c r="I950" s="119"/>
      <c r="J950" s="119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4"/>
    </row>
    <row r="951" ht="14.25" customHeight="1">
      <c r="F951" s="119"/>
      <c r="G951" s="119"/>
      <c r="H951" s="120"/>
      <c r="I951" s="119"/>
      <c r="J951" s="119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4"/>
    </row>
    <row r="952" ht="14.25" customHeight="1">
      <c r="F952" s="119"/>
      <c r="G952" s="119"/>
      <c r="H952" s="120"/>
      <c r="I952" s="119"/>
      <c r="J952" s="119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4"/>
    </row>
    <row r="953" ht="14.25" customHeight="1">
      <c r="F953" s="119"/>
      <c r="G953" s="119"/>
      <c r="H953" s="120"/>
      <c r="I953" s="119"/>
      <c r="J953" s="119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4"/>
    </row>
    <row r="954" ht="14.25" customHeight="1">
      <c r="F954" s="119"/>
      <c r="G954" s="119"/>
      <c r="H954" s="120"/>
      <c r="I954" s="119"/>
      <c r="J954" s="119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4"/>
    </row>
    <row r="955" ht="14.25" customHeight="1">
      <c r="F955" s="119"/>
      <c r="G955" s="119"/>
      <c r="H955" s="120"/>
      <c r="I955" s="119"/>
      <c r="J955" s="119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4"/>
    </row>
    <row r="956" ht="14.25" customHeight="1">
      <c r="F956" s="119"/>
      <c r="G956" s="119"/>
      <c r="H956" s="120"/>
      <c r="I956" s="119"/>
      <c r="J956" s="119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4"/>
    </row>
    <row r="957" ht="14.25" customHeight="1">
      <c r="F957" s="119"/>
      <c r="G957" s="119"/>
      <c r="H957" s="120"/>
      <c r="I957" s="119"/>
      <c r="J957" s="119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4"/>
    </row>
    <row r="958" ht="14.25" customHeight="1">
      <c r="F958" s="119"/>
      <c r="G958" s="119"/>
      <c r="H958" s="120"/>
      <c r="I958" s="119"/>
      <c r="J958" s="119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4"/>
    </row>
    <row r="959" ht="14.25" customHeight="1">
      <c r="F959" s="119"/>
      <c r="G959" s="119"/>
      <c r="H959" s="120"/>
      <c r="I959" s="119"/>
      <c r="J959" s="119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4"/>
    </row>
    <row r="960" ht="14.25" customHeight="1">
      <c r="F960" s="119"/>
      <c r="G960" s="119"/>
      <c r="H960" s="120"/>
      <c r="I960" s="119"/>
      <c r="J960" s="119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4"/>
    </row>
    <row r="961" ht="14.25" customHeight="1">
      <c r="F961" s="119"/>
      <c r="G961" s="119"/>
      <c r="H961" s="120"/>
      <c r="I961" s="119"/>
      <c r="J961" s="119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4"/>
    </row>
    <row r="962" ht="14.25" customHeight="1">
      <c r="F962" s="119"/>
      <c r="G962" s="119"/>
      <c r="H962" s="120"/>
      <c r="I962" s="119"/>
      <c r="J962" s="119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4"/>
    </row>
    <row r="963" ht="14.25" customHeight="1">
      <c r="F963" s="119"/>
      <c r="G963" s="119"/>
      <c r="H963" s="120"/>
      <c r="I963" s="119"/>
      <c r="J963" s="119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4"/>
    </row>
    <row r="964" ht="14.25" customHeight="1">
      <c r="F964" s="119"/>
      <c r="G964" s="119"/>
      <c r="H964" s="120"/>
      <c r="I964" s="119"/>
      <c r="J964" s="119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4"/>
    </row>
    <row r="965" ht="14.25" customHeight="1">
      <c r="F965" s="119"/>
      <c r="G965" s="119"/>
      <c r="H965" s="120"/>
      <c r="I965" s="119"/>
      <c r="J965" s="119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4"/>
    </row>
    <row r="966" ht="14.25" customHeight="1">
      <c r="F966" s="119"/>
      <c r="G966" s="119"/>
      <c r="H966" s="120"/>
      <c r="I966" s="119"/>
      <c r="J966" s="119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4"/>
    </row>
    <row r="967" ht="14.25" customHeight="1">
      <c r="F967" s="119"/>
      <c r="G967" s="119"/>
      <c r="H967" s="120"/>
      <c r="I967" s="119"/>
      <c r="J967" s="119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4"/>
    </row>
    <row r="968" ht="14.25" customHeight="1">
      <c r="F968" s="119"/>
      <c r="G968" s="119"/>
      <c r="H968" s="120"/>
      <c r="I968" s="119"/>
      <c r="J968" s="119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4"/>
    </row>
    <row r="969" ht="14.25" customHeight="1">
      <c r="F969" s="119"/>
      <c r="G969" s="119"/>
      <c r="H969" s="120"/>
      <c r="I969" s="119"/>
      <c r="J969" s="119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4"/>
    </row>
    <row r="970" ht="14.25" customHeight="1">
      <c r="F970" s="119"/>
      <c r="G970" s="119"/>
      <c r="H970" s="120"/>
      <c r="I970" s="119"/>
      <c r="J970" s="119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4"/>
    </row>
    <row r="971" ht="14.25" customHeight="1">
      <c r="F971" s="119"/>
      <c r="G971" s="119"/>
      <c r="H971" s="120"/>
      <c r="I971" s="119"/>
      <c r="J971" s="119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4"/>
    </row>
    <row r="972" ht="14.25" customHeight="1">
      <c r="F972" s="119"/>
      <c r="G972" s="119"/>
      <c r="H972" s="120"/>
      <c r="I972" s="119"/>
      <c r="J972" s="119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4"/>
    </row>
    <row r="973" ht="14.25" customHeight="1">
      <c r="F973" s="119"/>
      <c r="G973" s="119"/>
      <c r="H973" s="120"/>
      <c r="I973" s="119"/>
      <c r="J973" s="119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4"/>
    </row>
    <row r="974" ht="14.25" customHeight="1">
      <c r="F974" s="119"/>
      <c r="G974" s="119"/>
      <c r="H974" s="120"/>
      <c r="I974" s="119"/>
      <c r="J974" s="119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4"/>
    </row>
    <row r="975" ht="14.25" customHeight="1">
      <c r="F975" s="119"/>
      <c r="G975" s="119"/>
      <c r="H975" s="120"/>
      <c r="I975" s="119"/>
      <c r="J975" s="119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4"/>
    </row>
    <row r="976" ht="14.25" customHeight="1">
      <c r="F976" s="119"/>
      <c r="G976" s="119"/>
      <c r="H976" s="120"/>
      <c r="I976" s="119"/>
      <c r="J976" s="119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4"/>
    </row>
    <row r="977" ht="14.25" customHeight="1">
      <c r="F977" s="119"/>
      <c r="G977" s="119"/>
      <c r="H977" s="120"/>
      <c r="I977" s="119"/>
      <c r="J977" s="119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4"/>
    </row>
    <row r="978" ht="14.25" customHeight="1">
      <c r="F978" s="119"/>
      <c r="G978" s="119"/>
      <c r="H978" s="120"/>
      <c r="I978" s="119"/>
      <c r="J978" s="119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4"/>
    </row>
    <row r="979" ht="14.25" customHeight="1">
      <c r="F979" s="119"/>
      <c r="G979" s="119"/>
      <c r="H979" s="120"/>
      <c r="I979" s="119"/>
      <c r="J979" s="119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4"/>
    </row>
    <row r="980" ht="14.25" customHeight="1">
      <c r="F980" s="119"/>
      <c r="G980" s="119"/>
      <c r="H980" s="120"/>
      <c r="I980" s="119"/>
      <c r="J980" s="119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4"/>
    </row>
    <row r="981" ht="14.25" customHeight="1">
      <c r="F981" s="119"/>
      <c r="G981" s="119"/>
      <c r="H981" s="120"/>
      <c r="I981" s="119"/>
      <c r="J981" s="119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4"/>
    </row>
    <row r="982" ht="14.25" customHeight="1">
      <c r="F982" s="119"/>
      <c r="G982" s="119"/>
      <c r="H982" s="120"/>
      <c r="I982" s="119"/>
      <c r="J982" s="119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4"/>
    </row>
    <row r="983" ht="14.25" customHeight="1">
      <c r="F983" s="119"/>
      <c r="G983" s="119"/>
      <c r="H983" s="120"/>
      <c r="I983" s="119"/>
      <c r="J983" s="119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4"/>
    </row>
    <row r="984" ht="14.25" customHeight="1">
      <c r="F984" s="119"/>
      <c r="G984" s="119"/>
      <c r="H984" s="120"/>
      <c r="I984" s="119"/>
      <c r="J984" s="119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4"/>
    </row>
    <row r="985" ht="14.25" customHeight="1">
      <c r="F985" s="119"/>
      <c r="G985" s="119"/>
      <c r="H985" s="120"/>
      <c r="I985" s="119"/>
      <c r="J985" s="119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4"/>
    </row>
    <row r="986" ht="14.25" customHeight="1">
      <c r="F986" s="119"/>
      <c r="G986" s="119"/>
      <c r="H986" s="120"/>
      <c r="I986" s="119"/>
      <c r="J986" s="119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4"/>
    </row>
    <row r="987" ht="14.25" customHeight="1">
      <c r="F987" s="119"/>
      <c r="G987" s="119"/>
      <c r="H987" s="120"/>
      <c r="I987" s="119"/>
      <c r="J987" s="119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4"/>
    </row>
    <row r="988" ht="14.25" customHeight="1">
      <c r="F988" s="119"/>
      <c r="G988" s="119"/>
      <c r="H988" s="120"/>
      <c r="I988" s="119"/>
      <c r="J988" s="119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4"/>
    </row>
    <row r="989" ht="14.25" customHeight="1">
      <c r="F989" s="119"/>
      <c r="G989" s="119"/>
      <c r="H989" s="120"/>
      <c r="I989" s="119"/>
      <c r="J989" s="119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4"/>
    </row>
    <row r="990" ht="14.25" customHeight="1">
      <c r="F990" s="119"/>
      <c r="G990" s="119"/>
      <c r="H990" s="120"/>
      <c r="I990" s="119"/>
      <c r="J990" s="119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4"/>
    </row>
    <row r="991" ht="14.25" customHeight="1">
      <c r="F991" s="119"/>
      <c r="G991" s="119"/>
      <c r="H991" s="120"/>
      <c r="I991" s="119"/>
      <c r="J991" s="119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4"/>
    </row>
    <row r="992" ht="14.25" customHeight="1">
      <c r="F992" s="119"/>
      <c r="G992" s="119"/>
      <c r="H992" s="120"/>
      <c r="I992" s="119"/>
      <c r="J992" s="119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4"/>
    </row>
    <row r="993" ht="14.25" customHeight="1">
      <c r="F993" s="119"/>
      <c r="G993" s="119"/>
      <c r="H993" s="120"/>
      <c r="I993" s="119"/>
      <c r="J993" s="119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4"/>
    </row>
    <row r="994" ht="14.25" customHeight="1">
      <c r="F994" s="119"/>
      <c r="G994" s="119"/>
      <c r="H994" s="120"/>
      <c r="I994" s="119"/>
      <c r="J994" s="119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4"/>
    </row>
    <row r="995" ht="14.25" customHeight="1">
      <c r="F995" s="119"/>
      <c r="G995" s="119"/>
      <c r="H995" s="120"/>
      <c r="I995" s="119"/>
      <c r="J995" s="119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4"/>
    </row>
    <row r="996" ht="14.25" customHeight="1">
      <c r="F996" s="119"/>
      <c r="G996" s="119"/>
      <c r="H996" s="120"/>
      <c r="I996" s="119"/>
      <c r="J996" s="119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4"/>
    </row>
    <row r="997" ht="14.25" customHeight="1">
      <c r="F997" s="119"/>
      <c r="G997" s="119"/>
      <c r="H997" s="120"/>
      <c r="I997" s="119"/>
      <c r="J997" s="119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4"/>
    </row>
    <row r="998" ht="14.25" customHeight="1">
      <c r="F998" s="119"/>
      <c r="G998" s="119"/>
      <c r="H998" s="120"/>
      <c r="I998" s="119"/>
      <c r="J998" s="119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4"/>
    </row>
    <row r="999" ht="14.25" customHeight="1">
      <c r="F999" s="119"/>
      <c r="G999" s="119"/>
      <c r="H999" s="120"/>
      <c r="I999" s="119"/>
      <c r="J999" s="119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4"/>
    </row>
    <row r="1000" ht="14.25" customHeight="1">
      <c r="F1000" s="119"/>
      <c r="G1000" s="119"/>
      <c r="H1000" s="120"/>
      <c r="I1000" s="119"/>
      <c r="J1000" s="119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4"/>
    </row>
  </sheetData>
  <mergeCells count="45">
    <mergeCell ref="B11:B12"/>
    <mergeCell ref="C11:C12"/>
    <mergeCell ref="D11:D12"/>
    <mergeCell ref="E11:E12"/>
    <mergeCell ref="F11:F12"/>
    <mergeCell ref="G11:G12"/>
    <mergeCell ref="H11:H12"/>
    <mergeCell ref="I11:I12"/>
    <mergeCell ref="L11:L12"/>
    <mergeCell ref="M11:M12"/>
    <mergeCell ref="N11:N12"/>
    <mergeCell ref="O11:O12"/>
    <mergeCell ref="A40:I40"/>
    <mergeCell ref="AD40:AE40"/>
    <mergeCell ref="A41:AE42"/>
    <mergeCell ref="J11:J12"/>
    <mergeCell ref="K11:K12"/>
    <mergeCell ref="A35:L35"/>
    <mergeCell ref="A36:L36"/>
    <mergeCell ref="A37:L37"/>
    <mergeCell ref="A38:L38"/>
    <mergeCell ref="A39:AE39"/>
    <mergeCell ref="AD11:AD12"/>
    <mergeCell ref="AE11:AE12"/>
    <mergeCell ref="A2:AE2"/>
    <mergeCell ref="A3:AE3"/>
    <mergeCell ref="A4:AD4"/>
    <mergeCell ref="A5:AE5"/>
    <mergeCell ref="A6:AE6"/>
    <mergeCell ref="A8:AE8"/>
    <mergeCell ref="A11:A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0.71"/>
    <col customWidth="1" min="3" max="3" width="11.71"/>
    <col customWidth="1" min="4" max="4" width="10.71"/>
    <col customWidth="1" hidden="1" min="5" max="5" width="16.57"/>
    <col customWidth="1" min="6" max="6" width="15.57"/>
    <col customWidth="1" min="7" max="7" width="10.71"/>
    <col customWidth="1" min="8" max="8" width="20.43"/>
    <col customWidth="1" min="9" max="9" width="12.29"/>
    <col customWidth="1" min="10" max="10" width="12.86"/>
    <col customWidth="1" min="11" max="11" width="12.29"/>
    <col customWidth="1" min="12" max="12" width="29.57"/>
    <col customWidth="1" min="13" max="13" width="6.14"/>
    <col customWidth="1" min="14" max="14" width="8.43"/>
    <col customWidth="1" min="15" max="15" width="14.0"/>
    <col customWidth="1" min="16" max="16" width="13.0"/>
    <col customWidth="1" min="17" max="17" width="17.0"/>
    <col customWidth="1" min="18" max="18" width="5.29"/>
    <col customWidth="1" min="19" max="19" width="11.29"/>
    <col customWidth="1" min="20" max="20" width="1.29"/>
    <col customWidth="1" min="21" max="21" width="9.71"/>
    <col customWidth="1" min="22" max="22" width="11.86"/>
    <col customWidth="1" hidden="1" min="23" max="23" width="13.43"/>
    <col customWidth="1" hidden="1" min="24" max="24" width="16.71"/>
    <col customWidth="1" min="25" max="25" width="12.71"/>
    <col customWidth="1" min="26" max="26" width="15.29"/>
    <col customWidth="1" hidden="1" min="27" max="27" width="16.43"/>
    <col customWidth="1" hidden="1" min="28" max="28" width="18.43"/>
    <col customWidth="1" hidden="1" min="29" max="29" width="16.86"/>
    <col customWidth="1" hidden="1" min="30" max="30" width="13.14"/>
    <col customWidth="1" min="31" max="31" width="16.0"/>
    <col customWidth="1" min="32" max="32" width="15.29"/>
    <col customWidth="1" min="33" max="33" width="8.71"/>
    <col customWidth="1" min="34" max="34" width="20.0"/>
    <col customWidth="1" min="35" max="35" width="22.86"/>
  </cols>
  <sheetData>
    <row r="1" ht="14.25" customHeight="1">
      <c r="F1" s="119"/>
      <c r="G1" s="119"/>
      <c r="H1" s="120"/>
      <c r="I1" s="119"/>
      <c r="J1" s="119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</row>
    <row r="2" ht="14.25" customHeight="1">
      <c r="A2" s="5" t="s">
        <v>365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</row>
    <row r="3" ht="14.2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</row>
    <row r="4" ht="17.25" customHeight="1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0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7"/>
    </row>
    <row r="6" ht="14.25" customHeight="1">
      <c r="A6" s="11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"/>
    </row>
    <row r="7" ht="21.0" hidden="1" customHeight="1">
      <c r="A7" s="11"/>
      <c r="B7" s="12"/>
      <c r="C7" s="12"/>
      <c r="D7" s="12"/>
      <c r="E7" s="12"/>
      <c r="F7" s="121"/>
      <c r="G7" s="121"/>
      <c r="H7" s="122"/>
      <c r="I7" s="121"/>
      <c r="J7" s="121"/>
      <c r="K7" s="12"/>
      <c r="L7" s="12"/>
      <c r="M7" s="13"/>
      <c r="N7" s="13"/>
      <c r="O7" s="13"/>
      <c r="P7" s="13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6"/>
    </row>
    <row r="8" ht="21.0" hidden="1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</row>
    <row r="9" ht="21.0" hidden="1" customHeight="1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</row>
    <row r="10" ht="21.0" hidden="1" customHeight="1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</row>
    <row r="11" ht="29.25" customHeight="1">
      <c r="A11" s="20" t="s">
        <v>12</v>
      </c>
      <c r="B11" s="21" t="s">
        <v>15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169</v>
      </c>
      <c r="H11" s="24" t="s">
        <v>23</v>
      </c>
      <c r="I11" s="21" t="s">
        <v>27</v>
      </c>
      <c r="J11" s="21" t="s">
        <v>30</v>
      </c>
      <c r="K11" s="21" t="s">
        <v>18</v>
      </c>
      <c r="L11" s="21" t="s">
        <v>31</v>
      </c>
      <c r="M11" s="22" t="s">
        <v>170</v>
      </c>
      <c r="N11" s="21" t="s">
        <v>21</v>
      </c>
      <c r="O11" s="21" t="s">
        <v>22</v>
      </c>
      <c r="P11" s="21" t="s">
        <v>366</v>
      </c>
      <c r="Q11" s="21" t="s">
        <v>367</v>
      </c>
      <c r="R11" s="25" t="s">
        <v>24</v>
      </c>
      <c r="S11" s="23" t="s">
        <v>25</v>
      </c>
      <c r="T11" s="25" t="s">
        <v>174</v>
      </c>
      <c r="U11" s="23" t="s">
        <v>37</v>
      </c>
      <c r="V11" s="25" t="s">
        <v>39</v>
      </c>
      <c r="W11" s="25" t="s">
        <v>40</v>
      </c>
      <c r="X11" s="25" t="s">
        <v>43</v>
      </c>
      <c r="Y11" s="25" t="s">
        <v>368</v>
      </c>
      <c r="Z11" s="25" t="s">
        <v>45</v>
      </c>
      <c r="AA11" s="25" t="s">
        <v>46</v>
      </c>
      <c r="AB11" s="25" t="s">
        <v>47</v>
      </c>
      <c r="AC11" s="25" t="s">
        <v>48</v>
      </c>
      <c r="AD11" s="23" t="s">
        <v>32</v>
      </c>
      <c r="AE11" s="23" t="s">
        <v>33</v>
      </c>
      <c r="AF11" s="27" t="s">
        <v>34</v>
      </c>
    </row>
    <row r="12" ht="37.5" customHeight="1">
      <c r="A12" s="28"/>
      <c r="B12" s="30"/>
      <c r="C12" s="29"/>
      <c r="D12" s="29"/>
      <c r="E12" s="29"/>
      <c r="F12" s="29"/>
      <c r="G12" s="30"/>
      <c r="H12" s="30"/>
      <c r="I12" s="29"/>
      <c r="J12" s="30"/>
      <c r="K12" s="29"/>
      <c r="L12" s="29"/>
      <c r="M12" s="29"/>
      <c r="N12" s="29"/>
      <c r="O12" s="29"/>
      <c r="P12" s="30"/>
      <c r="Q12" s="30"/>
      <c r="R12" s="29"/>
      <c r="S12" s="29"/>
      <c r="T12" s="29"/>
      <c r="U12" s="29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3"/>
    </row>
    <row r="13" ht="18.75" customHeight="1">
      <c r="A13" s="218" t="s">
        <v>369</v>
      </c>
      <c r="B13" s="133" t="s">
        <v>370</v>
      </c>
      <c r="C13" s="44">
        <v>46086.0</v>
      </c>
      <c r="D13" s="44">
        <v>46086.0</v>
      </c>
      <c r="E13" s="37"/>
      <c r="F13" s="37" t="s">
        <v>176</v>
      </c>
      <c r="G13" s="37" t="s">
        <v>336</v>
      </c>
      <c r="H13" s="49" t="s">
        <v>371</v>
      </c>
      <c r="I13" s="37"/>
      <c r="J13" s="37"/>
      <c r="K13" s="42"/>
      <c r="L13" s="37" t="s">
        <v>291</v>
      </c>
      <c r="M13" s="202">
        <v>1.0</v>
      </c>
      <c r="N13" s="43"/>
      <c r="O13" s="194">
        <v>0.0</v>
      </c>
      <c r="P13" s="43"/>
      <c r="Q13" s="43"/>
      <c r="R13" s="50"/>
      <c r="S13" s="47"/>
      <c r="T13" s="51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>
        <f t="shared" ref="AE13:AE14" si="1">O13</f>
        <v>0</v>
      </c>
      <c r="AF13" s="52"/>
      <c r="AG13" s="56"/>
      <c r="AH13" s="54"/>
      <c r="AI13" s="54"/>
    </row>
    <row r="14" ht="17.25" customHeight="1">
      <c r="A14" s="219"/>
      <c r="B14" s="177" t="s">
        <v>370</v>
      </c>
      <c r="C14" s="44">
        <v>46086.0</v>
      </c>
      <c r="D14" s="44">
        <v>46086.0</v>
      </c>
      <c r="E14" s="37"/>
      <c r="F14" s="37" t="s">
        <v>176</v>
      </c>
      <c r="G14" s="37" t="s">
        <v>336</v>
      </c>
      <c r="H14" s="49" t="s">
        <v>371</v>
      </c>
      <c r="I14" s="37"/>
      <c r="J14" s="37"/>
      <c r="K14" s="42"/>
      <c r="L14" s="37" t="s">
        <v>189</v>
      </c>
      <c r="M14" s="202">
        <v>1.0</v>
      </c>
      <c r="N14" s="43"/>
      <c r="O14" s="43">
        <v>2500000.0</v>
      </c>
      <c r="P14" s="43"/>
      <c r="Q14" s="43"/>
      <c r="R14" s="50"/>
      <c r="S14" s="47"/>
      <c r="T14" s="51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>
        <f t="shared" si="1"/>
        <v>2500000</v>
      </c>
      <c r="AF14" s="52"/>
      <c r="AG14" s="56"/>
      <c r="AH14" s="54"/>
      <c r="AI14" s="54"/>
    </row>
    <row r="15" ht="16.5" customHeight="1">
      <c r="A15" s="30"/>
      <c r="B15" s="177" t="s">
        <v>370</v>
      </c>
      <c r="C15" s="44">
        <v>46086.0</v>
      </c>
      <c r="D15" s="44">
        <v>46087.0</v>
      </c>
      <c r="E15" s="37"/>
      <c r="F15" s="37" t="s">
        <v>113</v>
      </c>
      <c r="G15" s="37" t="s">
        <v>336</v>
      </c>
      <c r="H15" s="49" t="s">
        <v>371</v>
      </c>
      <c r="I15" s="37" t="s">
        <v>372</v>
      </c>
      <c r="J15" s="37" t="s">
        <v>373</v>
      </c>
      <c r="K15" s="42" t="s">
        <v>238</v>
      </c>
      <c r="L15" s="37" t="s">
        <v>374</v>
      </c>
      <c r="M15" s="202">
        <v>1.0</v>
      </c>
      <c r="N15" s="43"/>
      <c r="O15" s="214">
        <v>3600000.0</v>
      </c>
      <c r="P15" s="43"/>
      <c r="Q15" s="43">
        <v>500000.0</v>
      </c>
      <c r="R15" s="59"/>
      <c r="S15" s="47"/>
      <c r="T15" s="60"/>
      <c r="U15" s="47">
        <v>300000.0</v>
      </c>
      <c r="V15" s="47">
        <v>150000.0</v>
      </c>
      <c r="W15" s="47"/>
      <c r="X15" s="47"/>
      <c r="Y15" s="47"/>
      <c r="Z15" s="47">
        <v>432000.0</v>
      </c>
      <c r="AA15" s="47"/>
      <c r="AB15" s="47"/>
      <c r="AC15" s="47"/>
      <c r="AD15" s="47"/>
      <c r="AE15" s="47">
        <f>SUM(O15:Q15,U15:Z15)</f>
        <v>4982000</v>
      </c>
      <c r="AF15" s="52"/>
      <c r="AG15" s="56"/>
      <c r="AH15" s="54"/>
      <c r="AI15" s="54"/>
    </row>
    <row r="16" ht="18.0" customHeight="1">
      <c r="A16" s="218" t="s">
        <v>375</v>
      </c>
      <c r="B16" s="177" t="s">
        <v>370</v>
      </c>
      <c r="C16" s="44">
        <v>46087.0</v>
      </c>
      <c r="D16" s="44">
        <v>46087.0</v>
      </c>
      <c r="E16" s="37"/>
      <c r="F16" s="37" t="s">
        <v>176</v>
      </c>
      <c r="G16" s="37" t="s">
        <v>352</v>
      </c>
      <c r="H16" s="49" t="s">
        <v>376</v>
      </c>
      <c r="I16" s="37"/>
      <c r="J16" s="37"/>
      <c r="K16" s="42"/>
      <c r="L16" s="37" t="s">
        <v>291</v>
      </c>
      <c r="M16" s="202">
        <v>1.0</v>
      </c>
      <c r="N16" s="43"/>
      <c r="O16" s="194">
        <v>2315000.0</v>
      </c>
      <c r="P16" s="43"/>
      <c r="Q16" s="56"/>
      <c r="R16" s="50"/>
      <c r="S16" s="47"/>
      <c r="T16" s="51"/>
      <c r="U16" s="47"/>
      <c r="V16" s="47"/>
      <c r="W16" s="47"/>
      <c r="X16" s="47"/>
      <c r="Y16" s="47"/>
      <c r="Z16" s="208"/>
      <c r="AA16" s="47"/>
      <c r="AB16" s="47"/>
      <c r="AC16" s="47"/>
      <c r="AD16" s="47"/>
      <c r="AE16" s="47">
        <f t="shared" ref="AE16:AE17" si="2">O16</f>
        <v>2315000</v>
      </c>
      <c r="AF16" s="52"/>
      <c r="AG16" s="56"/>
      <c r="AH16" s="54"/>
      <c r="AI16" s="54"/>
    </row>
    <row r="17" ht="18.0" customHeight="1">
      <c r="A17" s="219"/>
      <c r="B17" s="177" t="s">
        <v>370</v>
      </c>
      <c r="C17" s="44">
        <v>46087.0</v>
      </c>
      <c r="D17" s="44">
        <v>46087.0</v>
      </c>
      <c r="E17" s="37"/>
      <c r="F17" s="37" t="s">
        <v>176</v>
      </c>
      <c r="G17" s="37" t="s">
        <v>352</v>
      </c>
      <c r="H17" s="49" t="s">
        <v>376</v>
      </c>
      <c r="I17" s="37"/>
      <c r="J17" s="37"/>
      <c r="K17" s="42"/>
      <c r="L17" s="37" t="s">
        <v>189</v>
      </c>
      <c r="M17" s="202">
        <v>1.0</v>
      </c>
      <c r="N17" s="56"/>
      <c r="O17" s="43">
        <v>2500000.0</v>
      </c>
      <c r="P17" s="43"/>
      <c r="Q17" s="43"/>
      <c r="R17" s="59"/>
      <c r="S17" s="47"/>
      <c r="T17" s="63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>
        <f t="shared" si="2"/>
        <v>2500000</v>
      </c>
      <c r="AF17" s="52"/>
      <c r="AG17" s="56"/>
      <c r="AH17" s="56"/>
      <c r="AI17" s="56"/>
    </row>
    <row r="18" ht="18.75" customHeight="1">
      <c r="A18" s="30"/>
      <c r="B18" s="177" t="s">
        <v>370</v>
      </c>
      <c r="C18" s="44">
        <v>46087.0</v>
      </c>
      <c r="D18" s="44">
        <v>46088.0</v>
      </c>
      <c r="E18" s="37"/>
      <c r="F18" s="37" t="s">
        <v>49</v>
      </c>
      <c r="G18" s="37" t="s">
        <v>352</v>
      </c>
      <c r="H18" s="49" t="s">
        <v>376</v>
      </c>
      <c r="I18" s="37" t="s">
        <v>377</v>
      </c>
      <c r="J18" s="68" t="s">
        <v>378</v>
      </c>
      <c r="K18" s="42" t="s">
        <v>379</v>
      </c>
      <c r="L18" s="37" t="s">
        <v>343</v>
      </c>
      <c r="M18" s="202">
        <v>1.0</v>
      </c>
      <c r="N18" s="56"/>
      <c r="O18" s="214">
        <v>7600000.0</v>
      </c>
      <c r="P18" s="43">
        <v>500000.0</v>
      </c>
      <c r="Q18" s="43">
        <v>500000.0</v>
      </c>
      <c r="R18" s="59"/>
      <c r="S18" s="47"/>
      <c r="T18" s="63"/>
      <c r="U18" s="47">
        <v>800000.0</v>
      </c>
      <c r="V18" s="47">
        <v>400000.0</v>
      </c>
      <c r="W18" s="47"/>
      <c r="X18" s="194"/>
      <c r="Y18" s="194"/>
      <c r="Z18" s="47">
        <v>2537996.0</v>
      </c>
      <c r="AA18" s="47"/>
      <c r="AB18" s="47"/>
      <c r="AC18" s="47"/>
      <c r="AD18" s="47"/>
      <c r="AE18" s="47">
        <f>SUM(O18:Q18,U18:Z18)</f>
        <v>12337996</v>
      </c>
      <c r="AF18" s="52"/>
      <c r="AG18" s="56"/>
      <c r="AH18" s="56"/>
      <c r="AI18" s="56"/>
    </row>
    <row r="19" ht="18.0" customHeight="1">
      <c r="A19" s="218" t="s">
        <v>380</v>
      </c>
      <c r="B19" s="177" t="s">
        <v>370</v>
      </c>
      <c r="C19" s="44">
        <v>46088.0</v>
      </c>
      <c r="D19" s="44">
        <v>46088.0</v>
      </c>
      <c r="E19" s="37"/>
      <c r="F19" s="37" t="s">
        <v>176</v>
      </c>
      <c r="G19" s="37" t="s">
        <v>352</v>
      </c>
      <c r="H19" s="49" t="s">
        <v>381</v>
      </c>
      <c r="I19" s="37"/>
      <c r="J19" s="37"/>
      <c r="K19" s="42"/>
      <c r="L19" s="37" t="s">
        <v>291</v>
      </c>
      <c r="M19" s="202">
        <v>1.0</v>
      </c>
      <c r="N19" s="43"/>
      <c r="O19" s="194">
        <v>2315000.0</v>
      </c>
      <c r="P19" s="43"/>
      <c r="Q19" s="43"/>
      <c r="R19" s="50"/>
      <c r="S19" s="47"/>
      <c r="T19" s="51"/>
      <c r="U19" s="47"/>
      <c r="V19" s="47"/>
      <c r="W19" s="47"/>
      <c r="X19" s="47"/>
      <c r="Y19" s="47"/>
      <c r="Z19" s="208"/>
      <c r="AA19" s="47"/>
      <c r="AB19" s="47"/>
      <c r="AC19" s="47"/>
      <c r="AD19" s="47"/>
      <c r="AE19" s="47">
        <f t="shared" ref="AE19:AE20" si="3">O19</f>
        <v>2315000</v>
      </c>
      <c r="AF19" s="52"/>
      <c r="AG19" s="56"/>
      <c r="AH19" s="54"/>
      <c r="AI19" s="54"/>
    </row>
    <row r="20" ht="16.5" customHeight="1">
      <c r="A20" s="219"/>
      <c r="B20" s="177" t="s">
        <v>370</v>
      </c>
      <c r="C20" s="44">
        <v>46088.0</v>
      </c>
      <c r="D20" s="44">
        <v>46088.0</v>
      </c>
      <c r="E20" s="37"/>
      <c r="F20" s="37" t="s">
        <v>176</v>
      </c>
      <c r="G20" s="37" t="s">
        <v>352</v>
      </c>
      <c r="H20" s="49" t="s">
        <v>381</v>
      </c>
      <c r="I20" s="37"/>
      <c r="J20" s="37"/>
      <c r="K20" s="42"/>
      <c r="L20" s="37" t="s">
        <v>189</v>
      </c>
      <c r="M20" s="202">
        <v>1.0</v>
      </c>
      <c r="N20" s="43"/>
      <c r="O20" s="43">
        <v>2500000.0</v>
      </c>
      <c r="P20" s="43"/>
      <c r="Q20" s="43"/>
      <c r="R20" s="59"/>
      <c r="S20" s="47"/>
      <c r="T20" s="63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>
        <f t="shared" si="3"/>
        <v>2500000</v>
      </c>
      <c r="AF20" s="52"/>
      <c r="AG20" s="56"/>
      <c r="AH20" s="56"/>
      <c r="AI20" s="56"/>
    </row>
    <row r="21" ht="15.75" customHeight="1">
      <c r="A21" s="30"/>
      <c r="B21" s="177" t="s">
        <v>370</v>
      </c>
      <c r="C21" s="44">
        <v>46088.0</v>
      </c>
      <c r="D21" s="44">
        <v>46089.0</v>
      </c>
      <c r="E21" s="44">
        <v>46090.0</v>
      </c>
      <c r="F21" s="37" t="s">
        <v>49</v>
      </c>
      <c r="G21" s="37" t="s">
        <v>352</v>
      </c>
      <c r="H21" s="49" t="s">
        <v>381</v>
      </c>
      <c r="I21" s="37" t="s">
        <v>382</v>
      </c>
      <c r="J21" s="37" t="s">
        <v>383</v>
      </c>
      <c r="K21" s="42" t="s">
        <v>379</v>
      </c>
      <c r="L21" s="37" t="s">
        <v>343</v>
      </c>
      <c r="M21" s="202">
        <v>1.0</v>
      </c>
      <c r="N21" s="43"/>
      <c r="O21" s="214">
        <v>7600000.0</v>
      </c>
      <c r="P21" s="43">
        <v>500000.0</v>
      </c>
      <c r="Q21" s="43">
        <v>500000.0</v>
      </c>
      <c r="R21" s="59">
        <v>1.0</v>
      </c>
      <c r="S21" s="47">
        <v>1000000.0</v>
      </c>
      <c r="T21" s="63"/>
      <c r="U21" s="47">
        <v>800000.0</v>
      </c>
      <c r="V21" s="47">
        <v>400000.0</v>
      </c>
      <c r="W21" s="47"/>
      <c r="X21" s="194"/>
      <c r="Y21" s="194"/>
      <c r="Z21" s="47">
        <v>1767270.0</v>
      </c>
      <c r="AA21" s="47"/>
      <c r="AB21" s="47"/>
      <c r="AC21" s="47"/>
      <c r="AD21" s="47"/>
      <c r="AE21" s="47">
        <f>SUM(O21:Q21,S21:Z21)</f>
        <v>12567270</v>
      </c>
      <c r="AF21" s="52"/>
      <c r="AG21" s="56"/>
      <c r="AH21" s="56"/>
      <c r="AI21" s="56"/>
    </row>
    <row r="22" ht="18.0" customHeight="1">
      <c r="A22" s="218" t="s">
        <v>384</v>
      </c>
      <c r="B22" s="177" t="s">
        <v>370</v>
      </c>
      <c r="C22" s="44">
        <v>46089.0</v>
      </c>
      <c r="D22" s="44">
        <v>46089.0</v>
      </c>
      <c r="E22" s="37"/>
      <c r="F22" s="37" t="s">
        <v>176</v>
      </c>
      <c r="G22" s="37" t="s">
        <v>352</v>
      </c>
      <c r="H22" s="55" t="s">
        <v>385</v>
      </c>
      <c r="I22" s="37"/>
      <c r="J22" s="220"/>
      <c r="K22" s="42"/>
      <c r="L22" s="37" t="s">
        <v>291</v>
      </c>
      <c r="M22" s="202">
        <v>1.0</v>
      </c>
      <c r="N22" s="43"/>
      <c r="O22" s="194">
        <v>2315000.0</v>
      </c>
      <c r="P22" s="43"/>
      <c r="Q22" s="43"/>
      <c r="R22" s="59"/>
      <c r="S22" s="47"/>
      <c r="T22" s="63"/>
      <c r="U22" s="47"/>
      <c r="V22" s="47"/>
      <c r="W22" s="47"/>
      <c r="X22" s="194"/>
      <c r="Y22" s="194"/>
      <c r="Z22" s="208"/>
      <c r="AA22" s="47"/>
      <c r="AB22" s="47"/>
      <c r="AC22" s="47"/>
      <c r="AD22" s="47"/>
      <c r="AE22" s="43">
        <f t="shared" ref="AE22:AE23" si="4">O22</f>
        <v>2315000</v>
      </c>
      <c r="AF22" s="52"/>
      <c r="AG22" s="56"/>
      <c r="AH22" s="56"/>
      <c r="AI22" s="56"/>
    </row>
    <row r="23" ht="16.5" customHeight="1">
      <c r="A23" s="219"/>
      <c r="B23" s="177" t="s">
        <v>370</v>
      </c>
      <c r="C23" s="44">
        <v>46089.0</v>
      </c>
      <c r="D23" s="44">
        <v>46089.0</v>
      </c>
      <c r="E23" s="37"/>
      <c r="F23" s="37" t="s">
        <v>176</v>
      </c>
      <c r="G23" s="37" t="s">
        <v>352</v>
      </c>
      <c r="H23" s="55" t="s">
        <v>385</v>
      </c>
      <c r="I23" s="37"/>
      <c r="J23" s="37"/>
      <c r="K23" s="42"/>
      <c r="L23" s="37" t="s">
        <v>189</v>
      </c>
      <c r="M23" s="202">
        <v>1.0</v>
      </c>
      <c r="N23" s="43"/>
      <c r="O23" s="43">
        <v>2500000.0</v>
      </c>
      <c r="P23" s="43"/>
      <c r="Q23" s="43"/>
      <c r="R23" s="59"/>
      <c r="S23" s="47"/>
      <c r="T23" s="63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3">
        <f t="shared" si="4"/>
        <v>2500000</v>
      </c>
      <c r="AF23" s="52"/>
      <c r="AG23" s="56"/>
      <c r="AH23" s="56"/>
      <c r="AI23" s="56"/>
    </row>
    <row r="24" ht="15.75" customHeight="1">
      <c r="A24" s="30"/>
      <c r="B24" s="177" t="s">
        <v>370</v>
      </c>
      <c r="C24" s="44">
        <v>46090.0</v>
      </c>
      <c r="D24" s="44">
        <v>46090.0</v>
      </c>
      <c r="E24" s="37"/>
      <c r="F24" s="37" t="s">
        <v>386</v>
      </c>
      <c r="G24" s="37" t="s">
        <v>352</v>
      </c>
      <c r="H24" s="55" t="s">
        <v>385</v>
      </c>
      <c r="I24" s="68" t="s">
        <v>387</v>
      </c>
      <c r="J24" s="37" t="s">
        <v>388</v>
      </c>
      <c r="K24" s="42" t="s">
        <v>379</v>
      </c>
      <c r="L24" s="37" t="s">
        <v>343</v>
      </c>
      <c r="M24" s="202">
        <v>1.0</v>
      </c>
      <c r="N24" s="43"/>
      <c r="O24" s="214">
        <v>9600000.0</v>
      </c>
      <c r="P24" s="43">
        <v>500000.0</v>
      </c>
      <c r="Q24" s="43">
        <v>500000.0</v>
      </c>
      <c r="R24" s="59"/>
      <c r="S24" s="47"/>
      <c r="T24" s="63"/>
      <c r="U24" s="47">
        <v>800000.0</v>
      </c>
      <c r="V24" s="47">
        <v>400000.0</v>
      </c>
      <c r="W24" s="47"/>
      <c r="X24" s="194"/>
      <c r="Y24" s="194"/>
      <c r="Z24" s="47">
        <v>1433452.0</v>
      </c>
      <c r="AA24" s="47"/>
      <c r="AB24" s="47"/>
      <c r="AC24" s="47"/>
      <c r="AD24" s="47"/>
      <c r="AE24" s="47">
        <f>SUM(O24:Q24,U24:Z24)</f>
        <v>13233452</v>
      </c>
      <c r="AF24" s="52"/>
      <c r="AG24" s="56"/>
      <c r="AH24" s="56"/>
      <c r="AI24" s="56"/>
    </row>
    <row r="25" ht="15.0" customHeight="1">
      <c r="A25" s="218" t="s">
        <v>389</v>
      </c>
      <c r="B25" s="177" t="s">
        <v>370</v>
      </c>
      <c r="C25" s="44">
        <v>46093.0</v>
      </c>
      <c r="D25" s="44">
        <v>46093.0</v>
      </c>
      <c r="E25" s="37"/>
      <c r="F25" s="37" t="s">
        <v>176</v>
      </c>
      <c r="G25" s="37" t="s">
        <v>352</v>
      </c>
      <c r="H25" s="55" t="s">
        <v>390</v>
      </c>
      <c r="I25" s="68"/>
      <c r="J25" s="37"/>
      <c r="K25" s="42"/>
      <c r="L25" s="37" t="s">
        <v>291</v>
      </c>
      <c r="M25" s="202">
        <v>1.0</v>
      </c>
      <c r="N25" s="43"/>
      <c r="O25" s="194">
        <v>2315000.0</v>
      </c>
      <c r="P25" s="43"/>
      <c r="Q25" s="43"/>
      <c r="R25" s="59"/>
      <c r="S25" s="47"/>
      <c r="T25" s="63"/>
      <c r="U25" s="47"/>
      <c r="V25" s="47"/>
      <c r="W25" s="47"/>
      <c r="X25" s="47"/>
      <c r="Y25" s="47"/>
      <c r="Z25" s="208"/>
      <c r="AA25" s="47"/>
      <c r="AB25" s="47"/>
      <c r="AC25" s="47"/>
      <c r="AD25" s="47"/>
      <c r="AE25" s="43">
        <f t="shared" ref="AE25:AE26" si="5">O25</f>
        <v>2315000</v>
      </c>
      <c r="AF25" s="52"/>
      <c r="AG25" s="56"/>
      <c r="AH25" s="56"/>
      <c r="AI25" s="56"/>
    </row>
    <row r="26" ht="15.0" customHeight="1">
      <c r="A26" s="219"/>
      <c r="B26" s="177" t="s">
        <v>370</v>
      </c>
      <c r="C26" s="44">
        <v>46093.0</v>
      </c>
      <c r="D26" s="44">
        <v>46093.0</v>
      </c>
      <c r="E26" s="37"/>
      <c r="F26" s="37" t="s">
        <v>176</v>
      </c>
      <c r="G26" s="37" t="s">
        <v>352</v>
      </c>
      <c r="H26" s="55" t="s">
        <v>390</v>
      </c>
      <c r="I26" s="68"/>
      <c r="J26" s="68"/>
      <c r="K26" s="42"/>
      <c r="L26" s="37" t="s">
        <v>189</v>
      </c>
      <c r="M26" s="202">
        <v>1.0</v>
      </c>
      <c r="N26" s="43"/>
      <c r="O26" s="43">
        <v>2500000.0</v>
      </c>
      <c r="P26" s="43"/>
      <c r="Q26" s="43"/>
      <c r="R26" s="59"/>
      <c r="S26" s="47"/>
      <c r="T26" s="63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3">
        <f t="shared" si="5"/>
        <v>2500000</v>
      </c>
      <c r="AF26" s="52"/>
      <c r="AG26" s="56"/>
      <c r="AH26" s="56"/>
      <c r="AI26" s="56"/>
    </row>
    <row r="27" ht="15.75" customHeight="1">
      <c r="A27" s="30"/>
      <c r="B27" s="177" t="s">
        <v>370</v>
      </c>
      <c r="C27" s="44">
        <v>46093.0</v>
      </c>
      <c r="D27" s="44">
        <v>46093.0</v>
      </c>
      <c r="E27" s="37"/>
      <c r="F27" s="37" t="s">
        <v>386</v>
      </c>
      <c r="G27" s="37" t="s">
        <v>352</v>
      </c>
      <c r="H27" s="55" t="s">
        <v>390</v>
      </c>
      <c r="I27" s="37" t="s">
        <v>391</v>
      </c>
      <c r="J27" s="37" t="s">
        <v>392</v>
      </c>
      <c r="K27" s="42" t="s">
        <v>379</v>
      </c>
      <c r="L27" s="37" t="s">
        <v>343</v>
      </c>
      <c r="M27" s="202">
        <v>1.0</v>
      </c>
      <c r="N27" s="43"/>
      <c r="O27" s="214">
        <v>9600000.0</v>
      </c>
      <c r="P27" s="43">
        <v>500000.0</v>
      </c>
      <c r="Q27" s="43">
        <v>500000.0</v>
      </c>
      <c r="R27" s="59"/>
      <c r="S27" s="47"/>
      <c r="T27" s="63"/>
      <c r="U27" s="47">
        <v>800000.0</v>
      </c>
      <c r="V27" s="47">
        <v>400000.0</v>
      </c>
      <c r="W27" s="47"/>
      <c r="X27" s="194"/>
      <c r="Y27" s="194"/>
      <c r="Z27" s="47">
        <v>1737816.0</v>
      </c>
      <c r="AA27" s="47"/>
      <c r="AB27" s="47"/>
      <c r="AC27" s="47"/>
      <c r="AD27" s="47"/>
      <c r="AE27" s="47">
        <f>SUM(O27:Q27,U27:Z27)</f>
        <v>13537816</v>
      </c>
      <c r="AF27" s="52"/>
      <c r="AG27" s="56"/>
      <c r="AH27" s="56"/>
      <c r="AI27" s="56"/>
    </row>
    <row r="28" ht="15.75" customHeight="1">
      <c r="A28" s="218" t="s">
        <v>393</v>
      </c>
      <c r="B28" s="177" t="s">
        <v>370</v>
      </c>
      <c r="C28" s="44">
        <v>46093.0</v>
      </c>
      <c r="D28" s="44">
        <v>46093.0</v>
      </c>
      <c r="E28" s="37"/>
      <c r="F28" s="37" t="s">
        <v>176</v>
      </c>
      <c r="G28" s="37" t="s">
        <v>352</v>
      </c>
      <c r="H28" s="55" t="s">
        <v>394</v>
      </c>
      <c r="I28" s="37"/>
      <c r="J28" s="54"/>
      <c r="K28" s="42"/>
      <c r="L28" s="37" t="s">
        <v>291</v>
      </c>
      <c r="M28" s="202">
        <v>1.0</v>
      </c>
      <c r="N28" s="43"/>
      <c r="O28" s="194">
        <v>2315000.0</v>
      </c>
      <c r="P28" s="43"/>
      <c r="Q28" s="43"/>
      <c r="R28" s="59"/>
      <c r="S28" s="47"/>
      <c r="T28" s="60"/>
      <c r="U28" s="47"/>
      <c r="V28" s="47"/>
      <c r="W28" s="47"/>
      <c r="X28" s="47"/>
      <c r="Y28" s="47"/>
      <c r="Z28" s="208"/>
      <c r="AA28" s="47"/>
      <c r="AB28" s="47"/>
      <c r="AC28" s="47"/>
      <c r="AD28" s="47"/>
      <c r="AE28" s="178">
        <f t="shared" ref="AE28:AE29" si="6">O28</f>
        <v>2315000</v>
      </c>
      <c r="AF28" s="52"/>
      <c r="AG28" s="56"/>
      <c r="AH28" s="56"/>
      <c r="AI28" s="56"/>
    </row>
    <row r="29" ht="15.75" customHeight="1">
      <c r="A29" s="219"/>
      <c r="B29" s="177" t="s">
        <v>370</v>
      </c>
      <c r="C29" s="44">
        <v>46093.0</v>
      </c>
      <c r="D29" s="44">
        <v>46093.0</v>
      </c>
      <c r="E29" s="37"/>
      <c r="F29" s="37" t="s">
        <v>176</v>
      </c>
      <c r="G29" s="37" t="s">
        <v>352</v>
      </c>
      <c r="H29" s="55" t="s">
        <v>394</v>
      </c>
      <c r="I29" s="37"/>
      <c r="J29" s="37"/>
      <c r="K29" s="42"/>
      <c r="L29" s="37" t="s">
        <v>189</v>
      </c>
      <c r="M29" s="202">
        <v>1.0</v>
      </c>
      <c r="N29" s="43"/>
      <c r="O29" s="43">
        <v>2500000.0</v>
      </c>
      <c r="P29" s="43"/>
      <c r="Q29" s="43"/>
      <c r="R29" s="59"/>
      <c r="S29" s="47"/>
      <c r="T29" s="60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3">
        <f t="shared" si="6"/>
        <v>2500000</v>
      </c>
      <c r="AF29" s="52"/>
      <c r="AG29" s="56"/>
      <c r="AH29" s="56"/>
      <c r="AI29" s="56"/>
    </row>
    <row r="30" ht="15.75" customHeight="1">
      <c r="A30" s="30"/>
      <c r="B30" s="177" t="s">
        <v>370</v>
      </c>
      <c r="C30" s="44">
        <v>46093.0</v>
      </c>
      <c r="D30" s="44">
        <v>46093.0</v>
      </c>
      <c r="E30" s="37"/>
      <c r="F30" s="37" t="s">
        <v>49</v>
      </c>
      <c r="G30" s="37" t="s">
        <v>352</v>
      </c>
      <c r="H30" s="55" t="s">
        <v>394</v>
      </c>
      <c r="I30" s="37" t="s">
        <v>395</v>
      </c>
      <c r="J30" s="37" t="s">
        <v>396</v>
      </c>
      <c r="K30" s="42" t="s">
        <v>184</v>
      </c>
      <c r="L30" s="37" t="s">
        <v>343</v>
      </c>
      <c r="M30" s="202">
        <v>1.0</v>
      </c>
      <c r="N30" s="43"/>
      <c r="O30" s="214">
        <v>7600000.0</v>
      </c>
      <c r="P30" s="43">
        <v>500000.0</v>
      </c>
      <c r="Q30" s="43">
        <v>500000.0</v>
      </c>
      <c r="R30" s="59"/>
      <c r="S30" s="47"/>
      <c r="T30" s="60"/>
      <c r="U30" s="47">
        <v>800000.0</v>
      </c>
      <c r="V30" s="47">
        <v>400000.0</v>
      </c>
      <c r="W30" s="47"/>
      <c r="X30" s="47"/>
      <c r="Y30" s="47"/>
      <c r="Z30" s="47">
        <v>1178180.0</v>
      </c>
      <c r="AA30" s="47"/>
      <c r="AB30" s="47"/>
      <c r="AC30" s="47"/>
      <c r="AD30" s="47"/>
      <c r="AE30" s="47">
        <f>SUM(O30:Q30,U30:Z30)</f>
        <v>10978180</v>
      </c>
      <c r="AF30" s="52"/>
      <c r="AG30" s="56"/>
      <c r="AH30" s="56"/>
      <c r="AI30" s="56"/>
    </row>
    <row r="31" ht="15.75" customHeight="1">
      <c r="A31" s="218" t="s">
        <v>397</v>
      </c>
      <c r="B31" s="177" t="s">
        <v>370</v>
      </c>
      <c r="C31" s="44">
        <v>46093.0</v>
      </c>
      <c r="D31" s="44">
        <v>46093.0</v>
      </c>
      <c r="E31" s="37"/>
      <c r="F31" s="37" t="s">
        <v>176</v>
      </c>
      <c r="G31" s="37" t="s">
        <v>336</v>
      </c>
      <c r="H31" s="38" t="s">
        <v>398</v>
      </c>
      <c r="I31" s="37"/>
      <c r="J31" s="37"/>
      <c r="K31" s="42"/>
      <c r="L31" s="37" t="s">
        <v>291</v>
      </c>
      <c r="M31" s="202">
        <v>1.0</v>
      </c>
      <c r="N31" s="43"/>
      <c r="O31" s="194">
        <v>1500000.0</v>
      </c>
      <c r="P31" s="43"/>
      <c r="Q31" s="43"/>
      <c r="R31" s="59"/>
      <c r="S31" s="47"/>
      <c r="T31" s="60"/>
      <c r="U31" s="47"/>
      <c r="V31" s="47"/>
      <c r="W31" s="47"/>
      <c r="X31" s="47"/>
      <c r="Y31" s="47"/>
      <c r="Z31" s="208"/>
      <c r="AA31" s="47"/>
      <c r="AB31" s="47"/>
      <c r="AC31" s="47"/>
      <c r="AD31" s="47"/>
      <c r="AE31" s="43">
        <f t="shared" ref="AE31:AE32" si="7">O31</f>
        <v>1500000</v>
      </c>
      <c r="AF31" s="52"/>
      <c r="AG31" s="56"/>
      <c r="AH31" s="56"/>
      <c r="AI31" s="56"/>
    </row>
    <row r="32" ht="15.75" customHeight="1">
      <c r="A32" s="219"/>
      <c r="B32" s="177" t="s">
        <v>370</v>
      </c>
      <c r="C32" s="44">
        <v>46093.0</v>
      </c>
      <c r="D32" s="44">
        <v>46093.0</v>
      </c>
      <c r="E32" s="37"/>
      <c r="F32" s="37" t="s">
        <v>176</v>
      </c>
      <c r="G32" s="37" t="s">
        <v>336</v>
      </c>
      <c r="H32" s="38" t="s">
        <v>398</v>
      </c>
      <c r="I32" s="37"/>
      <c r="J32" s="221"/>
      <c r="K32" s="222"/>
      <c r="L32" s="37" t="s">
        <v>189</v>
      </c>
      <c r="M32" s="202">
        <v>1.0</v>
      </c>
      <c r="N32" s="43"/>
      <c r="O32" s="43">
        <v>2500000.0</v>
      </c>
      <c r="P32" s="43"/>
      <c r="Q32" s="43"/>
      <c r="R32" s="59"/>
      <c r="S32" s="47"/>
      <c r="T32" s="60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3">
        <f t="shared" si="7"/>
        <v>2500000</v>
      </c>
      <c r="AF32" s="52"/>
      <c r="AG32" s="56"/>
      <c r="AH32" s="56"/>
      <c r="AI32" s="56"/>
    </row>
    <row r="33" ht="15.75" customHeight="1">
      <c r="A33" s="30"/>
      <c r="B33" s="177" t="s">
        <v>370</v>
      </c>
      <c r="C33" s="44">
        <v>46093.0</v>
      </c>
      <c r="D33" s="44">
        <v>46094.0</v>
      </c>
      <c r="E33" s="37"/>
      <c r="F33" s="37" t="s">
        <v>52</v>
      </c>
      <c r="G33" s="37" t="s">
        <v>336</v>
      </c>
      <c r="H33" s="38" t="s">
        <v>398</v>
      </c>
      <c r="I33" s="37" t="s">
        <v>399</v>
      </c>
      <c r="J33" s="37" t="s">
        <v>400</v>
      </c>
      <c r="K33" s="42" t="s">
        <v>270</v>
      </c>
      <c r="L33" s="37" t="s">
        <v>343</v>
      </c>
      <c r="M33" s="202">
        <v>1.0</v>
      </c>
      <c r="N33" s="43"/>
      <c r="O33" s="214">
        <v>5700000.0</v>
      </c>
      <c r="P33" s="43">
        <v>500000.0</v>
      </c>
      <c r="Q33" s="43">
        <v>500000.0</v>
      </c>
      <c r="R33" s="59"/>
      <c r="S33" s="47"/>
      <c r="T33" s="60"/>
      <c r="U33" s="47">
        <v>500000.0</v>
      </c>
      <c r="V33" s="47">
        <v>230000.0</v>
      </c>
      <c r="W33" s="47"/>
      <c r="X33" s="47"/>
      <c r="Y33" s="47"/>
      <c r="Z33" s="47">
        <v>594000.0</v>
      </c>
      <c r="AA33" s="47"/>
      <c r="AB33" s="47"/>
      <c r="AC33" s="47"/>
      <c r="AD33" s="47"/>
      <c r="AE33" s="43">
        <f>SUM(O33:Q33,U33:Z33)</f>
        <v>8024000</v>
      </c>
      <c r="AF33" s="52"/>
      <c r="AG33" s="56"/>
      <c r="AH33" s="56"/>
      <c r="AI33" s="56"/>
    </row>
    <row r="34" ht="15.75" customHeight="1">
      <c r="A34" s="218" t="s">
        <v>401</v>
      </c>
      <c r="B34" s="177" t="s">
        <v>370</v>
      </c>
      <c r="C34" s="44">
        <v>46093.0</v>
      </c>
      <c r="D34" s="44">
        <v>46093.0</v>
      </c>
      <c r="E34" s="35"/>
      <c r="F34" s="37" t="s">
        <v>176</v>
      </c>
      <c r="G34" s="37" t="s">
        <v>336</v>
      </c>
      <c r="H34" s="199" t="s">
        <v>402</v>
      </c>
      <c r="I34" s="128"/>
      <c r="J34" s="128"/>
      <c r="K34" s="126"/>
      <c r="L34" s="37" t="s">
        <v>291</v>
      </c>
      <c r="M34" s="202">
        <v>1.0</v>
      </c>
      <c r="N34" s="43"/>
      <c r="O34" s="194">
        <v>1500000.0</v>
      </c>
      <c r="P34" s="43"/>
      <c r="Q34" s="43"/>
      <c r="R34" s="59"/>
      <c r="S34" s="47"/>
      <c r="T34" s="63"/>
      <c r="U34" s="162"/>
      <c r="V34" s="162"/>
      <c r="W34" s="47"/>
      <c r="X34" s="194"/>
      <c r="Y34" s="194"/>
      <c r="Z34" s="47"/>
      <c r="AA34" s="47"/>
      <c r="AB34" s="47"/>
      <c r="AC34" s="47"/>
      <c r="AD34" s="47"/>
      <c r="AE34" s="43">
        <f t="shared" ref="AE34:AE35" si="8">O34</f>
        <v>1500000</v>
      </c>
      <c r="AF34" s="52"/>
      <c r="AG34" s="56"/>
      <c r="AH34" s="56"/>
      <c r="AI34" s="56"/>
    </row>
    <row r="35" ht="15.75" customHeight="1">
      <c r="A35" s="219"/>
      <c r="B35" s="177" t="s">
        <v>370</v>
      </c>
      <c r="C35" s="44">
        <v>46093.0</v>
      </c>
      <c r="D35" s="44">
        <v>46093.0</v>
      </c>
      <c r="E35" s="198"/>
      <c r="F35" s="37" t="s">
        <v>176</v>
      </c>
      <c r="G35" s="37" t="s">
        <v>336</v>
      </c>
      <c r="H35" s="199" t="s">
        <v>402</v>
      </c>
      <c r="I35" s="198"/>
      <c r="J35" s="198"/>
      <c r="K35" s="198"/>
      <c r="L35" s="37" t="s">
        <v>189</v>
      </c>
      <c r="M35" s="202">
        <v>1.0</v>
      </c>
      <c r="N35" s="200"/>
      <c r="O35" s="43">
        <v>2500000.0</v>
      </c>
      <c r="P35" s="43"/>
      <c r="Q35" s="43"/>
      <c r="R35" s="59"/>
      <c r="S35" s="47"/>
      <c r="T35" s="60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3">
        <f t="shared" si="8"/>
        <v>2500000</v>
      </c>
      <c r="AF35" s="52"/>
      <c r="AG35" s="56"/>
      <c r="AH35" s="56"/>
      <c r="AI35" s="56"/>
    </row>
    <row r="36" ht="15.75" customHeight="1">
      <c r="A36" s="30"/>
      <c r="B36" s="177" t="s">
        <v>370</v>
      </c>
      <c r="C36" s="44">
        <v>46093.0</v>
      </c>
      <c r="D36" s="44">
        <v>46094.0</v>
      </c>
      <c r="E36" s="198"/>
      <c r="F36" s="37" t="s">
        <v>113</v>
      </c>
      <c r="G36" s="37" t="s">
        <v>336</v>
      </c>
      <c r="H36" s="199" t="s">
        <v>402</v>
      </c>
      <c r="I36" s="133" t="s">
        <v>346</v>
      </c>
      <c r="J36" s="133" t="s">
        <v>403</v>
      </c>
      <c r="K36" s="42" t="s">
        <v>270</v>
      </c>
      <c r="L36" s="37" t="s">
        <v>343</v>
      </c>
      <c r="M36" s="202">
        <v>1.0</v>
      </c>
      <c r="N36" s="200"/>
      <c r="O36" s="214">
        <v>5700000.0</v>
      </c>
      <c r="P36" s="43">
        <v>500000.0</v>
      </c>
      <c r="Q36" s="43">
        <v>500000.0</v>
      </c>
      <c r="R36" s="59"/>
      <c r="S36" s="47"/>
      <c r="T36" s="60"/>
      <c r="U36" s="47">
        <v>500000.0</v>
      </c>
      <c r="V36" s="47">
        <v>230000.0</v>
      </c>
      <c r="W36" s="47"/>
      <c r="X36" s="47"/>
      <c r="Y36" s="47"/>
      <c r="Z36" s="47">
        <v>864000.0</v>
      </c>
      <c r="AA36" s="47"/>
      <c r="AB36" s="47"/>
      <c r="AC36" s="47"/>
      <c r="AD36" s="47"/>
      <c r="AE36" s="43">
        <f>SUM(O36:Q36,U36:Z36)</f>
        <v>8294000</v>
      </c>
      <c r="AF36" s="52"/>
      <c r="AG36" s="56"/>
      <c r="AH36" s="56"/>
      <c r="AI36" s="56"/>
    </row>
    <row r="37" ht="15.75" customHeight="1">
      <c r="A37" s="218" t="s">
        <v>404</v>
      </c>
      <c r="B37" s="177" t="s">
        <v>370</v>
      </c>
      <c r="C37" s="44">
        <v>46097.0</v>
      </c>
      <c r="D37" s="44">
        <v>46097.0</v>
      </c>
      <c r="E37" s="133"/>
      <c r="F37" s="37" t="s">
        <v>176</v>
      </c>
      <c r="G37" s="37" t="s">
        <v>336</v>
      </c>
      <c r="H37" s="199" t="s">
        <v>405</v>
      </c>
      <c r="I37" s="133"/>
      <c r="J37" s="133"/>
      <c r="K37" s="133"/>
      <c r="L37" s="37" t="s">
        <v>291</v>
      </c>
      <c r="M37" s="202">
        <v>1.0</v>
      </c>
      <c r="N37" s="203"/>
      <c r="O37" s="194">
        <v>1500000.0</v>
      </c>
      <c r="P37" s="204"/>
      <c r="Q37" s="204"/>
      <c r="R37" s="177"/>
      <c r="S37" s="136"/>
      <c r="T37" s="63"/>
      <c r="U37" s="47"/>
      <c r="V37" s="47"/>
      <c r="W37" s="47"/>
      <c r="X37" s="194"/>
      <c r="Y37" s="194"/>
      <c r="Z37" s="47"/>
      <c r="AA37" s="136"/>
      <c r="AB37" s="136"/>
      <c r="AC37" s="136"/>
      <c r="AD37" s="136"/>
      <c r="AE37" s="43">
        <f t="shared" ref="AE37:AE38" si="9">O37</f>
        <v>1500000</v>
      </c>
      <c r="AF37" s="205"/>
      <c r="AG37" s="129"/>
      <c r="AH37" s="129"/>
      <c r="AI37" s="129"/>
    </row>
    <row r="38" ht="15.0" customHeight="1">
      <c r="A38" s="219"/>
      <c r="B38" s="177" t="s">
        <v>370</v>
      </c>
      <c r="C38" s="44">
        <v>46097.0</v>
      </c>
      <c r="D38" s="44">
        <v>46097.0</v>
      </c>
      <c r="E38" s="198"/>
      <c r="F38" s="37" t="s">
        <v>176</v>
      </c>
      <c r="G38" s="37" t="s">
        <v>336</v>
      </c>
      <c r="H38" s="199" t="s">
        <v>405</v>
      </c>
      <c r="I38" s="198"/>
      <c r="J38" s="198"/>
      <c r="K38" s="198"/>
      <c r="L38" s="37" t="s">
        <v>189</v>
      </c>
      <c r="M38" s="202">
        <v>1.0</v>
      </c>
      <c r="N38" s="206"/>
      <c r="O38" s="43">
        <v>2500000.0</v>
      </c>
      <c r="P38" s="197"/>
      <c r="Q38" s="43"/>
      <c r="R38" s="59"/>
      <c r="S38" s="47"/>
      <c r="T38" s="60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3">
        <f t="shared" si="9"/>
        <v>2500000</v>
      </c>
      <c r="AF38" s="52"/>
      <c r="AG38" s="56"/>
      <c r="AH38" s="56"/>
      <c r="AI38" s="56"/>
    </row>
    <row r="39" ht="15.75" customHeight="1">
      <c r="A39" s="30"/>
      <c r="B39" s="177" t="s">
        <v>370</v>
      </c>
      <c r="C39" s="44">
        <v>46097.0</v>
      </c>
      <c r="D39" s="44">
        <v>46098.0</v>
      </c>
      <c r="E39" s="37"/>
      <c r="F39" s="37" t="s">
        <v>52</v>
      </c>
      <c r="G39" s="37" t="s">
        <v>336</v>
      </c>
      <c r="H39" s="199" t="s">
        <v>405</v>
      </c>
      <c r="I39" s="42" t="s">
        <v>406</v>
      </c>
      <c r="J39" s="42" t="s">
        <v>407</v>
      </c>
      <c r="K39" s="42" t="s">
        <v>238</v>
      </c>
      <c r="L39" s="37" t="s">
        <v>343</v>
      </c>
      <c r="M39" s="202">
        <v>1.0</v>
      </c>
      <c r="N39" s="200"/>
      <c r="O39" s="43">
        <v>4600000.0</v>
      </c>
      <c r="P39" s="43">
        <v>500000.0</v>
      </c>
      <c r="Q39" s="43">
        <v>500000.0</v>
      </c>
      <c r="R39" s="59">
        <v>1.0</v>
      </c>
      <c r="S39" s="47">
        <v>800000.0</v>
      </c>
      <c r="T39" s="60"/>
      <c r="U39" s="47">
        <v>300000.0</v>
      </c>
      <c r="V39" s="47">
        <v>150000.0</v>
      </c>
      <c r="W39" s="47"/>
      <c r="X39" s="47"/>
      <c r="Y39" s="47"/>
      <c r="Z39" s="47">
        <v>270000.0</v>
      </c>
      <c r="AA39" s="47"/>
      <c r="AB39" s="47"/>
      <c r="AC39" s="47"/>
      <c r="AD39" s="47"/>
      <c r="AE39" s="43">
        <f>SUM(O39:Q39,S39:Z39)</f>
        <v>7120000</v>
      </c>
      <c r="AF39" s="52"/>
      <c r="AG39" s="56"/>
      <c r="AH39" s="56"/>
      <c r="AI39" s="56"/>
    </row>
    <row r="40" ht="16.5" customHeight="1">
      <c r="A40" s="218" t="s">
        <v>408</v>
      </c>
      <c r="B40" s="177" t="s">
        <v>370</v>
      </c>
      <c r="C40" s="44">
        <v>46098.0</v>
      </c>
      <c r="D40" s="44">
        <v>46098.0</v>
      </c>
      <c r="E40" s="37"/>
      <c r="F40" s="37" t="s">
        <v>176</v>
      </c>
      <c r="G40" s="37" t="s">
        <v>352</v>
      </c>
      <c r="H40" s="223" t="s">
        <v>385</v>
      </c>
      <c r="I40" s="37"/>
      <c r="J40" s="37"/>
      <c r="K40" s="133"/>
      <c r="L40" s="37" t="s">
        <v>291</v>
      </c>
      <c r="M40" s="202">
        <v>1.0</v>
      </c>
      <c r="N40" s="207"/>
      <c r="O40" s="194">
        <v>2315000.0</v>
      </c>
      <c r="P40" s="75"/>
      <c r="Q40" s="75"/>
      <c r="R40" s="59"/>
      <c r="S40" s="47"/>
      <c r="T40" s="63"/>
      <c r="U40" s="47"/>
      <c r="V40" s="47"/>
      <c r="W40" s="47"/>
      <c r="X40" s="194"/>
      <c r="Y40" s="194"/>
      <c r="Z40" s="208"/>
      <c r="AA40" s="47"/>
      <c r="AB40" s="47"/>
      <c r="AC40" s="47"/>
      <c r="AD40" s="47"/>
      <c r="AE40" s="47">
        <f t="shared" ref="AE40:AE41" si="10">O40</f>
        <v>2315000</v>
      </c>
      <c r="AF40" s="52"/>
      <c r="AG40" s="56"/>
      <c r="AH40" s="56"/>
      <c r="AI40" s="56"/>
    </row>
    <row r="41" ht="15.0" customHeight="1">
      <c r="A41" s="219"/>
      <c r="B41" s="177" t="s">
        <v>370</v>
      </c>
      <c r="C41" s="44">
        <v>46098.0</v>
      </c>
      <c r="D41" s="44">
        <v>46098.0</v>
      </c>
      <c r="E41" s="37"/>
      <c r="F41" s="37" t="s">
        <v>176</v>
      </c>
      <c r="G41" s="37" t="s">
        <v>352</v>
      </c>
      <c r="H41" s="223" t="s">
        <v>385</v>
      </c>
      <c r="I41" s="37"/>
      <c r="J41" s="37"/>
      <c r="K41" s="221"/>
      <c r="L41" s="37" t="s">
        <v>189</v>
      </c>
      <c r="M41" s="202">
        <v>1.0</v>
      </c>
      <c r="N41" s="206"/>
      <c r="O41" s="43">
        <v>2500000.0</v>
      </c>
      <c r="P41" s="197"/>
      <c r="Q41" s="197"/>
      <c r="R41" s="59"/>
      <c r="S41" s="47"/>
      <c r="T41" s="60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3">
        <f t="shared" si="10"/>
        <v>2500000</v>
      </c>
      <c r="AF41" s="52"/>
      <c r="AG41" s="56"/>
      <c r="AH41" s="56"/>
      <c r="AI41" s="56"/>
    </row>
    <row r="42" ht="14.25" customHeight="1">
      <c r="A42" s="30"/>
      <c r="B42" s="177" t="s">
        <v>370</v>
      </c>
      <c r="C42" s="44">
        <v>46099.0</v>
      </c>
      <c r="D42" s="44">
        <v>46099.0</v>
      </c>
      <c r="E42" s="37"/>
      <c r="F42" s="37" t="s">
        <v>386</v>
      </c>
      <c r="G42" s="37" t="s">
        <v>352</v>
      </c>
      <c r="H42" s="223" t="s">
        <v>385</v>
      </c>
      <c r="I42" s="37" t="s">
        <v>409</v>
      </c>
      <c r="J42" s="37" t="s">
        <v>410</v>
      </c>
      <c r="K42" s="42" t="s">
        <v>411</v>
      </c>
      <c r="L42" s="37" t="s">
        <v>343</v>
      </c>
      <c r="M42" s="202">
        <v>1.0</v>
      </c>
      <c r="N42" s="200"/>
      <c r="O42" s="214">
        <v>9600000.0</v>
      </c>
      <c r="P42" s="43">
        <v>500000.0</v>
      </c>
      <c r="Q42" s="43">
        <v>500000.0</v>
      </c>
      <c r="R42" s="59"/>
      <c r="S42" s="47"/>
      <c r="T42" s="60"/>
      <c r="U42" s="47">
        <v>800000.0</v>
      </c>
      <c r="V42" s="47">
        <v>400000.0</v>
      </c>
      <c r="W42" s="47"/>
      <c r="X42" s="47"/>
      <c r="Y42" s="47"/>
      <c r="Z42" s="47">
        <v>1713270.0</v>
      </c>
      <c r="AA42" s="47"/>
      <c r="AB42" s="47"/>
      <c r="AC42" s="47"/>
      <c r="AD42" s="47"/>
      <c r="AE42" s="43">
        <f>SUM(O42:Z42)</f>
        <v>13513270</v>
      </c>
      <c r="AF42" s="52"/>
      <c r="AG42" s="56"/>
      <c r="AH42" s="56"/>
      <c r="AI42" s="56"/>
    </row>
    <row r="43" ht="13.5" customHeight="1">
      <c r="A43" s="218" t="s">
        <v>412</v>
      </c>
      <c r="B43" s="177" t="s">
        <v>370</v>
      </c>
      <c r="C43" s="44">
        <v>46100.0</v>
      </c>
      <c r="D43" s="44">
        <v>46100.0</v>
      </c>
      <c r="E43" s="210"/>
      <c r="F43" s="37" t="s">
        <v>176</v>
      </c>
      <c r="G43" s="224" t="s">
        <v>336</v>
      </c>
      <c r="H43" s="223" t="s">
        <v>413</v>
      </c>
      <c r="I43" s="223"/>
      <c r="J43" s="223"/>
      <c r="K43" s="133"/>
      <c r="L43" s="37" t="s">
        <v>291</v>
      </c>
      <c r="M43" s="202">
        <v>1.0</v>
      </c>
      <c r="N43" s="211"/>
      <c r="O43" s="43">
        <v>1500000.0</v>
      </c>
      <c r="P43" s="162"/>
      <c r="Q43" s="162"/>
      <c r="R43" s="42"/>
      <c r="S43" s="63"/>
      <c r="T43" s="63"/>
      <c r="U43" s="47"/>
      <c r="V43" s="47"/>
      <c r="W43" s="47"/>
      <c r="X43" s="194"/>
      <c r="Y43" s="194"/>
      <c r="Z43" s="208"/>
      <c r="AA43" s="63"/>
      <c r="AB43" s="63"/>
      <c r="AC43" s="63"/>
      <c r="AD43" s="63"/>
      <c r="AE43" s="63">
        <f t="shared" ref="AE43:AE44" si="11">O43</f>
        <v>1500000</v>
      </c>
      <c r="AF43" s="52"/>
      <c r="AG43" s="54"/>
      <c r="AH43" s="54"/>
      <c r="AI43" s="54"/>
    </row>
    <row r="44" ht="15.0" customHeight="1">
      <c r="A44" s="219"/>
      <c r="B44" s="177" t="s">
        <v>370</v>
      </c>
      <c r="C44" s="44">
        <v>46100.0</v>
      </c>
      <c r="D44" s="44">
        <v>46100.0</v>
      </c>
      <c r="E44" s="37"/>
      <c r="F44" s="37" t="s">
        <v>176</v>
      </c>
      <c r="G44" s="224" t="s">
        <v>336</v>
      </c>
      <c r="H44" s="223" t="s">
        <v>413</v>
      </c>
      <c r="I44" s="37"/>
      <c r="J44" s="37"/>
      <c r="K44" s="42"/>
      <c r="L44" s="37" t="s">
        <v>189</v>
      </c>
      <c r="M44" s="202">
        <v>1.0</v>
      </c>
      <c r="N44" s="43"/>
      <c r="O44" s="73">
        <v>2500000.0</v>
      </c>
      <c r="P44" s="73"/>
      <c r="Q44" s="73"/>
      <c r="R44" s="59"/>
      <c r="S44" s="47"/>
      <c r="T44" s="60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>
        <f t="shared" si="11"/>
        <v>2500000</v>
      </c>
      <c r="AF44" s="52"/>
      <c r="AG44" s="56"/>
      <c r="AH44" s="56"/>
      <c r="AI44" s="56"/>
    </row>
    <row r="45" ht="15.75" customHeight="1">
      <c r="A45" s="30"/>
      <c r="B45" s="177" t="s">
        <v>370</v>
      </c>
      <c r="C45" s="44">
        <v>46101.0</v>
      </c>
      <c r="D45" s="44">
        <v>46101.0</v>
      </c>
      <c r="E45" s="37"/>
      <c r="F45" s="37" t="s">
        <v>414</v>
      </c>
      <c r="G45" s="224" t="s">
        <v>336</v>
      </c>
      <c r="H45" s="223" t="s">
        <v>413</v>
      </c>
      <c r="I45" s="37" t="s">
        <v>346</v>
      </c>
      <c r="J45" s="37" t="s">
        <v>415</v>
      </c>
      <c r="K45" s="42" t="s">
        <v>416</v>
      </c>
      <c r="L45" s="37" t="s">
        <v>343</v>
      </c>
      <c r="M45" s="202">
        <v>1.0</v>
      </c>
      <c r="N45" s="43"/>
      <c r="O45" s="73">
        <v>5700000.0</v>
      </c>
      <c r="P45" s="43">
        <v>500000.0</v>
      </c>
      <c r="Q45" s="43">
        <v>500000.0</v>
      </c>
      <c r="R45" s="59"/>
      <c r="S45" s="47"/>
      <c r="T45" s="60"/>
      <c r="U45" s="47">
        <v>500000.0</v>
      </c>
      <c r="V45" s="47">
        <v>230000.0</v>
      </c>
      <c r="W45" s="47"/>
      <c r="X45" s="47"/>
      <c r="Y45" s="47"/>
      <c r="Z45" s="47">
        <v>864000.0</v>
      </c>
      <c r="AA45" s="47"/>
      <c r="AB45" s="47"/>
      <c r="AC45" s="47"/>
      <c r="AD45" s="47"/>
      <c r="AE45" s="47">
        <f>SUM(O45:Q45,S45:Z45)</f>
        <v>8294000</v>
      </c>
      <c r="AF45" s="52"/>
      <c r="AG45" s="56"/>
      <c r="AH45" s="56"/>
      <c r="AI45" s="56"/>
    </row>
    <row r="46" ht="15.75" customHeight="1">
      <c r="A46" s="218" t="s">
        <v>417</v>
      </c>
      <c r="B46" s="177" t="s">
        <v>370</v>
      </c>
      <c r="C46" s="44">
        <v>46100.0</v>
      </c>
      <c r="D46" s="44">
        <v>46100.0</v>
      </c>
      <c r="E46" s="37"/>
      <c r="F46" s="37" t="s">
        <v>176</v>
      </c>
      <c r="G46" s="224" t="s">
        <v>336</v>
      </c>
      <c r="H46" s="49" t="s">
        <v>418</v>
      </c>
      <c r="I46" s="126"/>
      <c r="J46" s="126"/>
      <c r="K46" s="42"/>
      <c r="L46" s="37" t="s">
        <v>291</v>
      </c>
      <c r="M46" s="202">
        <v>1.0</v>
      </c>
      <c r="N46" s="43"/>
      <c r="O46" s="43">
        <v>1500000.0</v>
      </c>
      <c r="P46" s="43"/>
      <c r="Q46" s="43"/>
      <c r="R46" s="59"/>
      <c r="S46" s="47"/>
      <c r="T46" s="60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>
        <f t="shared" ref="AE46:AE47" si="12">O46</f>
        <v>1500000</v>
      </c>
      <c r="AF46" s="52"/>
      <c r="AG46" s="56"/>
      <c r="AH46" s="56"/>
      <c r="AI46" s="56"/>
    </row>
    <row r="47" ht="15.0" customHeight="1">
      <c r="A47" s="219"/>
      <c r="B47" s="177" t="s">
        <v>370</v>
      </c>
      <c r="C47" s="44">
        <v>46100.0</v>
      </c>
      <c r="D47" s="44">
        <v>46100.0</v>
      </c>
      <c r="E47" s="37"/>
      <c r="F47" s="37" t="s">
        <v>176</v>
      </c>
      <c r="G47" s="224" t="s">
        <v>336</v>
      </c>
      <c r="H47" s="49" t="s">
        <v>418</v>
      </c>
      <c r="I47" s="37"/>
      <c r="J47" s="37"/>
      <c r="K47" s="42"/>
      <c r="L47" s="37" t="s">
        <v>189</v>
      </c>
      <c r="M47" s="202">
        <v>1.0</v>
      </c>
      <c r="N47" s="43"/>
      <c r="O47" s="73">
        <v>2500000.0</v>
      </c>
      <c r="P47" s="146"/>
      <c r="Q47" s="146"/>
      <c r="R47" s="59"/>
      <c r="S47" s="47"/>
      <c r="T47" s="60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>
        <f t="shared" si="12"/>
        <v>2500000</v>
      </c>
      <c r="AF47" s="52"/>
      <c r="AG47" s="56"/>
      <c r="AH47" s="56"/>
      <c r="AI47" s="56"/>
    </row>
    <row r="48" ht="15.0" customHeight="1">
      <c r="A48" s="30"/>
      <c r="B48" s="177" t="s">
        <v>370</v>
      </c>
      <c r="C48" s="44">
        <v>46101.0</v>
      </c>
      <c r="D48" s="44">
        <v>46101.0</v>
      </c>
      <c r="E48" s="37"/>
      <c r="F48" s="37" t="s">
        <v>414</v>
      </c>
      <c r="G48" s="224" t="s">
        <v>336</v>
      </c>
      <c r="H48" s="49" t="s">
        <v>418</v>
      </c>
      <c r="I48" s="37" t="s">
        <v>419</v>
      </c>
      <c r="J48" s="37" t="s">
        <v>420</v>
      </c>
      <c r="K48" s="42" t="s">
        <v>270</v>
      </c>
      <c r="L48" s="37" t="s">
        <v>343</v>
      </c>
      <c r="M48" s="202">
        <v>1.0</v>
      </c>
      <c r="N48" s="43"/>
      <c r="O48" s="77">
        <v>5700000.0</v>
      </c>
      <c r="P48" s="43">
        <v>500000.0</v>
      </c>
      <c r="Q48" s="43">
        <v>500000.0</v>
      </c>
      <c r="R48" s="59"/>
      <c r="S48" s="47"/>
      <c r="T48" s="60"/>
      <c r="U48" s="47">
        <v>500000.0</v>
      </c>
      <c r="V48" s="47">
        <v>230000.0</v>
      </c>
      <c r="W48" s="47"/>
      <c r="X48" s="47"/>
      <c r="Y48" s="47"/>
      <c r="Z48" s="47">
        <v>1777092.0</v>
      </c>
      <c r="AA48" s="47"/>
      <c r="AB48" s="47"/>
      <c r="AC48" s="47"/>
      <c r="AD48" s="47"/>
      <c r="AE48" s="225">
        <f>SUM(O48:Z48)</f>
        <v>9207092</v>
      </c>
      <c r="AF48" s="52"/>
      <c r="AG48" s="56"/>
      <c r="AH48" s="56"/>
      <c r="AI48" s="56"/>
    </row>
    <row r="49" ht="15.0" customHeight="1">
      <c r="A49" s="218" t="s">
        <v>421</v>
      </c>
      <c r="B49" s="177" t="s">
        <v>370</v>
      </c>
      <c r="C49" s="44">
        <v>46101.0</v>
      </c>
      <c r="D49" s="44">
        <v>46101.0</v>
      </c>
      <c r="E49" s="37"/>
      <c r="F49" s="37" t="s">
        <v>176</v>
      </c>
      <c r="G49" s="224" t="s">
        <v>336</v>
      </c>
      <c r="H49" s="49" t="s">
        <v>422</v>
      </c>
      <c r="I49" s="37"/>
      <c r="J49" s="37"/>
      <c r="K49" s="42"/>
      <c r="L49" s="37" t="s">
        <v>291</v>
      </c>
      <c r="M49" s="202">
        <v>1.0</v>
      </c>
      <c r="N49" s="43"/>
      <c r="O49" s="194">
        <v>1500000.0</v>
      </c>
      <c r="P49" s="146"/>
      <c r="Q49" s="146"/>
      <c r="R49" s="59"/>
      <c r="S49" s="47"/>
      <c r="T49" s="60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>
        <f t="shared" ref="AE49:AE50" si="13">O49</f>
        <v>1500000</v>
      </c>
      <c r="AF49" s="52"/>
      <c r="AG49" s="56"/>
      <c r="AH49" s="56"/>
      <c r="AI49" s="56"/>
    </row>
    <row r="50" ht="14.25" customHeight="1">
      <c r="A50" s="219"/>
      <c r="B50" s="177" t="s">
        <v>370</v>
      </c>
      <c r="C50" s="44">
        <v>46101.0</v>
      </c>
      <c r="D50" s="44">
        <v>46101.0</v>
      </c>
      <c r="E50" s="37"/>
      <c r="F50" s="37" t="s">
        <v>176</v>
      </c>
      <c r="G50" s="224" t="s">
        <v>336</v>
      </c>
      <c r="H50" s="49" t="s">
        <v>422</v>
      </c>
      <c r="I50" s="37"/>
      <c r="J50" s="37"/>
      <c r="K50" s="42"/>
      <c r="L50" s="37" t="s">
        <v>189</v>
      </c>
      <c r="M50" s="202">
        <v>1.0</v>
      </c>
      <c r="N50" s="43"/>
      <c r="O50" s="43">
        <v>2500000.0</v>
      </c>
      <c r="P50" s="146"/>
      <c r="Q50" s="146"/>
      <c r="R50" s="59"/>
      <c r="S50" s="47"/>
      <c r="T50" s="60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>
        <f t="shared" si="13"/>
        <v>2500000</v>
      </c>
      <c r="AF50" s="52"/>
    </row>
    <row r="51" ht="17.25" customHeight="1">
      <c r="A51" s="30"/>
      <c r="B51" s="177" t="s">
        <v>370</v>
      </c>
      <c r="C51" s="44">
        <v>46102.0</v>
      </c>
      <c r="D51" s="44">
        <v>46102.0</v>
      </c>
      <c r="E51" s="37"/>
      <c r="F51" s="37" t="s">
        <v>414</v>
      </c>
      <c r="G51" s="224" t="s">
        <v>336</v>
      </c>
      <c r="H51" s="49" t="s">
        <v>422</v>
      </c>
      <c r="I51" s="37" t="s">
        <v>423</v>
      </c>
      <c r="J51" s="37" t="s">
        <v>424</v>
      </c>
      <c r="K51" s="42" t="s">
        <v>238</v>
      </c>
      <c r="L51" s="37" t="s">
        <v>343</v>
      </c>
      <c r="M51" s="202">
        <v>1.0</v>
      </c>
      <c r="N51" s="43"/>
      <c r="O51" s="77">
        <v>4600000.0</v>
      </c>
      <c r="P51" s="43">
        <v>500000.0</v>
      </c>
      <c r="Q51" s="43">
        <v>500000.0</v>
      </c>
      <c r="R51" s="59"/>
      <c r="S51" s="47"/>
      <c r="T51" s="60"/>
      <c r="U51" s="47">
        <v>300000.0</v>
      </c>
      <c r="V51" s="47">
        <v>150000.0</v>
      </c>
      <c r="W51" s="47"/>
      <c r="X51" s="47"/>
      <c r="Y51" s="47"/>
      <c r="Z51" s="47">
        <f>412364+270000</f>
        <v>682364</v>
      </c>
      <c r="AA51" s="47"/>
      <c r="AB51" s="47"/>
      <c r="AC51" s="47"/>
      <c r="AD51" s="47"/>
      <c r="AE51" s="47">
        <f>SUM(O51:Z51)</f>
        <v>6732364</v>
      </c>
      <c r="AF51" s="52"/>
    </row>
    <row r="52" ht="17.25" customHeight="1">
      <c r="A52" s="218" t="s">
        <v>425</v>
      </c>
      <c r="B52" s="177" t="s">
        <v>370</v>
      </c>
      <c r="C52" s="44">
        <v>46103.0</v>
      </c>
      <c r="D52" s="44">
        <v>46103.0</v>
      </c>
      <c r="E52" s="37"/>
      <c r="F52" s="37" t="s">
        <v>176</v>
      </c>
      <c r="G52" s="37" t="s">
        <v>352</v>
      </c>
      <c r="H52" s="49" t="s">
        <v>426</v>
      </c>
      <c r="I52" s="37"/>
      <c r="J52" s="37"/>
      <c r="K52" s="42"/>
      <c r="L52" s="37" t="s">
        <v>291</v>
      </c>
      <c r="M52" s="202">
        <v>1.0</v>
      </c>
      <c r="N52" s="43"/>
      <c r="O52" s="194">
        <v>2315000.0</v>
      </c>
      <c r="P52" s="146"/>
      <c r="Q52" s="146"/>
      <c r="R52" s="59"/>
      <c r="S52" s="47"/>
      <c r="T52" s="60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>
        <f t="shared" ref="AE52:AE53" si="14">O52</f>
        <v>2315000</v>
      </c>
      <c r="AF52" s="52"/>
    </row>
    <row r="53" ht="17.25" customHeight="1">
      <c r="A53" s="219"/>
      <c r="B53" s="177" t="s">
        <v>370</v>
      </c>
      <c r="C53" s="44">
        <v>46103.0</v>
      </c>
      <c r="D53" s="44">
        <v>46103.0</v>
      </c>
      <c r="E53" s="37"/>
      <c r="F53" s="37" t="s">
        <v>176</v>
      </c>
      <c r="G53" s="37" t="s">
        <v>352</v>
      </c>
      <c r="H53" s="49" t="s">
        <v>426</v>
      </c>
      <c r="I53" s="37"/>
      <c r="J53" s="37"/>
      <c r="K53" s="42"/>
      <c r="L53" s="37" t="s">
        <v>189</v>
      </c>
      <c r="M53" s="202">
        <v>1.0</v>
      </c>
      <c r="N53" s="43"/>
      <c r="O53" s="43">
        <v>2500000.0</v>
      </c>
      <c r="P53" s="146"/>
      <c r="Q53" s="146"/>
      <c r="R53" s="59"/>
      <c r="S53" s="47"/>
      <c r="T53" s="60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>
        <f t="shared" si="14"/>
        <v>2500000</v>
      </c>
      <c r="AF53" s="52"/>
    </row>
    <row r="54" ht="14.25" customHeight="1">
      <c r="A54" s="30"/>
      <c r="B54" s="177" t="s">
        <v>370</v>
      </c>
      <c r="C54" s="35">
        <v>46104.0</v>
      </c>
      <c r="D54" s="35">
        <v>46104.0</v>
      </c>
      <c r="E54" s="37"/>
      <c r="F54" s="37" t="s">
        <v>386</v>
      </c>
      <c r="G54" s="37" t="s">
        <v>352</v>
      </c>
      <c r="H54" s="49" t="s">
        <v>426</v>
      </c>
      <c r="I54" s="37" t="s">
        <v>427</v>
      </c>
      <c r="J54" s="37" t="s">
        <v>428</v>
      </c>
      <c r="K54" s="42" t="s">
        <v>379</v>
      </c>
      <c r="L54" s="37" t="s">
        <v>343</v>
      </c>
      <c r="M54" s="202">
        <v>1.0</v>
      </c>
      <c r="N54" s="43"/>
      <c r="O54" s="214">
        <v>9600000.0</v>
      </c>
      <c r="P54" s="43">
        <v>500000.0</v>
      </c>
      <c r="Q54" s="43">
        <v>500000.0</v>
      </c>
      <c r="R54" s="59">
        <v>2.0</v>
      </c>
      <c r="S54" s="47">
        <v>2000000.0</v>
      </c>
      <c r="T54" s="60"/>
      <c r="U54" s="47">
        <v>800000.0</v>
      </c>
      <c r="V54" s="47">
        <v>400000.0</v>
      </c>
      <c r="W54" s="47"/>
      <c r="X54" s="47"/>
      <c r="Y54" s="47"/>
      <c r="Z54" s="47">
        <f>1369634+1669091</f>
        <v>3038725</v>
      </c>
      <c r="AA54" s="47"/>
      <c r="AB54" s="47"/>
      <c r="AC54" s="47"/>
      <c r="AD54" s="47"/>
      <c r="AE54" s="47">
        <f>SUM(O54:Q54,S54:Z54)</f>
        <v>16838725</v>
      </c>
      <c r="AF54" s="52"/>
    </row>
    <row r="55" ht="14.25" customHeight="1">
      <c r="A55" s="218" t="s">
        <v>429</v>
      </c>
      <c r="B55" s="177" t="s">
        <v>370</v>
      </c>
      <c r="C55" s="35">
        <v>46104.0</v>
      </c>
      <c r="D55" s="35">
        <v>46104.0</v>
      </c>
      <c r="E55" s="132"/>
      <c r="F55" s="37" t="s">
        <v>176</v>
      </c>
      <c r="G55" s="224" t="s">
        <v>336</v>
      </c>
      <c r="H55" s="199" t="s">
        <v>430</v>
      </c>
      <c r="I55" s="226"/>
      <c r="J55" s="226"/>
      <c r="K55" s="132"/>
      <c r="L55" s="37" t="s">
        <v>291</v>
      </c>
      <c r="M55" s="202">
        <v>1.0</v>
      </c>
      <c r="N55" s="227"/>
      <c r="O55" s="43">
        <v>1500000.0</v>
      </c>
      <c r="P55" s="227"/>
      <c r="Q55" s="227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43">
        <v>1500000.0</v>
      </c>
      <c r="AF55" s="229"/>
    </row>
    <row r="56" ht="14.25" customHeight="1">
      <c r="A56" s="219"/>
      <c r="B56" s="177" t="s">
        <v>370</v>
      </c>
      <c r="C56" s="35">
        <v>46104.0</v>
      </c>
      <c r="D56" s="35">
        <v>46104.0</v>
      </c>
      <c r="E56" s="132"/>
      <c r="F56" s="37" t="s">
        <v>176</v>
      </c>
      <c r="G56" s="224" t="s">
        <v>336</v>
      </c>
      <c r="H56" s="199" t="s">
        <v>430</v>
      </c>
      <c r="I56" s="226"/>
      <c r="J56" s="226"/>
      <c r="K56" s="132"/>
      <c r="L56" s="37" t="s">
        <v>189</v>
      </c>
      <c r="M56" s="202">
        <v>1.0</v>
      </c>
      <c r="N56" s="227"/>
      <c r="O56" s="73">
        <v>2500000.0</v>
      </c>
      <c r="P56" s="227"/>
      <c r="Q56" s="227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73">
        <v>2500000.0</v>
      </c>
      <c r="AF56" s="229"/>
    </row>
    <row r="57" ht="14.25" customHeight="1">
      <c r="A57" s="30"/>
      <c r="B57" s="177" t="s">
        <v>370</v>
      </c>
      <c r="C57" s="201">
        <v>46105.0</v>
      </c>
      <c r="D57" s="201">
        <v>46105.0</v>
      </c>
      <c r="E57" s="133"/>
      <c r="F57" s="123" t="s">
        <v>414</v>
      </c>
      <c r="G57" s="230" t="s">
        <v>336</v>
      </c>
      <c r="H57" s="199" t="s">
        <v>430</v>
      </c>
      <c r="I57" s="133" t="s">
        <v>431</v>
      </c>
      <c r="J57" s="231" t="s">
        <v>432</v>
      </c>
      <c r="K57" s="133" t="s">
        <v>270</v>
      </c>
      <c r="L57" s="123" t="s">
        <v>343</v>
      </c>
      <c r="M57" s="202">
        <v>1.0</v>
      </c>
      <c r="N57" s="232"/>
      <c r="O57" s="77">
        <v>5700000.0</v>
      </c>
      <c r="P57" s="43">
        <v>500000.0</v>
      </c>
      <c r="Q57" s="43">
        <v>500000.0</v>
      </c>
      <c r="R57" s="233"/>
      <c r="S57" s="233"/>
      <c r="T57" s="233"/>
      <c r="U57" s="47">
        <v>500000.0</v>
      </c>
      <c r="V57" s="47">
        <v>230000.0</v>
      </c>
      <c r="W57" s="233"/>
      <c r="X57" s="233"/>
      <c r="Y57" s="233"/>
      <c r="Z57" s="45">
        <v>1178180.0</v>
      </c>
      <c r="AA57" s="45"/>
      <c r="AB57" s="45"/>
      <c r="AC57" s="45"/>
      <c r="AD57" s="45"/>
      <c r="AE57" s="45">
        <f>SUM(O57:Z57)</f>
        <v>8608180</v>
      </c>
      <c r="AF57" s="158"/>
    </row>
    <row r="58" ht="14.25" customHeight="1">
      <c r="A58" s="218" t="s">
        <v>433</v>
      </c>
      <c r="B58" s="177" t="s">
        <v>370</v>
      </c>
      <c r="C58" s="201">
        <v>46106.0</v>
      </c>
      <c r="D58" s="201">
        <v>46106.0</v>
      </c>
      <c r="E58" s="133"/>
      <c r="F58" s="37" t="s">
        <v>176</v>
      </c>
      <c r="G58" s="133" t="s">
        <v>434</v>
      </c>
      <c r="H58" s="199" t="s">
        <v>435</v>
      </c>
      <c r="I58" s="133"/>
      <c r="J58" s="133"/>
      <c r="K58" s="133"/>
      <c r="L58" s="37" t="s">
        <v>291</v>
      </c>
      <c r="M58" s="202">
        <v>1.0</v>
      </c>
      <c r="N58" s="232"/>
      <c r="O58" s="45">
        <v>2315000.0</v>
      </c>
      <c r="P58" s="234"/>
      <c r="Q58" s="234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>
        <f t="shared" ref="AE58:AE59" si="15">O58</f>
        <v>2315000</v>
      </c>
      <c r="AF58" s="158"/>
    </row>
    <row r="59" ht="14.25" customHeight="1">
      <c r="A59" s="219"/>
      <c r="B59" s="177" t="s">
        <v>370</v>
      </c>
      <c r="C59" s="201">
        <v>46106.0</v>
      </c>
      <c r="D59" s="201">
        <v>46106.0</v>
      </c>
      <c r="E59" s="133"/>
      <c r="F59" s="37" t="s">
        <v>176</v>
      </c>
      <c r="G59" s="133" t="s">
        <v>434</v>
      </c>
      <c r="H59" s="199" t="s">
        <v>435</v>
      </c>
      <c r="I59" s="133"/>
      <c r="J59" s="133"/>
      <c r="K59" s="133"/>
      <c r="L59" s="37" t="s">
        <v>189</v>
      </c>
      <c r="M59" s="202">
        <v>1.0</v>
      </c>
      <c r="N59" s="232"/>
      <c r="O59" s="73">
        <v>2500000.0</v>
      </c>
      <c r="P59" s="234"/>
      <c r="Q59" s="234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>
        <f t="shared" si="15"/>
        <v>2500000</v>
      </c>
      <c r="AF59" s="158"/>
    </row>
    <row r="60" ht="14.25" customHeight="1">
      <c r="A60" s="30"/>
      <c r="B60" s="177" t="s">
        <v>370</v>
      </c>
      <c r="C60" s="201">
        <v>46108.0</v>
      </c>
      <c r="D60" s="201">
        <v>46108.0</v>
      </c>
      <c r="E60" s="133"/>
      <c r="F60" s="133" t="s">
        <v>276</v>
      </c>
      <c r="G60" s="133" t="s">
        <v>434</v>
      </c>
      <c r="H60" s="199" t="s">
        <v>435</v>
      </c>
      <c r="I60" s="133" t="s">
        <v>436</v>
      </c>
      <c r="J60" s="133" t="s">
        <v>437</v>
      </c>
      <c r="K60" s="133" t="s">
        <v>188</v>
      </c>
      <c r="L60" s="133" t="s">
        <v>438</v>
      </c>
      <c r="M60" s="202">
        <v>1.0</v>
      </c>
      <c r="N60" s="232"/>
      <c r="O60" s="45">
        <v>3.75E7</v>
      </c>
      <c r="P60" s="234"/>
      <c r="Q60" s="234"/>
      <c r="R60" s="45"/>
      <c r="S60" s="45"/>
      <c r="T60" s="45"/>
      <c r="U60" s="47">
        <v>800000.0</v>
      </c>
      <c r="V60" s="47">
        <v>400000.0</v>
      </c>
      <c r="W60" s="45"/>
      <c r="X60" s="45">
        <v>3000000.0</v>
      </c>
      <c r="Y60" s="45"/>
      <c r="Z60" s="45">
        <v>4320000.0</v>
      </c>
      <c r="AA60" s="45"/>
      <c r="AB60" s="45"/>
      <c r="AC60" s="45"/>
      <c r="AD60" s="45"/>
      <c r="AE60" s="45">
        <f>SUM(O60:Z60)</f>
        <v>46020000</v>
      </c>
      <c r="AF60" s="158"/>
    </row>
    <row r="61" ht="14.25" customHeight="1">
      <c r="A61" s="218" t="s">
        <v>439</v>
      </c>
      <c r="B61" s="177" t="s">
        <v>370</v>
      </c>
      <c r="C61" s="201">
        <v>46106.0</v>
      </c>
      <c r="D61" s="201">
        <v>46106.0</v>
      </c>
      <c r="E61" s="133"/>
      <c r="F61" s="37" t="s">
        <v>176</v>
      </c>
      <c r="G61" s="133" t="s">
        <v>440</v>
      </c>
      <c r="H61" s="199" t="s">
        <v>441</v>
      </c>
      <c r="I61" s="133"/>
      <c r="J61" s="133"/>
      <c r="K61" s="133"/>
      <c r="L61" s="37" t="s">
        <v>291</v>
      </c>
      <c r="M61" s="202">
        <v>1.0</v>
      </c>
      <c r="N61" s="232"/>
      <c r="O61" s="45">
        <v>2315000.0</v>
      </c>
      <c r="P61" s="234"/>
      <c r="Q61" s="234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>
        <f t="shared" ref="AE61:AE62" si="16">O61</f>
        <v>2315000</v>
      </c>
      <c r="AF61" s="158"/>
    </row>
    <row r="62" ht="14.25" customHeight="1">
      <c r="A62" s="219"/>
      <c r="B62" s="177" t="s">
        <v>370</v>
      </c>
      <c r="C62" s="201">
        <v>46106.0</v>
      </c>
      <c r="D62" s="201">
        <v>46106.0</v>
      </c>
      <c r="E62" s="133"/>
      <c r="F62" s="37" t="s">
        <v>176</v>
      </c>
      <c r="G62" s="133" t="s">
        <v>440</v>
      </c>
      <c r="H62" s="199" t="s">
        <v>441</v>
      </c>
      <c r="I62" s="133"/>
      <c r="J62" s="133"/>
      <c r="K62" s="133"/>
      <c r="L62" s="37" t="s">
        <v>189</v>
      </c>
      <c r="M62" s="202">
        <v>1.0</v>
      </c>
      <c r="N62" s="232"/>
      <c r="O62" s="73">
        <v>2500000.0</v>
      </c>
      <c r="P62" s="234"/>
      <c r="Q62" s="234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>
        <f t="shared" si="16"/>
        <v>2500000</v>
      </c>
      <c r="AF62" s="158"/>
    </row>
    <row r="63" ht="14.25" customHeight="1">
      <c r="A63" s="30"/>
      <c r="B63" s="177" t="s">
        <v>370</v>
      </c>
      <c r="C63" s="201">
        <v>46108.0</v>
      </c>
      <c r="D63" s="201">
        <v>46108.0</v>
      </c>
      <c r="E63" s="133"/>
      <c r="F63" s="133" t="s">
        <v>276</v>
      </c>
      <c r="G63" s="133" t="s">
        <v>440</v>
      </c>
      <c r="H63" s="199" t="s">
        <v>441</v>
      </c>
      <c r="I63" s="133" t="s">
        <v>442</v>
      </c>
      <c r="J63" s="133" t="s">
        <v>443</v>
      </c>
      <c r="K63" s="133" t="s">
        <v>188</v>
      </c>
      <c r="L63" s="133" t="s">
        <v>438</v>
      </c>
      <c r="M63" s="202">
        <v>1.0</v>
      </c>
      <c r="N63" s="232"/>
      <c r="O63" s="45">
        <v>3.75E7</v>
      </c>
      <c r="P63" s="234"/>
      <c r="Q63" s="234"/>
      <c r="R63" s="45">
        <v>1.0</v>
      </c>
      <c r="S63" s="45">
        <v>3000000.0</v>
      </c>
      <c r="T63" s="45"/>
      <c r="U63" s="47">
        <v>800000.0</v>
      </c>
      <c r="V63" s="47">
        <v>400000.0</v>
      </c>
      <c r="W63" s="45"/>
      <c r="X63" s="45">
        <v>3000000.0</v>
      </c>
      <c r="Y63" s="45"/>
      <c r="Z63" s="45">
        <v>4320000.0</v>
      </c>
      <c r="AA63" s="45"/>
      <c r="AB63" s="45"/>
      <c r="AC63" s="45"/>
      <c r="AD63" s="45"/>
      <c r="AE63" s="45">
        <f>SUM(O63,S63:Z63)</f>
        <v>49020000</v>
      </c>
      <c r="AF63" s="158"/>
    </row>
    <row r="64" ht="14.25" customHeight="1">
      <c r="A64" s="218" t="s">
        <v>444</v>
      </c>
      <c r="B64" s="177" t="s">
        <v>370</v>
      </c>
      <c r="C64" s="201">
        <v>46108.0</v>
      </c>
      <c r="D64" s="201">
        <v>46108.0</v>
      </c>
      <c r="E64" s="133"/>
      <c r="F64" s="37" t="s">
        <v>176</v>
      </c>
      <c r="G64" s="133" t="s">
        <v>336</v>
      </c>
      <c r="H64" s="199" t="s">
        <v>445</v>
      </c>
      <c r="I64" s="133"/>
      <c r="J64" s="133"/>
      <c r="K64" s="133"/>
      <c r="L64" s="37" t="s">
        <v>291</v>
      </c>
      <c r="M64" s="202">
        <v>1.0</v>
      </c>
      <c r="N64" s="232"/>
      <c r="O64" s="43">
        <v>1500000.0</v>
      </c>
      <c r="P64" s="232"/>
      <c r="Q64" s="232"/>
      <c r="R64" s="233"/>
      <c r="S64" s="233"/>
      <c r="T64" s="233"/>
      <c r="U64" s="233"/>
      <c r="V64" s="233"/>
      <c r="W64" s="233"/>
      <c r="X64" s="233"/>
      <c r="Y64" s="233"/>
      <c r="Z64" s="45"/>
      <c r="AA64" s="45"/>
      <c r="AB64" s="45"/>
      <c r="AC64" s="45"/>
      <c r="AD64" s="45"/>
      <c r="AE64" s="45">
        <f t="shared" ref="AE64:AE65" si="17">O64</f>
        <v>1500000</v>
      </c>
      <c r="AF64" s="158"/>
    </row>
    <row r="65" ht="14.25" customHeight="1">
      <c r="A65" s="219"/>
      <c r="B65" s="177" t="s">
        <v>370</v>
      </c>
      <c r="C65" s="201">
        <v>46108.0</v>
      </c>
      <c r="D65" s="201">
        <v>46108.0</v>
      </c>
      <c r="E65" s="133"/>
      <c r="F65" s="37" t="s">
        <v>176</v>
      </c>
      <c r="G65" s="133" t="s">
        <v>336</v>
      </c>
      <c r="H65" s="199" t="s">
        <v>445</v>
      </c>
      <c r="I65" s="133"/>
      <c r="J65" s="133"/>
      <c r="K65" s="133"/>
      <c r="L65" s="37" t="s">
        <v>189</v>
      </c>
      <c r="M65" s="202">
        <v>1.0</v>
      </c>
      <c r="N65" s="232"/>
      <c r="O65" s="73">
        <v>2500000.0</v>
      </c>
      <c r="P65" s="232"/>
      <c r="Q65" s="232"/>
      <c r="R65" s="233"/>
      <c r="S65" s="233"/>
      <c r="T65" s="233"/>
      <c r="U65" s="233"/>
      <c r="V65" s="233"/>
      <c r="W65" s="233"/>
      <c r="X65" s="233"/>
      <c r="Y65" s="233"/>
      <c r="Z65" s="45"/>
      <c r="AA65" s="45"/>
      <c r="AB65" s="45"/>
      <c r="AC65" s="45"/>
      <c r="AD65" s="45"/>
      <c r="AE65" s="45">
        <f t="shared" si="17"/>
        <v>2500000</v>
      </c>
      <c r="AF65" s="158"/>
    </row>
    <row r="66" ht="14.25" customHeight="1">
      <c r="A66" s="30"/>
      <c r="B66" s="177" t="s">
        <v>370</v>
      </c>
      <c r="C66" s="201">
        <v>46109.0</v>
      </c>
      <c r="D66" s="201">
        <v>46110.0</v>
      </c>
      <c r="E66" s="133"/>
      <c r="F66" s="123" t="s">
        <v>414</v>
      </c>
      <c r="G66" s="133" t="s">
        <v>336</v>
      </c>
      <c r="H66" s="199" t="s">
        <v>445</v>
      </c>
      <c r="I66" s="133" t="s">
        <v>446</v>
      </c>
      <c r="J66" s="133" t="s">
        <v>447</v>
      </c>
      <c r="K66" s="133" t="s">
        <v>270</v>
      </c>
      <c r="L66" s="123" t="s">
        <v>343</v>
      </c>
      <c r="M66" s="202">
        <v>1.0</v>
      </c>
      <c r="N66" s="232"/>
      <c r="O66" s="77">
        <v>5700000.0</v>
      </c>
      <c r="P66" s="43">
        <v>500000.0</v>
      </c>
      <c r="Q66" s="43">
        <v>500000.0</v>
      </c>
      <c r="R66" s="233"/>
      <c r="S66" s="233"/>
      <c r="T66" s="233"/>
      <c r="U66" s="47">
        <v>500000.0</v>
      </c>
      <c r="V66" s="47">
        <v>230000.0</v>
      </c>
      <c r="W66" s="233"/>
      <c r="X66" s="233"/>
      <c r="Y66" s="233"/>
      <c r="Z66" s="45">
        <v>864000.0</v>
      </c>
      <c r="AA66" s="45"/>
      <c r="AB66" s="45"/>
      <c r="AC66" s="45"/>
      <c r="AD66" s="45"/>
      <c r="AE66" s="45">
        <f>SUM(O66:Z66)</f>
        <v>8294000</v>
      </c>
      <c r="AF66" s="158"/>
    </row>
    <row r="67" ht="14.25" customHeight="1">
      <c r="A67" s="218" t="s">
        <v>448</v>
      </c>
      <c r="B67" s="177" t="s">
        <v>370</v>
      </c>
      <c r="C67" s="201">
        <v>46108.0</v>
      </c>
      <c r="D67" s="201">
        <v>46108.0</v>
      </c>
      <c r="E67" s="133"/>
      <c r="F67" s="37" t="s">
        <v>176</v>
      </c>
      <c r="G67" s="37" t="s">
        <v>352</v>
      </c>
      <c r="H67" s="133" t="s">
        <v>449</v>
      </c>
      <c r="I67" s="133"/>
      <c r="J67" s="133"/>
      <c r="K67" s="133"/>
      <c r="L67" s="37" t="s">
        <v>291</v>
      </c>
      <c r="M67" s="202">
        <v>1.0</v>
      </c>
      <c r="N67" s="232"/>
      <c r="O67" s="194">
        <v>2315000.0</v>
      </c>
      <c r="P67" s="232"/>
      <c r="Q67" s="233"/>
      <c r="R67" s="233"/>
      <c r="S67" s="233"/>
      <c r="T67" s="233"/>
      <c r="U67" s="233"/>
      <c r="V67" s="233"/>
      <c r="W67" s="233"/>
      <c r="X67" s="233"/>
      <c r="Y67" s="233"/>
      <c r="Z67" s="45"/>
      <c r="AA67" s="45"/>
      <c r="AB67" s="45"/>
      <c r="AC67" s="45"/>
      <c r="AD67" s="45"/>
      <c r="AE67" s="235">
        <f t="shared" ref="AE67:AE68" si="18">O67</f>
        <v>2315000</v>
      </c>
      <c r="AF67" s="158"/>
    </row>
    <row r="68" ht="14.25" customHeight="1">
      <c r="A68" s="219"/>
      <c r="B68" s="177" t="s">
        <v>370</v>
      </c>
      <c r="C68" s="201">
        <v>46108.0</v>
      </c>
      <c r="D68" s="201">
        <v>46108.0</v>
      </c>
      <c r="E68" s="133"/>
      <c r="F68" s="37" t="s">
        <v>176</v>
      </c>
      <c r="G68" s="37" t="s">
        <v>352</v>
      </c>
      <c r="H68" s="133" t="s">
        <v>449</v>
      </c>
      <c r="I68" s="133"/>
      <c r="J68" s="133"/>
      <c r="K68" s="133"/>
      <c r="L68" s="37" t="s">
        <v>189</v>
      </c>
      <c r="M68" s="202">
        <v>1.0</v>
      </c>
      <c r="N68" s="232"/>
      <c r="O68" s="43">
        <v>2500000.0</v>
      </c>
      <c r="P68" s="232"/>
      <c r="Q68" s="233"/>
      <c r="R68" s="233"/>
      <c r="S68" s="233"/>
      <c r="T68" s="233"/>
      <c r="U68" s="233"/>
      <c r="V68" s="233"/>
      <c r="W68" s="233"/>
      <c r="X68" s="233"/>
      <c r="Y68" s="233"/>
      <c r="Z68" s="45"/>
      <c r="AA68" s="45"/>
      <c r="AB68" s="45"/>
      <c r="AC68" s="45"/>
      <c r="AD68" s="45"/>
      <c r="AE68" s="235">
        <f t="shared" si="18"/>
        <v>2500000</v>
      </c>
      <c r="AF68" s="158"/>
    </row>
    <row r="69" ht="14.25" customHeight="1">
      <c r="A69" s="30"/>
      <c r="B69" s="177" t="s">
        <v>370</v>
      </c>
      <c r="C69" s="201">
        <v>46109.0</v>
      </c>
      <c r="D69" s="201">
        <v>46110.0</v>
      </c>
      <c r="E69" s="133"/>
      <c r="F69" s="37" t="s">
        <v>386</v>
      </c>
      <c r="G69" s="37" t="s">
        <v>352</v>
      </c>
      <c r="H69" s="133" t="s">
        <v>449</v>
      </c>
      <c r="I69" s="133" t="s">
        <v>391</v>
      </c>
      <c r="J69" s="133" t="s">
        <v>450</v>
      </c>
      <c r="K69" s="133" t="s">
        <v>379</v>
      </c>
      <c r="L69" s="123" t="s">
        <v>343</v>
      </c>
      <c r="M69" s="202">
        <v>1.0</v>
      </c>
      <c r="N69" s="232"/>
      <c r="O69" s="214">
        <v>9600000.0</v>
      </c>
      <c r="P69" s="43">
        <v>500000.0</v>
      </c>
      <c r="Q69" s="43">
        <v>500000.0</v>
      </c>
      <c r="R69" s="233"/>
      <c r="S69" s="233"/>
      <c r="T69" s="233"/>
      <c r="U69" s="47">
        <v>800000.0</v>
      </c>
      <c r="V69" s="47">
        <v>400000.0</v>
      </c>
      <c r="W69" s="233"/>
      <c r="X69" s="233"/>
      <c r="Y69" s="233"/>
      <c r="Z69" s="45">
        <v>1605270.0</v>
      </c>
      <c r="AA69" s="45"/>
      <c r="AB69" s="45"/>
      <c r="AC69" s="45"/>
      <c r="AD69" s="45"/>
      <c r="AE69" s="235">
        <f>SUM(O69:Z69)</f>
        <v>13405270</v>
      </c>
      <c r="AF69" s="158"/>
    </row>
    <row r="70" ht="14.25" customHeight="1">
      <c r="A70" s="218" t="s">
        <v>451</v>
      </c>
      <c r="B70" s="177" t="s">
        <v>370</v>
      </c>
      <c r="C70" s="201">
        <v>46110.0</v>
      </c>
      <c r="D70" s="201">
        <v>46110.0</v>
      </c>
      <c r="E70" s="133"/>
      <c r="F70" s="37" t="s">
        <v>176</v>
      </c>
      <c r="G70" s="37" t="s">
        <v>352</v>
      </c>
      <c r="H70" s="133" t="s">
        <v>452</v>
      </c>
      <c r="I70" s="133"/>
      <c r="J70" s="133"/>
      <c r="K70" s="133"/>
      <c r="L70" s="37" t="s">
        <v>291</v>
      </c>
      <c r="M70" s="202">
        <v>1.0</v>
      </c>
      <c r="N70" s="232"/>
      <c r="O70" s="43">
        <v>1500000.0</v>
      </c>
      <c r="P70" s="232"/>
      <c r="Q70" s="233"/>
      <c r="R70" s="233"/>
      <c r="S70" s="233"/>
      <c r="T70" s="233"/>
      <c r="U70" s="233"/>
      <c r="V70" s="233"/>
      <c r="W70" s="233"/>
      <c r="X70" s="233"/>
      <c r="Y70" s="233"/>
      <c r="Z70" s="45"/>
      <c r="AA70" s="45"/>
      <c r="AB70" s="45"/>
      <c r="AC70" s="45"/>
      <c r="AD70" s="45"/>
      <c r="AE70" s="235">
        <f t="shared" ref="AE70:AE71" si="19">O70</f>
        <v>1500000</v>
      </c>
      <c r="AF70" s="158"/>
    </row>
    <row r="71" ht="14.25" customHeight="1">
      <c r="A71" s="219"/>
      <c r="B71" s="177" t="s">
        <v>370</v>
      </c>
      <c r="C71" s="201">
        <v>46110.0</v>
      </c>
      <c r="D71" s="201">
        <v>46110.0</v>
      </c>
      <c r="E71" s="133"/>
      <c r="F71" s="37" t="s">
        <v>176</v>
      </c>
      <c r="G71" s="37" t="s">
        <v>352</v>
      </c>
      <c r="H71" s="133" t="s">
        <v>452</v>
      </c>
      <c r="I71" s="133"/>
      <c r="J71" s="133"/>
      <c r="K71" s="133"/>
      <c r="L71" s="37" t="s">
        <v>189</v>
      </c>
      <c r="M71" s="202">
        <v>1.0</v>
      </c>
      <c r="N71" s="232"/>
      <c r="O71" s="73">
        <v>2500000.0</v>
      </c>
      <c r="P71" s="232"/>
      <c r="Q71" s="233"/>
      <c r="R71" s="233"/>
      <c r="S71" s="233"/>
      <c r="T71" s="233"/>
      <c r="U71" s="233"/>
      <c r="V71" s="233"/>
      <c r="W71" s="233"/>
      <c r="X71" s="233"/>
      <c r="Y71" s="233"/>
      <c r="Z71" s="45"/>
      <c r="AA71" s="45"/>
      <c r="AB71" s="45"/>
      <c r="AC71" s="45"/>
      <c r="AD71" s="45"/>
      <c r="AE71" s="235">
        <f t="shared" si="19"/>
        <v>2500000</v>
      </c>
      <c r="AF71" s="158"/>
    </row>
    <row r="72" ht="14.25" customHeight="1">
      <c r="A72" s="30"/>
      <c r="B72" s="177" t="s">
        <v>370</v>
      </c>
      <c r="C72" s="201">
        <v>46110.0</v>
      </c>
      <c r="D72" s="133"/>
      <c r="E72" s="133"/>
      <c r="F72" s="123" t="s">
        <v>414</v>
      </c>
      <c r="G72" s="37" t="s">
        <v>352</v>
      </c>
      <c r="H72" s="133" t="s">
        <v>452</v>
      </c>
      <c r="I72" s="133" t="s">
        <v>453</v>
      </c>
      <c r="J72" s="133" t="s">
        <v>415</v>
      </c>
      <c r="K72" s="133" t="s">
        <v>270</v>
      </c>
      <c r="L72" s="123" t="s">
        <v>343</v>
      </c>
      <c r="M72" s="202">
        <v>1.0</v>
      </c>
      <c r="N72" s="232"/>
      <c r="O72" s="77">
        <v>5700000.0</v>
      </c>
      <c r="P72" s="43">
        <v>500000.0</v>
      </c>
      <c r="Q72" s="43">
        <v>500000.0</v>
      </c>
      <c r="R72" s="233">
        <v>3.0</v>
      </c>
      <c r="S72" s="233">
        <v>2800000.0</v>
      </c>
      <c r="T72" s="233"/>
      <c r="U72" s="47">
        <v>500000.0</v>
      </c>
      <c r="V72" s="47">
        <v>230000.0</v>
      </c>
      <c r="W72" s="233"/>
      <c r="X72" s="233"/>
      <c r="Y72" s="233">
        <v>2000000.0</v>
      </c>
      <c r="Z72" s="45">
        <v>648000.0</v>
      </c>
      <c r="AA72" s="45"/>
      <c r="AB72" s="45"/>
      <c r="AC72" s="45"/>
      <c r="AD72" s="45"/>
      <c r="AE72" s="235">
        <f>SUM(O72:Q72,S72:Z72)</f>
        <v>12878000</v>
      </c>
      <c r="AF72" s="158"/>
    </row>
    <row r="73" ht="14.25" customHeight="1">
      <c r="A73" s="236" t="s">
        <v>73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1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217">
        <f>SUM(AE13:AE72)</f>
        <v>370535615</v>
      </c>
      <c r="AF73" s="78"/>
    </row>
    <row r="74" ht="14.25" customHeight="1">
      <c r="A74" s="79" t="s">
        <v>76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1"/>
      <c r="M74" s="83"/>
      <c r="N74" s="83"/>
      <c r="O74" s="83"/>
      <c r="P74" s="83"/>
      <c r="Q74" s="83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217">
        <f>AE73</f>
        <v>370535615</v>
      </c>
      <c r="AF74" s="87"/>
    </row>
    <row r="75" ht="14.25" customHeight="1">
      <c r="A75" s="79" t="s">
        <v>86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1"/>
      <c r="M75" s="83"/>
      <c r="N75" s="83"/>
      <c r="O75" s="83"/>
      <c r="P75" s="83"/>
      <c r="Q75" s="83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>
        <f>AE73*8%</f>
        <v>29642849.2</v>
      </c>
      <c r="AF75" s="87"/>
    </row>
    <row r="76" ht="14.25" customHeight="1">
      <c r="A76" s="79" t="s">
        <v>88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1"/>
      <c r="M76" s="83"/>
      <c r="N76" s="83"/>
      <c r="O76" s="83"/>
      <c r="P76" s="83"/>
      <c r="Q76" s="83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91">
        <f>AE74+AE75</f>
        <v>400178464.2</v>
      </c>
      <c r="AF76" s="87"/>
    </row>
    <row r="77" ht="14.25" customHeight="1">
      <c r="A77" s="93" t="s">
        <v>89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5"/>
    </row>
    <row r="78" ht="14.25" customHeight="1">
      <c r="F78" s="119"/>
      <c r="G78" s="119"/>
      <c r="H78" s="120"/>
      <c r="I78" s="119"/>
      <c r="J78" s="119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4"/>
    </row>
    <row r="79" ht="14.25" customHeight="1">
      <c r="F79" s="119"/>
      <c r="G79" s="119"/>
      <c r="H79" s="120"/>
      <c r="I79" s="119"/>
      <c r="J79" s="119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4"/>
    </row>
    <row r="80" ht="14.25" customHeight="1">
      <c r="F80" s="119"/>
      <c r="G80" s="119"/>
      <c r="H80" s="120"/>
      <c r="I80" s="119"/>
      <c r="J80" s="119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4"/>
    </row>
    <row r="81" ht="14.25" customHeight="1">
      <c r="F81" s="119"/>
      <c r="G81" s="119"/>
      <c r="H81" s="120"/>
      <c r="I81" s="119"/>
      <c r="J81" s="119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4"/>
    </row>
    <row r="82" ht="14.25" customHeight="1">
      <c r="F82" s="119"/>
      <c r="G82" s="119"/>
      <c r="H82" s="120"/>
      <c r="I82" s="119"/>
      <c r="J82" s="119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4"/>
    </row>
    <row r="83" ht="14.25" customHeight="1">
      <c r="F83" s="119"/>
      <c r="G83" s="119"/>
      <c r="H83" s="120"/>
      <c r="I83" s="119"/>
      <c r="J83" s="119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4"/>
    </row>
    <row r="84" ht="14.25" customHeight="1">
      <c r="F84" s="119"/>
      <c r="G84" s="119"/>
      <c r="H84" s="120"/>
      <c r="I84" s="119"/>
      <c r="J84" s="119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4"/>
    </row>
    <row r="85" ht="14.25" customHeight="1">
      <c r="F85" s="119"/>
      <c r="G85" s="119"/>
      <c r="H85" s="120"/>
      <c r="I85" s="119"/>
      <c r="J85" s="119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4"/>
    </row>
    <row r="86" ht="14.25" customHeight="1">
      <c r="F86" s="119"/>
      <c r="G86" s="119"/>
      <c r="H86" s="120"/>
      <c r="I86" s="119"/>
      <c r="J86" s="119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4"/>
    </row>
    <row r="87" ht="14.25" customHeight="1">
      <c r="F87" s="119"/>
      <c r="G87" s="119"/>
      <c r="H87" s="120"/>
      <c r="I87" s="119"/>
      <c r="J87" s="119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4"/>
    </row>
    <row r="88" ht="14.25" customHeight="1">
      <c r="F88" s="119"/>
      <c r="G88" s="119"/>
      <c r="H88" s="120"/>
      <c r="I88" s="119"/>
      <c r="J88" s="119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4"/>
    </row>
    <row r="89" ht="14.25" customHeight="1">
      <c r="F89" s="119"/>
      <c r="G89" s="119"/>
      <c r="H89" s="120"/>
      <c r="I89" s="119"/>
      <c r="J89" s="119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4"/>
    </row>
    <row r="90" ht="14.25" customHeight="1">
      <c r="F90" s="119"/>
      <c r="G90" s="119"/>
      <c r="H90" s="120"/>
      <c r="I90" s="119"/>
      <c r="J90" s="119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4"/>
    </row>
    <row r="91" ht="14.25" customHeight="1">
      <c r="F91" s="119"/>
      <c r="G91" s="119"/>
      <c r="H91" s="120"/>
      <c r="I91" s="119"/>
      <c r="J91" s="119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4"/>
    </row>
    <row r="92" ht="14.25" customHeight="1">
      <c r="F92" s="119"/>
      <c r="G92" s="119"/>
      <c r="H92" s="120"/>
      <c r="I92" s="119"/>
      <c r="J92" s="119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4"/>
    </row>
    <row r="93" ht="14.25" customHeight="1">
      <c r="F93" s="119"/>
      <c r="G93" s="119"/>
      <c r="H93" s="120"/>
      <c r="I93" s="119"/>
      <c r="J93" s="119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4"/>
    </row>
    <row r="94" ht="14.25" customHeight="1">
      <c r="F94" s="119"/>
      <c r="G94" s="119"/>
      <c r="H94" s="120"/>
      <c r="I94" s="119"/>
      <c r="J94" s="119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4"/>
    </row>
    <row r="95" ht="14.25" customHeight="1">
      <c r="F95" s="119"/>
      <c r="G95" s="119"/>
      <c r="H95" s="120"/>
      <c r="I95" s="119"/>
      <c r="J95" s="119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4"/>
    </row>
    <row r="96" ht="14.25" customHeight="1">
      <c r="F96" s="119"/>
      <c r="G96" s="119"/>
      <c r="H96" s="120"/>
      <c r="I96" s="119"/>
      <c r="J96" s="119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4"/>
    </row>
    <row r="97" ht="14.25" customHeight="1">
      <c r="F97" s="119"/>
      <c r="G97" s="119"/>
      <c r="H97" s="120"/>
      <c r="I97" s="119"/>
      <c r="J97" s="119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4"/>
    </row>
    <row r="98" ht="14.25" customHeight="1">
      <c r="F98" s="119"/>
      <c r="G98" s="119"/>
      <c r="H98" s="120"/>
      <c r="I98" s="119"/>
      <c r="J98" s="119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4"/>
    </row>
    <row r="99" ht="14.25" customHeight="1">
      <c r="F99" s="119"/>
      <c r="G99" s="119"/>
      <c r="H99" s="120"/>
      <c r="I99" s="119"/>
      <c r="J99" s="119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4"/>
    </row>
    <row r="100" ht="14.25" customHeight="1">
      <c r="F100" s="119"/>
      <c r="G100" s="119"/>
      <c r="H100" s="120"/>
      <c r="I100" s="119"/>
      <c r="J100" s="119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4"/>
    </row>
    <row r="101" ht="14.25" customHeight="1">
      <c r="F101" s="119"/>
      <c r="G101" s="119"/>
      <c r="H101" s="120"/>
      <c r="I101" s="119"/>
      <c r="J101" s="119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4"/>
    </row>
    <row r="102" ht="14.25" customHeight="1">
      <c r="F102" s="119"/>
      <c r="G102" s="119"/>
      <c r="H102" s="120"/>
      <c r="I102" s="119"/>
      <c r="J102" s="119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4"/>
    </row>
    <row r="103" ht="14.25" customHeight="1">
      <c r="F103" s="119"/>
      <c r="G103" s="119"/>
      <c r="H103" s="120"/>
      <c r="I103" s="119"/>
      <c r="J103" s="119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4"/>
    </row>
    <row r="104" ht="14.25" customHeight="1">
      <c r="F104" s="119"/>
      <c r="G104" s="119"/>
      <c r="H104" s="120"/>
      <c r="I104" s="119"/>
      <c r="J104" s="119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4"/>
    </row>
    <row r="105" ht="14.25" customHeight="1">
      <c r="F105" s="119"/>
      <c r="G105" s="119"/>
      <c r="H105" s="120"/>
      <c r="I105" s="119"/>
      <c r="J105" s="119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4"/>
    </row>
    <row r="106" ht="14.25" customHeight="1">
      <c r="F106" s="119"/>
      <c r="G106" s="119"/>
      <c r="H106" s="120"/>
      <c r="I106" s="119"/>
      <c r="J106" s="119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4"/>
    </row>
    <row r="107" ht="14.25" customHeight="1">
      <c r="F107" s="119"/>
      <c r="G107" s="119"/>
      <c r="H107" s="120"/>
      <c r="I107" s="119"/>
      <c r="J107" s="119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4"/>
    </row>
    <row r="108" ht="14.25" customHeight="1">
      <c r="F108" s="119"/>
      <c r="G108" s="119"/>
      <c r="H108" s="120"/>
      <c r="I108" s="119"/>
      <c r="J108" s="119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4"/>
    </row>
    <row r="109" ht="14.25" customHeight="1">
      <c r="F109" s="119"/>
      <c r="G109" s="119"/>
      <c r="H109" s="120"/>
      <c r="I109" s="119"/>
      <c r="J109" s="119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4"/>
    </row>
    <row r="110" ht="14.25" customHeight="1">
      <c r="F110" s="119"/>
      <c r="G110" s="119"/>
      <c r="H110" s="120"/>
      <c r="I110" s="119"/>
      <c r="J110" s="119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4"/>
    </row>
    <row r="111" ht="14.25" customHeight="1">
      <c r="F111" s="119"/>
      <c r="G111" s="119"/>
      <c r="H111" s="120"/>
      <c r="I111" s="119"/>
      <c r="J111" s="119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4"/>
    </row>
    <row r="112" ht="14.25" customHeight="1">
      <c r="F112" s="119"/>
      <c r="G112" s="119"/>
      <c r="H112" s="120"/>
      <c r="I112" s="119"/>
      <c r="J112" s="119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4"/>
    </row>
    <row r="113" ht="14.25" customHeight="1">
      <c r="F113" s="119"/>
      <c r="G113" s="119"/>
      <c r="H113" s="120"/>
      <c r="I113" s="119"/>
      <c r="J113" s="119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4"/>
    </row>
    <row r="114" ht="14.25" customHeight="1">
      <c r="F114" s="119"/>
      <c r="G114" s="119"/>
      <c r="H114" s="120"/>
      <c r="I114" s="119"/>
      <c r="J114" s="119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4"/>
    </row>
    <row r="115" ht="14.25" customHeight="1">
      <c r="F115" s="119"/>
      <c r="G115" s="119"/>
      <c r="H115" s="120"/>
      <c r="I115" s="119"/>
      <c r="J115" s="119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4"/>
    </row>
    <row r="116" ht="14.25" customHeight="1">
      <c r="F116" s="119"/>
      <c r="G116" s="119"/>
      <c r="H116" s="120"/>
      <c r="I116" s="119"/>
      <c r="J116" s="119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4"/>
    </row>
    <row r="117" ht="14.25" customHeight="1">
      <c r="F117" s="119"/>
      <c r="G117" s="119"/>
      <c r="H117" s="120"/>
      <c r="I117" s="119"/>
      <c r="J117" s="119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4"/>
    </row>
    <row r="118" ht="14.25" customHeight="1">
      <c r="F118" s="119"/>
      <c r="G118" s="119"/>
      <c r="H118" s="120"/>
      <c r="I118" s="119"/>
      <c r="J118" s="119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4"/>
    </row>
    <row r="119" ht="14.25" customHeight="1">
      <c r="F119" s="119"/>
      <c r="G119" s="119"/>
      <c r="H119" s="120"/>
      <c r="I119" s="119"/>
      <c r="J119" s="119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4"/>
    </row>
    <row r="120" ht="14.25" customHeight="1">
      <c r="F120" s="119"/>
      <c r="G120" s="119"/>
      <c r="H120" s="120"/>
      <c r="I120" s="119"/>
      <c r="J120" s="119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/>
    </row>
    <row r="121" ht="14.25" customHeight="1">
      <c r="F121" s="119"/>
      <c r="G121" s="119"/>
      <c r="H121" s="120"/>
      <c r="I121" s="119"/>
      <c r="J121" s="119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4"/>
    </row>
    <row r="122" ht="14.25" customHeight="1">
      <c r="F122" s="119"/>
      <c r="G122" s="119"/>
      <c r="H122" s="120"/>
      <c r="I122" s="119"/>
      <c r="J122" s="119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4"/>
    </row>
    <row r="123" ht="14.25" customHeight="1">
      <c r="F123" s="119"/>
      <c r="G123" s="119"/>
      <c r="H123" s="120"/>
      <c r="I123" s="119"/>
      <c r="J123" s="119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4"/>
    </row>
    <row r="124" ht="14.25" customHeight="1">
      <c r="F124" s="119"/>
      <c r="G124" s="119"/>
      <c r="H124" s="120"/>
      <c r="I124" s="119"/>
      <c r="J124" s="119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4"/>
    </row>
    <row r="125" ht="14.25" customHeight="1">
      <c r="F125" s="119"/>
      <c r="G125" s="119"/>
      <c r="H125" s="120"/>
      <c r="I125" s="119"/>
      <c r="J125" s="119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</row>
    <row r="126" ht="14.25" customHeight="1">
      <c r="F126" s="119"/>
      <c r="G126" s="119"/>
      <c r="H126" s="120"/>
      <c r="I126" s="119"/>
      <c r="J126" s="119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4"/>
    </row>
    <row r="127" ht="14.25" customHeight="1">
      <c r="F127" s="119"/>
      <c r="G127" s="119"/>
      <c r="H127" s="120"/>
      <c r="I127" s="119"/>
      <c r="J127" s="119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4"/>
    </row>
    <row r="128" ht="14.25" customHeight="1">
      <c r="F128" s="119"/>
      <c r="G128" s="119"/>
      <c r="H128" s="120"/>
      <c r="I128" s="119"/>
      <c r="J128" s="119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4"/>
    </row>
    <row r="129" ht="14.25" customHeight="1">
      <c r="F129" s="119"/>
      <c r="G129" s="119"/>
      <c r="H129" s="120"/>
      <c r="I129" s="119"/>
      <c r="J129" s="119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4"/>
    </row>
    <row r="130" ht="14.25" customHeight="1">
      <c r="F130" s="119"/>
      <c r="G130" s="119"/>
      <c r="H130" s="120"/>
      <c r="I130" s="119"/>
      <c r="J130" s="119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4"/>
    </row>
    <row r="131" ht="14.25" customHeight="1">
      <c r="F131" s="119"/>
      <c r="G131" s="119"/>
      <c r="H131" s="120"/>
      <c r="I131" s="119"/>
      <c r="J131" s="119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4"/>
    </row>
    <row r="132" ht="14.25" customHeight="1">
      <c r="F132" s="119"/>
      <c r="G132" s="119"/>
      <c r="H132" s="120"/>
      <c r="I132" s="119"/>
      <c r="J132" s="119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4"/>
    </row>
    <row r="133" ht="14.25" customHeight="1">
      <c r="F133" s="119"/>
      <c r="G133" s="119"/>
      <c r="H133" s="120"/>
      <c r="I133" s="119"/>
      <c r="J133" s="119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4"/>
    </row>
    <row r="134" ht="14.25" customHeight="1">
      <c r="F134" s="119"/>
      <c r="G134" s="119"/>
      <c r="H134" s="120"/>
      <c r="I134" s="119"/>
      <c r="J134" s="119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4"/>
    </row>
    <row r="135" ht="14.25" customHeight="1">
      <c r="F135" s="119"/>
      <c r="G135" s="119"/>
      <c r="H135" s="120"/>
      <c r="I135" s="119"/>
      <c r="J135" s="119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4"/>
    </row>
    <row r="136" ht="14.25" customHeight="1">
      <c r="F136" s="119"/>
      <c r="G136" s="119"/>
      <c r="H136" s="120"/>
      <c r="I136" s="119"/>
      <c r="J136" s="119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4"/>
    </row>
    <row r="137" ht="14.25" customHeight="1">
      <c r="F137" s="119"/>
      <c r="G137" s="119"/>
      <c r="H137" s="120"/>
      <c r="I137" s="119"/>
      <c r="J137" s="119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4"/>
    </row>
    <row r="138" ht="14.25" customHeight="1">
      <c r="F138" s="119"/>
      <c r="G138" s="119"/>
      <c r="H138" s="120"/>
      <c r="I138" s="119"/>
      <c r="J138" s="119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4"/>
    </row>
    <row r="139" ht="14.25" customHeight="1">
      <c r="F139" s="119"/>
      <c r="G139" s="119"/>
      <c r="H139" s="120"/>
      <c r="I139" s="119"/>
      <c r="J139" s="119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4"/>
    </row>
    <row r="140" ht="14.25" customHeight="1">
      <c r="F140" s="119"/>
      <c r="G140" s="119"/>
      <c r="H140" s="120"/>
      <c r="I140" s="119"/>
      <c r="J140" s="119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4"/>
    </row>
    <row r="141" ht="14.25" customHeight="1">
      <c r="F141" s="119"/>
      <c r="G141" s="119"/>
      <c r="H141" s="120"/>
      <c r="I141" s="119"/>
      <c r="J141" s="119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4"/>
    </row>
    <row r="142" ht="14.25" customHeight="1">
      <c r="F142" s="119"/>
      <c r="G142" s="119"/>
      <c r="H142" s="120"/>
      <c r="I142" s="119"/>
      <c r="J142" s="119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4"/>
    </row>
    <row r="143" ht="14.25" customHeight="1">
      <c r="F143" s="119"/>
      <c r="G143" s="119"/>
      <c r="H143" s="120"/>
      <c r="I143" s="119"/>
      <c r="J143" s="119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4"/>
    </row>
    <row r="144" ht="14.25" customHeight="1">
      <c r="F144" s="119"/>
      <c r="G144" s="119"/>
      <c r="H144" s="120"/>
      <c r="I144" s="119"/>
      <c r="J144" s="119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4"/>
    </row>
    <row r="145" ht="14.25" customHeight="1">
      <c r="F145" s="119"/>
      <c r="G145" s="119"/>
      <c r="H145" s="120"/>
      <c r="I145" s="119"/>
      <c r="J145" s="119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4"/>
    </row>
    <row r="146" ht="14.25" customHeight="1">
      <c r="F146" s="119"/>
      <c r="G146" s="119"/>
      <c r="H146" s="120"/>
      <c r="I146" s="119"/>
      <c r="J146" s="119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4"/>
    </row>
    <row r="147" ht="14.25" customHeight="1">
      <c r="F147" s="119"/>
      <c r="G147" s="119"/>
      <c r="H147" s="120"/>
      <c r="I147" s="119"/>
      <c r="J147" s="119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4"/>
    </row>
    <row r="148" ht="14.25" customHeight="1">
      <c r="F148" s="119"/>
      <c r="G148" s="119"/>
      <c r="H148" s="120"/>
      <c r="I148" s="119"/>
      <c r="J148" s="119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4"/>
    </row>
    <row r="149" ht="14.25" customHeight="1">
      <c r="F149" s="119"/>
      <c r="G149" s="119"/>
      <c r="H149" s="120"/>
      <c r="I149" s="119"/>
      <c r="J149" s="119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4"/>
    </row>
    <row r="150" ht="14.25" customHeight="1">
      <c r="F150" s="119"/>
      <c r="G150" s="119"/>
      <c r="H150" s="120"/>
      <c r="I150" s="119"/>
      <c r="J150" s="119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4"/>
    </row>
    <row r="151" ht="14.25" customHeight="1">
      <c r="F151" s="119"/>
      <c r="G151" s="119"/>
      <c r="H151" s="120"/>
      <c r="I151" s="119"/>
      <c r="J151" s="119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4"/>
    </row>
    <row r="152" ht="14.25" customHeight="1">
      <c r="F152" s="119"/>
      <c r="G152" s="119"/>
      <c r="H152" s="120"/>
      <c r="I152" s="119"/>
      <c r="J152" s="119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4"/>
    </row>
    <row r="153" ht="14.25" customHeight="1">
      <c r="F153" s="119"/>
      <c r="G153" s="119"/>
      <c r="H153" s="120"/>
      <c r="I153" s="119"/>
      <c r="J153" s="119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4"/>
    </row>
    <row r="154" ht="14.25" customHeight="1">
      <c r="F154" s="119"/>
      <c r="G154" s="119"/>
      <c r="H154" s="120"/>
      <c r="I154" s="119"/>
      <c r="J154" s="119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4"/>
    </row>
    <row r="155" ht="14.25" customHeight="1">
      <c r="F155" s="119"/>
      <c r="G155" s="119"/>
      <c r="H155" s="120"/>
      <c r="I155" s="119"/>
      <c r="J155" s="119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4"/>
    </row>
    <row r="156" ht="14.25" customHeight="1">
      <c r="F156" s="119"/>
      <c r="G156" s="119"/>
      <c r="H156" s="120"/>
      <c r="I156" s="119"/>
      <c r="J156" s="119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4"/>
    </row>
    <row r="157" ht="14.25" customHeight="1">
      <c r="F157" s="119"/>
      <c r="G157" s="119"/>
      <c r="H157" s="120"/>
      <c r="I157" s="119"/>
      <c r="J157" s="119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4"/>
    </row>
    <row r="158" ht="14.25" customHeight="1">
      <c r="F158" s="119"/>
      <c r="G158" s="119"/>
      <c r="H158" s="120"/>
      <c r="I158" s="119"/>
      <c r="J158" s="119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4"/>
    </row>
    <row r="159" ht="14.25" customHeight="1">
      <c r="F159" s="119"/>
      <c r="G159" s="119"/>
      <c r="H159" s="120"/>
      <c r="I159" s="119"/>
      <c r="J159" s="119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4"/>
    </row>
    <row r="160" ht="14.25" customHeight="1">
      <c r="F160" s="119"/>
      <c r="G160" s="119"/>
      <c r="H160" s="120"/>
      <c r="I160" s="119"/>
      <c r="J160" s="119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4"/>
    </row>
    <row r="161" ht="14.25" customHeight="1">
      <c r="F161" s="119"/>
      <c r="G161" s="119"/>
      <c r="H161" s="120"/>
      <c r="I161" s="119"/>
      <c r="J161" s="119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4"/>
    </row>
    <row r="162" ht="14.25" customHeight="1">
      <c r="F162" s="119"/>
      <c r="G162" s="119"/>
      <c r="H162" s="120"/>
      <c r="I162" s="119"/>
      <c r="J162" s="119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4"/>
    </row>
    <row r="163" ht="14.25" customHeight="1">
      <c r="F163" s="119"/>
      <c r="G163" s="119"/>
      <c r="H163" s="120"/>
      <c r="I163" s="119"/>
      <c r="J163" s="119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4"/>
    </row>
    <row r="164" ht="14.25" customHeight="1">
      <c r="F164" s="119"/>
      <c r="G164" s="119"/>
      <c r="H164" s="120"/>
      <c r="I164" s="119"/>
      <c r="J164" s="119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4"/>
    </row>
    <row r="165" ht="14.25" customHeight="1">
      <c r="F165" s="119"/>
      <c r="G165" s="119"/>
      <c r="H165" s="120"/>
      <c r="I165" s="119"/>
      <c r="J165" s="119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4"/>
    </row>
    <row r="166" ht="14.25" customHeight="1">
      <c r="F166" s="119"/>
      <c r="G166" s="119"/>
      <c r="H166" s="120"/>
      <c r="I166" s="119"/>
      <c r="J166" s="119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4"/>
    </row>
    <row r="167" ht="14.25" customHeight="1">
      <c r="F167" s="119"/>
      <c r="G167" s="119"/>
      <c r="H167" s="120"/>
      <c r="I167" s="119"/>
      <c r="J167" s="119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4"/>
    </row>
    <row r="168" ht="14.25" customHeight="1">
      <c r="F168" s="119"/>
      <c r="G168" s="119"/>
      <c r="H168" s="120"/>
      <c r="I168" s="119"/>
      <c r="J168" s="119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4"/>
    </row>
    <row r="169" ht="14.25" customHeight="1">
      <c r="F169" s="119"/>
      <c r="G169" s="119"/>
      <c r="H169" s="120"/>
      <c r="I169" s="119"/>
      <c r="J169" s="119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4"/>
    </row>
    <row r="170" ht="14.25" customHeight="1">
      <c r="F170" s="119"/>
      <c r="G170" s="119"/>
      <c r="H170" s="120"/>
      <c r="I170" s="119"/>
      <c r="J170" s="119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4"/>
    </row>
    <row r="171" ht="14.25" customHeight="1">
      <c r="F171" s="119"/>
      <c r="G171" s="119"/>
      <c r="H171" s="120"/>
      <c r="I171" s="119"/>
      <c r="J171" s="119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4"/>
    </row>
    <row r="172" ht="14.25" customHeight="1">
      <c r="F172" s="119"/>
      <c r="G172" s="119"/>
      <c r="H172" s="120"/>
      <c r="I172" s="119"/>
      <c r="J172" s="119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4"/>
    </row>
    <row r="173" ht="14.25" customHeight="1">
      <c r="F173" s="119"/>
      <c r="G173" s="119"/>
      <c r="H173" s="120"/>
      <c r="I173" s="119"/>
      <c r="J173" s="119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4"/>
    </row>
    <row r="174" ht="14.25" customHeight="1">
      <c r="F174" s="119"/>
      <c r="G174" s="119"/>
      <c r="H174" s="120"/>
      <c r="I174" s="119"/>
      <c r="J174" s="119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4"/>
    </row>
    <row r="175" ht="14.25" customHeight="1">
      <c r="F175" s="119"/>
      <c r="G175" s="119"/>
      <c r="H175" s="120"/>
      <c r="I175" s="119"/>
      <c r="J175" s="119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4"/>
    </row>
    <row r="176" ht="14.25" customHeight="1">
      <c r="F176" s="119"/>
      <c r="G176" s="119"/>
      <c r="H176" s="120"/>
      <c r="I176" s="119"/>
      <c r="J176" s="119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4"/>
    </row>
    <row r="177" ht="14.25" customHeight="1">
      <c r="F177" s="119"/>
      <c r="G177" s="119"/>
      <c r="H177" s="120"/>
      <c r="I177" s="119"/>
      <c r="J177" s="119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4"/>
    </row>
    <row r="178" ht="14.25" customHeight="1">
      <c r="F178" s="119"/>
      <c r="G178" s="119"/>
      <c r="H178" s="120"/>
      <c r="I178" s="119"/>
      <c r="J178" s="119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4"/>
    </row>
    <row r="179" ht="14.25" customHeight="1">
      <c r="F179" s="119"/>
      <c r="G179" s="119"/>
      <c r="H179" s="120"/>
      <c r="I179" s="119"/>
      <c r="J179" s="119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4"/>
    </row>
    <row r="180" ht="14.25" customHeight="1">
      <c r="F180" s="119"/>
      <c r="G180" s="119"/>
      <c r="H180" s="120"/>
      <c r="I180" s="119"/>
      <c r="J180" s="119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4"/>
    </row>
    <row r="181" ht="14.25" customHeight="1">
      <c r="F181" s="119"/>
      <c r="G181" s="119"/>
      <c r="H181" s="120"/>
      <c r="I181" s="119"/>
      <c r="J181" s="119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4"/>
    </row>
    <row r="182" ht="14.25" customHeight="1">
      <c r="F182" s="119"/>
      <c r="G182" s="119"/>
      <c r="H182" s="120"/>
      <c r="I182" s="119"/>
      <c r="J182" s="119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4"/>
    </row>
    <row r="183" ht="14.25" customHeight="1">
      <c r="F183" s="119"/>
      <c r="G183" s="119"/>
      <c r="H183" s="120"/>
      <c r="I183" s="119"/>
      <c r="J183" s="119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4"/>
    </row>
    <row r="184" ht="14.25" customHeight="1">
      <c r="F184" s="119"/>
      <c r="G184" s="119"/>
      <c r="H184" s="120"/>
      <c r="I184" s="119"/>
      <c r="J184" s="119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4"/>
    </row>
    <row r="185" ht="14.25" customHeight="1">
      <c r="F185" s="119"/>
      <c r="G185" s="119"/>
      <c r="H185" s="120"/>
      <c r="I185" s="119"/>
      <c r="J185" s="119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4"/>
    </row>
    <row r="186" ht="14.25" customHeight="1">
      <c r="F186" s="119"/>
      <c r="G186" s="119"/>
      <c r="H186" s="120"/>
      <c r="I186" s="119"/>
      <c r="J186" s="119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4"/>
    </row>
    <row r="187" ht="14.25" customHeight="1">
      <c r="F187" s="119"/>
      <c r="G187" s="119"/>
      <c r="H187" s="120"/>
      <c r="I187" s="119"/>
      <c r="J187" s="119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4"/>
    </row>
    <row r="188" ht="14.25" customHeight="1">
      <c r="F188" s="119"/>
      <c r="G188" s="119"/>
      <c r="H188" s="120"/>
      <c r="I188" s="119"/>
      <c r="J188" s="119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4"/>
    </row>
    <row r="189" ht="14.25" customHeight="1">
      <c r="F189" s="119"/>
      <c r="G189" s="119"/>
      <c r="H189" s="120"/>
      <c r="I189" s="119"/>
      <c r="J189" s="119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4"/>
    </row>
    <row r="190" ht="14.25" customHeight="1">
      <c r="F190" s="119"/>
      <c r="G190" s="119"/>
      <c r="H190" s="120"/>
      <c r="I190" s="119"/>
      <c r="J190" s="119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4"/>
    </row>
    <row r="191" ht="14.25" customHeight="1">
      <c r="F191" s="119"/>
      <c r="G191" s="119"/>
      <c r="H191" s="120"/>
      <c r="I191" s="119"/>
      <c r="J191" s="119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4"/>
    </row>
    <row r="192" ht="14.25" customHeight="1">
      <c r="F192" s="119"/>
      <c r="G192" s="119"/>
      <c r="H192" s="120"/>
      <c r="I192" s="119"/>
      <c r="J192" s="119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4"/>
    </row>
    <row r="193" ht="14.25" customHeight="1">
      <c r="F193" s="119"/>
      <c r="G193" s="119"/>
      <c r="H193" s="120"/>
      <c r="I193" s="119"/>
      <c r="J193" s="119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4"/>
    </row>
    <row r="194" ht="14.25" customHeight="1">
      <c r="F194" s="119"/>
      <c r="G194" s="119"/>
      <c r="H194" s="120"/>
      <c r="I194" s="119"/>
      <c r="J194" s="119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4"/>
    </row>
    <row r="195" ht="14.25" customHeight="1">
      <c r="F195" s="119"/>
      <c r="G195" s="119"/>
      <c r="H195" s="120"/>
      <c r="I195" s="119"/>
      <c r="J195" s="119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4"/>
    </row>
    <row r="196" ht="14.25" customHeight="1">
      <c r="F196" s="119"/>
      <c r="G196" s="119"/>
      <c r="H196" s="120"/>
      <c r="I196" s="119"/>
      <c r="J196" s="119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4"/>
    </row>
    <row r="197" ht="14.25" customHeight="1">
      <c r="F197" s="119"/>
      <c r="G197" s="119"/>
      <c r="H197" s="120"/>
      <c r="I197" s="119"/>
      <c r="J197" s="119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4"/>
    </row>
    <row r="198" ht="14.25" customHeight="1">
      <c r="F198" s="119"/>
      <c r="G198" s="119"/>
      <c r="H198" s="120"/>
      <c r="I198" s="119"/>
      <c r="J198" s="119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4"/>
    </row>
    <row r="199" ht="14.25" customHeight="1">
      <c r="F199" s="119"/>
      <c r="G199" s="119"/>
      <c r="H199" s="120"/>
      <c r="I199" s="119"/>
      <c r="J199" s="119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4"/>
    </row>
    <row r="200" ht="14.25" customHeight="1">
      <c r="F200" s="119"/>
      <c r="G200" s="119"/>
      <c r="H200" s="120"/>
      <c r="I200" s="119"/>
      <c r="J200" s="119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4"/>
    </row>
    <row r="201" ht="14.25" customHeight="1">
      <c r="F201" s="119"/>
      <c r="G201" s="119"/>
      <c r="H201" s="120"/>
      <c r="I201" s="119"/>
      <c r="J201" s="119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4"/>
    </row>
    <row r="202" ht="14.25" customHeight="1">
      <c r="F202" s="119"/>
      <c r="G202" s="119"/>
      <c r="H202" s="120"/>
      <c r="I202" s="119"/>
      <c r="J202" s="119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4"/>
    </row>
    <row r="203" ht="14.25" customHeight="1">
      <c r="F203" s="119"/>
      <c r="G203" s="119"/>
      <c r="H203" s="120"/>
      <c r="I203" s="119"/>
      <c r="J203" s="119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4"/>
    </row>
    <row r="204" ht="14.25" customHeight="1">
      <c r="F204" s="119"/>
      <c r="G204" s="119"/>
      <c r="H204" s="120"/>
      <c r="I204" s="119"/>
      <c r="J204" s="119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4"/>
    </row>
    <row r="205" ht="14.25" customHeight="1">
      <c r="F205" s="119"/>
      <c r="G205" s="119"/>
      <c r="H205" s="120"/>
      <c r="I205" s="119"/>
      <c r="J205" s="119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4"/>
    </row>
    <row r="206" ht="14.25" customHeight="1">
      <c r="F206" s="119"/>
      <c r="G206" s="119"/>
      <c r="H206" s="120"/>
      <c r="I206" s="119"/>
      <c r="J206" s="119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4"/>
    </row>
    <row r="207" ht="14.25" customHeight="1">
      <c r="F207" s="119"/>
      <c r="G207" s="119"/>
      <c r="H207" s="120"/>
      <c r="I207" s="119"/>
      <c r="J207" s="119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4"/>
    </row>
    <row r="208" ht="14.25" customHeight="1">
      <c r="F208" s="119"/>
      <c r="G208" s="119"/>
      <c r="H208" s="120"/>
      <c r="I208" s="119"/>
      <c r="J208" s="119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4"/>
    </row>
    <row r="209" ht="14.25" customHeight="1">
      <c r="F209" s="119"/>
      <c r="G209" s="119"/>
      <c r="H209" s="120"/>
      <c r="I209" s="119"/>
      <c r="J209" s="119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4"/>
    </row>
    <row r="210" ht="14.25" customHeight="1">
      <c r="F210" s="119"/>
      <c r="G210" s="119"/>
      <c r="H210" s="120"/>
      <c r="I210" s="119"/>
      <c r="J210" s="119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4"/>
    </row>
    <row r="211" ht="14.25" customHeight="1">
      <c r="F211" s="119"/>
      <c r="G211" s="119"/>
      <c r="H211" s="120"/>
      <c r="I211" s="119"/>
      <c r="J211" s="119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4"/>
    </row>
    <row r="212" ht="14.25" customHeight="1">
      <c r="F212" s="119"/>
      <c r="G212" s="119"/>
      <c r="H212" s="120"/>
      <c r="I212" s="119"/>
      <c r="J212" s="119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4"/>
    </row>
    <row r="213" ht="14.25" customHeight="1">
      <c r="F213" s="119"/>
      <c r="G213" s="119"/>
      <c r="H213" s="120"/>
      <c r="I213" s="119"/>
      <c r="J213" s="119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4"/>
    </row>
    <row r="214" ht="14.25" customHeight="1">
      <c r="F214" s="119"/>
      <c r="G214" s="119"/>
      <c r="H214" s="120"/>
      <c r="I214" s="119"/>
      <c r="J214" s="119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4"/>
    </row>
    <row r="215" ht="14.25" customHeight="1">
      <c r="F215" s="119"/>
      <c r="G215" s="119"/>
      <c r="H215" s="120"/>
      <c r="I215" s="119"/>
      <c r="J215" s="119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4"/>
    </row>
    <row r="216" ht="14.25" customHeight="1">
      <c r="F216" s="119"/>
      <c r="G216" s="119"/>
      <c r="H216" s="120"/>
      <c r="I216" s="119"/>
      <c r="J216" s="119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4"/>
    </row>
    <row r="217" ht="14.25" customHeight="1">
      <c r="F217" s="119"/>
      <c r="G217" s="119"/>
      <c r="H217" s="120"/>
      <c r="I217" s="119"/>
      <c r="J217" s="119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4"/>
    </row>
    <row r="218" ht="14.25" customHeight="1">
      <c r="F218" s="119"/>
      <c r="G218" s="119"/>
      <c r="H218" s="120"/>
      <c r="I218" s="119"/>
      <c r="J218" s="119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4"/>
    </row>
    <row r="219" ht="14.25" customHeight="1">
      <c r="F219" s="119"/>
      <c r="G219" s="119"/>
      <c r="H219" s="120"/>
      <c r="I219" s="119"/>
      <c r="J219" s="119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4"/>
    </row>
    <row r="220" ht="14.25" customHeight="1">
      <c r="F220" s="119"/>
      <c r="G220" s="119"/>
      <c r="H220" s="120"/>
      <c r="I220" s="119"/>
      <c r="J220" s="119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4"/>
    </row>
    <row r="221" ht="14.25" customHeight="1">
      <c r="F221" s="119"/>
      <c r="G221" s="119"/>
      <c r="H221" s="120"/>
      <c r="I221" s="119"/>
      <c r="J221" s="119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4"/>
    </row>
    <row r="222" ht="14.25" customHeight="1">
      <c r="F222" s="119"/>
      <c r="G222" s="119"/>
      <c r="H222" s="120"/>
      <c r="I222" s="119"/>
      <c r="J222" s="119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4"/>
    </row>
    <row r="223" ht="14.25" customHeight="1">
      <c r="F223" s="119"/>
      <c r="G223" s="119"/>
      <c r="H223" s="120"/>
      <c r="I223" s="119"/>
      <c r="J223" s="119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4"/>
    </row>
    <row r="224" ht="14.25" customHeight="1">
      <c r="F224" s="119"/>
      <c r="G224" s="119"/>
      <c r="H224" s="120"/>
      <c r="I224" s="119"/>
      <c r="J224" s="119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4"/>
    </row>
    <row r="225" ht="14.25" customHeight="1">
      <c r="F225" s="119"/>
      <c r="G225" s="119"/>
      <c r="H225" s="120"/>
      <c r="I225" s="119"/>
      <c r="J225" s="119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4"/>
    </row>
    <row r="226" ht="14.25" customHeight="1">
      <c r="F226" s="119"/>
      <c r="G226" s="119"/>
      <c r="H226" s="120"/>
      <c r="I226" s="119"/>
      <c r="J226" s="119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4"/>
    </row>
    <row r="227" ht="14.25" customHeight="1">
      <c r="F227" s="119"/>
      <c r="G227" s="119"/>
      <c r="H227" s="120"/>
      <c r="I227" s="119"/>
      <c r="J227" s="119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4"/>
    </row>
    <row r="228" ht="14.25" customHeight="1">
      <c r="F228" s="119"/>
      <c r="G228" s="119"/>
      <c r="H228" s="120"/>
      <c r="I228" s="119"/>
      <c r="J228" s="119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4"/>
    </row>
    <row r="229" ht="14.25" customHeight="1">
      <c r="F229" s="119"/>
      <c r="G229" s="119"/>
      <c r="H229" s="120"/>
      <c r="I229" s="119"/>
      <c r="J229" s="119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4"/>
    </row>
    <row r="230" ht="14.25" customHeight="1">
      <c r="F230" s="119"/>
      <c r="G230" s="119"/>
      <c r="H230" s="120"/>
      <c r="I230" s="119"/>
      <c r="J230" s="119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4"/>
    </row>
    <row r="231" ht="14.25" customHeight="1">
      <c r="F231" s="119"/>
      <c r="G231" s="119"/>
      <c r="H231" s="120"/>
      <c r="I231" s="119"/>
      <c r="J231" s="119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4"/>
    </row>
    <row r="232" ht="14.25" customHeight="1">
      <c r="F232" s="119"/>
      <c r="G232" s="119"/>
      <c r="H232" s="120"/>
      <c r="I232" s="119"/>
      <c r="J232" s="119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4"/>
    </row>
    <row r="233" ht="14.25" customHeight="1">
      <c r="F233" s="119"/>
      <c r="G233" s="119"/>
      <c r="H233" s="120"/>
      <c r="I233" s="119"/>
      <c r="J233" s="119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4"/>
    </row>
    <row r="234" ht="14.25" customHeight="1">
      <c r="F234" s="119"/>
      <c r="G234" s="119"/>
      <c r="H234" s="120"/>
      <c r="I234" s="119"/>
      <c r="J234" s="119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4"/>
    </row>
    <row r="235" ht="14.25" customHeight="1">
      <c r="F235" s="119"/>
      <c r="G235" s="119"/>
      <c r="H235" s="120"/>
      <c r="I235" s="119"/>
      <c r="J235" s="119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4"/>
    </row>
    <row r="236" ht="14.25" customHeight="1">
      <c r="F236" s="119"/>
      <c r="G236" s="119"/>
      <c r="H236" s="120"/>
      <c r="I236" s="119"/>
      <c r="J236" s="119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4"/>
    </row>
    <row r="237" ht="14.25" customHeight="1">
      <c r="F237" s="119"/>
      <c r="G237" s="119"/>
      <c r="H237" s="120"/>
      <c r="I237" s="119"/>
      <c r="J237" s="119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4"/>
    </row>
    <row r="238" ht="14.25" customHeight="1">
      <c r="F238" s="119"/>
      <c r="G238" s="119"/>
      <c r="H238" s="120"/>
      <c r="I238" s="119"/>
      <c r="J238" s="119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4"/>
    </row>
    <row r="239" ht="14.25" customHeight="1">
      <c r="F239" s="119"/>
      <c r="G239" s="119"/>
      <c r="H239" s="120"/>
      <c r="I239" s="119"/>
      <c r="J239" s="119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4"/>
    </row>
    <row r="240" ht="14.25" customHeight="1">
      <c r="F240" s="119"/>
      <c r="G240" s="119"/>
      <c r="H240" s="120"/>
      <c r="I240" s="119"/>
      <c r="J240" s="119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4"/>
    </row>
    <row r="241" ht="14.25" customHeight="1">
      <c r="F241" s="119"/>
      <c r="G241" s="119"/>
      <c r="H241" s="120"/>
      <c r="I241" s="119"/>
      <c r="J241" s="119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4"/>
    </row>
    <row r="242" ht="14.25" customHeight="1">
      <c r="F242" s="119"/>
      <c r="G242" s="119"/>
      <c r="H242" s="120"/>
      <c r="I242" s="119"/>
      <c r="J242" s="119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4"/>
    </row>
    <row r="243" ht="14.25" customHeight="1">
      <c r="F243" s="119"/>
      <c r="G243" s="119"/>
      <c r="H243" s="120"/>
      <c r="I243" s="119"/>
      <c r="J243" s="119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4"/>
    </row>
    <row r="244" ht="14.25" customHeight="1">
      <c r="F244" s="119"/>
      <c r="G244" s="119"/>
      <c r="H244" s="120"/>
      <c r="I244" s="119"/>
      <c r="J244" s="119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4"/>
    </row>
    <row r="245" ht="14.25" customHeight="1">
      <c r="F245" s="119"/>
      <c r="G245" s="119"/>
      <c r="H245" s="120"/>
      <c r="I245" s="119"/>
      <c r="J245" s="119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4"/>
    </row>
    <row r="246" ht="14.25" customHeight="1">
      <c r="F246" s="119"/>
      <c r="G246" s="119"/>
      <c r="H246" s="120"/>
      <c r="I246" s="119"/>
      <c r="J246" s="119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4"/>
    </row>
    <row r="247" ht="14.25" customHeight="1">
      <c r="F247" s="119"/>
      <c r="G247" s="119"/>
      <c r="H247" s="120"/>
      <c r="I247" s="119"/>
      <c r="J247" s="119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4"/>
    </row>
    <row r="248" ht="14.25" customHeight="1">
      <c r="F248" s="119"/>
      <c r="G248" s="119"/>
      <c r="H248" s="120"/>
      <c r="I248" s="119"/>
      <c r="J248" s="119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4"/>
    </row>
    <row r="249" ht="14.25" customHeight="1">
      <c r="F249" s="119"/>
      <c r="G249" s="119"/>
      <c r="H249" s="120"/>
      <c r="I249" s="119"/>
      <c r="J249" s="119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4"/>
    </row>
    <row r="250" ht="14.25" customHeight="1">
      <c r="F250" s="119"/>
      <c r="G250" s="119"/>
      <c r="H250" s="120"/>
      <c r="I250" s="119"/>
      <c r="J250" s="119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4"/>
    </row>
    <row r="251" ht="14.25" customHeight="1">
      <c r="F251" s="119"/>
      <c r="G251" s="119"/>
      <c r="H251" s="120"/>
      <c r="I251" s="119"/>
      <c r="J251" s="119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4"/>
    </row>
    <row r="252" ht="14.25" customHeight="1">
      <c r="F252" s="119"/>
      <c r="G252" s="119"/>
      <c r="H252" s="120"/>
      <c r="I252" s="119"/>
      <c r="J252" s="119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4"/>
    </row>
    <row r="253" ht="14.25" customHeight="1">
      <c r="F253" s="119"/>
      <c r="G253" s="119"/>
      <c r="H253" s="120"/>
      <c r="I253" s="119"/>
      <c r="J253" s="119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4"/>
    </row>
    <row r="254" ht="14.25" customHeight="1">
      <c r="F254" s="119"/>
      <c r="G254" s="119"/>
      <c r="H254" s="120"/>
      <c r="I254" s="119"/>
      <c r="J254" s="119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4"/>
    </row>
    <row r="255" ht="14.25" customHeight="1">
      <c r="F255" s="119"/>
      <c r="G255" s="119"/>
      <c r="H255" s="120"/>
      <c r="I255" s="119"/>
      <c r="J255" s="119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4"/>
    </row>
    <row r="256" ht="14.25" customHeight="1">
      <c r="F256" s="119"/>
      <c r="G256" s="119"/>
      <c r="H256" s="120"/>
      <c r="I256" s="119"/>
      <c r="J256" s="119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4"/>
    </row>
    <row r="257" ht="14.25" customHeight="1">
      <c r="F257" s="119"/>
      <c r="G257" s="119"/>
      <c r="H257" s="120"/>
      <c r="I257" s="119"/>
      <c r="J257" s="119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4"/>
    </row>
    <row r="258" ht="14.25" customHeight="1">
      <c r="F258" s="119"/>
      <c r="G258" s="119"/>
      <c r="H258" s="120"/>
      <c r="I258" s="119"/>
      <c r="J258" s="119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4"/>
    </row>
    <row r="259" ht="14.25" customHeight="1">
      <c r="F259" s="119"/>
      <c r="G259" s="119"/>
      <c r="H259" s="120"/>
      <c r="I259" s="119"/>
      <c r="J259" s="119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4"/>
    </row>
    <row r="260" ht="14.25" customHeight="1">
      <c r="F260" s="119"/>
      <c r="G260" s="119"/>
      <c r="H260" s="120"/>
      <c r="I260" s="119"/>
      <c r="J260" s="119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4"/>
    </row>
    <row r="261" ht="14.25" customHeight="1">
      <c r="F261" s="119"/>
      <c r="G261" s="119"/>
      <c r="H261" s="120"/>
      <c r="I261" s="119"/>
      <c r="J261" s="119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4"/>
    </row>
    <row r="262" ht="14.25" customHeight="1">
      <c r="F262" s="119"/>
      <c r="G262" s="119"/>
      <c r="H262" s="120"/>
      <c r="I262" s="119"/>
      <c r="J262" s="119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4"/>
    </row>
    <row r="263" ht="14.25" customHeight="1">
      <c r="F263" s="119"/>
      <c r="G263" s="119"/>
      <c r="H263" s="120"/>
      <c r="I263" s="119"/>
      <c r="J263" s="119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4"/>
    </row>
    <row r="264" ht="14.25" customHeight="1">
      <c r="F264" s="119"/>
      <c r="G264" s="119"/>
      <c r="H264" s="120"/>
      <c r="I264" s="119"/>
      <c r="J264" s="119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4"/>
    </row>
    <row r="265" ht="14.25" customHeight="1">
      <c r="F265" s="119"/>
      <c r="G265" s="119"/>
      <c r="H265" s="120"/>
      <c r="I265" s="119"/>
      <c r="J265" s="119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4"/>
    </row>
    <row r="266" ht="14.25" customHeight="1">
      <c r="F266" s="119"/>
      <c r="G266" s="119"/>
      <c r="H266" s="120"/>
      <c r="I266" s="119"/>
      <c r="J266" s="119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4"/>
    </row>
    <row r="267" ht="14.25" customHeight="1">
      <c r="F267" s="119"/>
      <c r="G267" s="119"/>
      <c r="H267" s="120"/>
      <c r="I267" s="119"/>
      <c r="J267" s="119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4"/>
    </row>
    <row r="268" ht="14.25" customHeight="1">
      <c r="F268" s="119"/>
      <c r="G268" s="119"/>
      <c r="H268" s="120"/>
      <c r="I268" s="119"/>
      <c r="J268" s="119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4"/>
    </row>
    <row r="269" ht="14.25" customHeight="1">
      <c r="F269" s="119"/>
      <c r="G269" s="119"/>
      <c r="H269" s="120"/>
      <c r="I269" s="119"/>
      <c r="J269" s="119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4"/>
    </row>
    <row r="270" ht="14.25" customHeight="1">
      <c r="F270" s="119"/>
      <c r="G270" s="119"/>
      <c r="H270" s="120"/>
      <c r="I270" s="119"/>
      <c r="J270" s="119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4"/>
    </row>
    <row r="271" ht="14.25" customHeight="1">
      <c r="F271" s="119"/>
      <c r="G271" s="119"/>
      <c r="H271" s="120"/>
      <c r="I271" s="119"/>
      <c r="J271" s="119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4"/>
    </row>
    <row r="272" ht="14.25" customHeight="1">
      <c r="F272" s="119"/>
      <c r="G272" s="119"/>
      <c r="H272" s="120"/>
      <c r="I272" s="119"/>
      <c r="J272" s="119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4"/>
    </row>
    <row r="273" ht="14.25" customHeight="1">
      <c r="F273" s="119"/>
      <c r="G273" s="119"/>
      <c r="H273" s="120"/>
      <c r="I273" s="119"/>
      <c r="J273" s="119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4"/>
    </row>
    <row r="274" ht="14.25" customHeight="1">
      <c r="F274" s="119"/>
      <c r="G274" s="119"/>
      <c r="H274" s="120"/>
      <c r="I274" s="119"/>
      <c r="J274" s="119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4"/>
    </row>
    <row r="275" ht="14.25" customHeight="1">
      <c r="F275" s="119"/>
      <c r="G275" s="119"/>
      <c r="H275" s="120"/>
      <c r="I275" s="119"/>
      <c r="J275" s="119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4"/>
    </row>
    <row r="276" ht="14.25" customHeight="1">
      <c r="F276" s="119"/>
      <c r="G276" s="119"/>
      <c r="H276" s="120"/>
      <c r="I276" s="119"/>
      <c r="J276" s="119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4"/>
    </row>
    <row r="277" ht="14.25" customHeight="1">
      <c r="F277" s="119"/>
      <c r="G277" s="119"/>
      <c r="H277" s="120"/>
      <c r="I277" s="119"/>
      <c r="J277" s="119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4"/>
    </row>
    <row r="278" ht="14.25" customHeight="1">
      <c r="F278" s="119"/>
      <c r="G278" s="119"/>
      <c r="H278" s="120"/>
      <c r="I278" s="119"/>
      <c r="J278" s="119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4"/>
    </row>
    <row r="279" ht="14.25" customHeight="1">
      <c r="F279" s="119"/>
      <c r="G279" s="119"/>
      <c r="H279" s="120"/>
      <c r="I279" s="119"/>
      <c r="J279" s="119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4"/>
    </row>
    <row r="280" ht="14.25" customHeight="1">
      <c r="F280" s="119"/>
      <c r="G280" s="119"/>
      <c r="H280" s="120"/>
      <c r="I280" s="119"/>
      <c r="J280" s="119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4"/>
    </row>
    <row r="281" ht="14.25" customHeight="1">
      <c r="F281" s="119"/>
      <c r="G281" s="119"/>
      <c r="H281" s="120"/>
      <c r="I281" s="119"/>
      <c r="J281" s="119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4"/>
    </row>
    <row r="282" ht="14.25" customHeight="1">
      <c r="F282" s="119"/>
      <c r="G282" s="119"/>
      <c r="H282" s="120"/>
      <c r="I282" s="119"/>
      <c r="J282" s="119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4"/>
    </row>
    <row r="283" ht="14.25" customHeight="1">
      <c r="F283" s="119"/>
      <c r="G283" s="119"/>
      <c r="H283" s="120"/>
      <c r="I283" s="119"/>
      <c r="J283" s="119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4"/>
    </row>
    <row r="284" ht="14.25" customHeight="1">
      <c r="F284" s="119"/>
      <c r="G284" s="119"/>
      <c r="H284" s="120"/>
      <c r="I284" s="119"/>
      <c r="J284" s="119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4"/>
    </row>
    <row r="285" ht="14.25" customHeight="1">
      <c r="F285" s="119"/>
      <c r="G285" s="119"/>
      <c r="H285" s="120"/>
      <c r="I285" s="119"/>
      <c r="J285" s="119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4"/>
    </row>
    <row r="286" ht="14.25" customHeight="1">
      <c r="F286" s="119"/>
      <c r="G286" s="119"/>
      <c r="H286" s="120"/>
      <c r="I286" s="119"/>
      <c r="J286" s="119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4"/>
    </row>
    <row r="287" ht="14.25" customHeight="1">
      <c r="F287" s="119"/>
      <c r="G287" s="119"/>
      <c r="H287" s="120"/>
      <c r="I287" s="119"/>
      <c r="J287" s="119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4"/>
    </row>
    <row r="288" ht="14.25" customHeight="1">
      <c r="F288" s="119"/>
      <c r="G288" s="119"/>
      <c r="H288" s="120"/>
      <c r="I288" s="119"/>
      <c r="J288" s="119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4"/>
    </row>
    <row r="289" ht="14.25" customHeight="1">
      <c r="F289" s="119"/>
      <c r="G289" s="119"/>
      <c r="H289" s="120"/>
      <c r="I289" s="119"/>
      <c r="J289" s="119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4"/>
    </row>
    <row r="290" ht="14.25" customHeight="1">
      <c r="F290" s="119"/>
      <c r="G290" s="119"/>
      <c r="H290" s="120"/>
      <c r="I290" s="119"/>
      <c r="J290" s="119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4"/>
    </row>
    <row r="291" ht="14.25" customHeight="1">
      <c r="F291" s="119"/>
      <c r="G291" s="119"/>
      <c r="H291" s="120"/>
      <c r="I291" s="119"/>
      <c r="J291" s="119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4"/>
    </row>
    <row r="292" ht="14.25" customHeight="1">
      <c r="F292" s="119"/>
      <c r="G292" s="119"/>
      <c r="H292" s="120"/>
      <c r="I292" s="119"/>
      <c r="J292" s="119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4"/>
    </row>
    <row r="293" ht="14.25" customHeight="1">
      <c r="F293" s="119"/>
      <c r="G293" s="119"/>
      <c r="H293" s="120"/>
      <c r="I293" s="119"/>
      <c r="J293" s="119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4"/>
    </row>
    <row r="294" ht="14.25" customHeight="1">
      <c r="F294" s="119"/>
      <c r="G294" s="119"/>
      <c r="H294" s="120"/>
      <c r="I294" s="119"/>
      <c r="J294" s="119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4"/>
    </row>
    <row r="295" ht="14.25" customHeight="1">
      <c r="F295" s="119"/>
      <c r="G295" s="119"/>
      <c r="H295" s="120"/>
      <c r="I295" s="119"/>
      <c r="J295" s="119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4"/>
    </row>
    <row r="296" ht="14.25" customHeight="1">
      <c r="F296" s="119"/>
      <c r="G296" s="119"/>
      <c r="H296" s="120"/>
      <c r="I296" s="119"/>
      <c r="J296" s="119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4"/>
    </row>
    <row r="297" ht="14.25" customHeight="1">
      <c r="F297" s="119"/>
      <c r="G297" s="119"/>
      <c r="H297" s="120"/>
      <c r="I297" s="119"/>
      <c r="J297" s="119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4"/>
    </row>
    <row r="298" ht="14.25" customHeight="1">
      <c r="F298" s="119"/>
      <c r="G298" s="119"/>
      <c r="H298" s="120"/>
      <c r="I298" s="119"/>
      <c r="J298" s="119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4"/>
    </row>
    <row r="299" ht="14.25" customHeight="1">
      <c r="F299" s="119"/>
      <c r="G299" s="119"/>
      <c r="H299" s="120"/>
      <c r="I299" s="119"/>
      <c r="J299" s="119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4"/>
    </row>
    <row r="300" ht="14.25" customHeight="1">
      <c r="F300" s="119"/>
      <c r="G300" s="119"/>
      <c r="H300" s="120"/>
      <c r="I300" s="119"/>
      <c r="J300" s="119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4"/>
    </row>
    <row r="301" ht="14.25" customHeight="1">
      <c r="F301" s="119"/>
      <c r="G301" s="119"/>
      <c r="H301" s="120"/>
      <c r="I301" s="119"/>
      <c r="J301" s="119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4"/>
    </row>
    <row r="302" ht="14.25" customHeight="1">
      <c r="F302" s="119"/>
      <c r="G302" s="119"/>
      <c r="H302" s="120"/>
      <c r="I302" s="119"/>
      <c r="J302" s="119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4"/>
    </row>
    <row r="303" ht="14.25" customHeight="1">
      <c r="F303" s="119"/>
      <c r="G303" s="119"/>
      <c r="H303" s="120"/>
      <c r="I303" s="119"/>
      <c r="J303" s="119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4"/>
    </row>
    <row r="304" ht="14.25" customHeight="1">
      <c r="F304" s="119"/>
      <c r="G304" s="119"/>
      <c r="H304" s="120"/>
      <c r="I304" s="119"/>
      <c r="J304" s="119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4"/>
    </row>
    <row r="305" ht="14.25" customHeight="1">
      <c r="F305" s="119"/>
      <c r="G305" s="119"/>
      <c r="H305" s="120"/>
      <c r="I305" s="119"/>
      <c r="J305" s="119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4"/>
    </row>
    <row r="306" ht="14.25" customHeight="1">
      <c r="F306" s="119"/>
      <c r="G306" s="119"/>
      <c r="H306" s="120"/>
      <c r="I306" s="119"/>
      <c r="J306" s="119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4"/>
    </row>
    <row r="307" ht="14.25" customHeight="1">
      <c r="F307" s="119"/>
      <c r="G307" s="119"/>
      <c r="H307" s="120"/>
      <c r="I307" s="119"/>
      <c r="J307" s="119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4"/>
    </row>
    <row r="308" ht="14.25" customHeight="1">
      <c r="F308" s="119"/>
      <c r="G308" s="119"/>
      <c r="H308" s="120"/>
      <c r="I308" s="119"/>
      <c r="J308" s="119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4"/>
    </row>
    <row r="309" ht="14.25" customHeight="1">
      <c r="F309" s="119"/>
      <c r="G309" s="119"/>
      <c r="H309" s="120"/>
      <c r="I309" s="119"/>
      <c r="J309" s="119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4"/>
    </row>
    <row r="310" ht="14.25" customHeight="1">
      <c r="F310" s="119"/>
      <c r="G310" s="119"/>
      <c r="H310" s="120"/>
      <c r="I310" s="119"/>
      <c r="J310" s="119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4"/>
    </row>
    <row r="311" ht="14.25" customHeight="1">
      <c r="F311" s="119"/>
      <c r="G311" s="119"/>
      <c r="H311" s="120"/>
      <c r="I311" s="119"/>
      <c r="J311" s="119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4"/>
    </row>
    <row r="312" ht="14.25" customHeight="1">
      <c r="F312" s="119"/>
      <c r="G312" s="119"/>
      <c r="H312" s="120"/>
      <c r="I312" s="119"/>
      <c r="J312" s="119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4"/>
    </row>
    <row r="313" ht="14.25" customHeight="1">
      <c r="F313" s="119"/>
      <c r="G313" s="119"/>
      <c r="H313" s="120"/>
      <c r="I313" s="119"/>
      <c r="J313" s="119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4"/>
    </row>
    <row r="314" ht="14.25" customHeight="1">
      <c r="F314" s="119"/>
      <c r="G314" s="119"/>
      <c r="H314" s="120"/>
      <c r="I314" s="119"/>
      <c r="J314" s="119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4"/>
    </row>
    <row r="315" ht="14.25" customHeight="1">
      <c r="F315" s="119"/>
      <c r="G315" s="119"/>
      <c r="H315" s="120"/>
      <c r="I315" s="119"/>
      <c r="J315" s="119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4"/>
    </row>
    <row r="316" ht="14.25" customHeight="1">
      <c r="F316" s="119"/>
      <c r="G316" s="119"/>
      <c r="H316" s="120"/>
      <c r="I316" s="119"/>
      <c r="J316" s="119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4"/>
    </row>
    <row r="317" ht="14.25" customHeight="1">
      <c r="F317" s="119"/>
      <c r="G317" s="119"/>
      <c r="H317" s="120"/>
      <c r="I317" s="119"/>
      <c r="J317" s="119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4"/>
    </row>
    <row r="318" ht="14.25" customHeight="1">
      <c r="F318" s="119"/>
      <c r="G318" s="119"/>
      <c r="H318" s="120"/>
      <c r="I318" s="119"/>
      <c r="J318" s="119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4"/>
    </row>
    <row r="319" ht="14.25" customHeight="1">
      <c r="F319" s="119"/>
      <c r="G319" s="119"/>
      <c r="H319" s="120"/>
      <c r="I319" s="119"/>
      <c r="J319" s="119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4"/>
    </row>
    <row r="320" ht="14.25" customHeight="1">
      <c r="F320" s="119"/>
      <c r="G320" s="119"/>
      <c r="H320" s="120"/>
      <c r="I320" s="119"/>
      <c r="J320" s="119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4"/>
    </row>
    <row r="321" ht="14.25" customHeight="1">
      <c r="F321" s="119"/>
      <c r="G321" s="119"/>
      <c r="H321" s="120"/>
      <c r="I321" s="119"/>
      <c r="J321" s="119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4"/>
    </row>
    <row r="322" ht="14.25" customHeight="1">
      <c r="F322" s="119"/>
      <c r="G322" s="119"/>
      <c r="H322" s="120"/>
      <c r="I322" s="119"/>
      <c r="J322" s="119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4"/>
    </row>
    <row r="323" ht="14.25" customHeight="1">
      <c r="F323" s="119"/>
      <c r="G323" s="119"/>
      <c r="H323" s="120"/>
      <c r="I323" s="119"/>
      <c r="J323" s="119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4"/>
    </row>
    <row r="324" ht="14.25" customHeight="1">
      <c r="F324" s="119"/>
      <c r="G324" s="119"/>
      <c r="H324" s="120"/>
      <c r="I324" s="119"/>
      <c r="J324" s="119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4"/>
    </row>
    <row r="325" ht="14.25" customHeight="1">
      <c r="F325" s="119"/>
      <c r="G325" s="119"/>
      <c r="H325" s="120"/>
      <c r="I325" s="119"/>
      <c r="J325" s="119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4"/>
    </row>
    <row r="326" ht="14.25" customHeight="1">
      <c r="F326" s="119"/>
      <c r="G326" s="119"/>
      <c r="H326" s="120"/>
      <c r="I326" s="119"/>
      <c r="J326" s="119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4"/>
    </row>
    <row r="327" ht="14.25" customHeight="1">
      <c r="F327" s="119"/>
      <c r="G327" s="119"/>
      <c r="H327" s="120"/>
      <c r="I327" s="119"/>
      <c r="J327" s="119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4"/>
    </row>
    <row r="328" ht="14.25" customHeight="1">
      <c r="F328" s="119"/>
      <c r="G328" s="119"/>
      <c r="H328" s="120"/>
      <c r="I328" s="119"/>
      <c r="J328" s="119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4"/>
    </row>
    <row r="329" ht="14.25" customHeight="1">
      <c r="F329" s="119"/>
      <c r="G329" s="119"/>
      <c r="H329" s="120"/>
      <c r="I329" s="119"/>
      <c r="J329" s="119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4"/>
    </row>
    <row r="330" ht="14.25" customHeight="1">
      <c r="F330" s="119"/>
      <c r="G330" s="119"/>
      <c r="H330" s="120"/>
      <c r="I330" s="119"/>
      <c r="J330" s="119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4"/>
    </row>
    <row r="331" ht="14.25" customHeight="1">
      <c r="F331" s="119"/>
      <c r="G331" s="119"/>
      <c r="H331" s="120"/>
      <c r="I331" s="119"/>
      <c r="J331" s="119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4"/>
    </row>
    <row r="332" ht="14.25" customHeight="1">
      <c r="F332" s="119"/>
      <c r="G332" s="119"/>
      <c r="H332" s="120"/>
      <c r="I332" s="119"/>
      <c r="J332" s="119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4"/>
    </row>
    <row r="333" ht="14.25" customHeight="1">
      <c r="F333" s="119"/>
      <c r="G333" s="119"/>
      <c r="H333" s="120"/>
      <c r="I333" s="119"/>
      <c r="J333" s="119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4"/>
    </row>
    <row r="334" ht="14.25" customHeight="1">
      <c r="F334" s="119"/>
      <c r="G334" s="119"/>
      <c r="H334" s="120"/>
      <c r="I334" s="119"/>
      <c r="J334" s="119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4"/>
    </row>
    <row r="335" ht="14.25" customHeight="1">
      <c r="F335" s="119"/>
      <c r="G335" s="119"/>
      <c r="H335" s="120"/>
      <c r="I335" s="119"/>
      <c r="J335" s="119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4"/>
    </row>
    <row r="336" ht="14.25" customHeight="1">
      <c r="F336" s="119"/>
      <c r="G336" s="119"/>
      <c r="H336" s="120"/>
      <c r="I336" s="119"/>
      <c r="J336" s="119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4"/>
    </row>
    <row r="337" ht="14.25" customHeight="1">
      <c r="F337" s="119"/>
      <c r="G337" s="119"/>
      <c r="H337" s="120"/>
      <c r="I337" s="119"/>
      <c r="J337" s="119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4"/>
    </row>
    <row r="338" ht="14.25" customHeight="1">
      <c r="F338" s="119"/>
      <c r="G338" s="119"/>
      <c r="H338" s="120"/>
      <c r="I338" s="119"/>
      <c r="J338" s="119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4"/>
    </row>
    <row r="339" ht="14.25" customHeight="1">
      <c r="F339" s="119"/>
      <c r="G339" s="119"/>
      <c r="H339" s="120"/>
      <c r="I339" s="119"/>
      <c r="J339" s="119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4"/>
    </row>
    <row r="340" ht="14.25" customHeight="1">
      <c r="F340" s="119"/>
      <c r="G340" s="119"/>
      <c r="H340" s="120"/>
      <c r="I340" s="119"/>
      <c r="J340" s="119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4"/>
    </row>
    <row r="341" ht="14.25" customHeight="1">
      <c r="F341" s="119"/>
      <c r="G341" s="119"/>
      <c r="H341" s="120"/>
      <c r="I341" s="119"/>
      <c r="J341" s="119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4"/>
    </row>
    <row r="342" ht="14.25" customHeight="1">
      <c r="F342" s="119"/>
      <c r="G342" s="119"/>
      <c r="H342" s="120"/>
      <c r="I342" s="119"/>
      <c r="J342" s="119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4"/>
    </row>
    <row r="343" ht="14.25" customHeight="1">
      <c r="F343" s="119"/>
      <c r="G343" s="119"/>
      <c r="H343" s="120"/>
      <c r="I343" s="119"/>
      <c r="J343" s="119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4"/>
    </row>
    <row r="344" ht="14.25" customHeight="1">
      <c r="F344" s="119"/>
      <c r="G344" s="119"/>
      <c r="H344" s="120"/>
      <c r="I344" s="119"/>
      <c r="J344" s="119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4"/>
    </row>
    <row r="345" ht="14.25" customHeight="1">
      <c r="F345" s="119"/>
      <c r="G345" s="119"/>
      <c r="H345" s="120"/>
      <c r="I345" s="119"/>
      <c r="J345" s="119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4"/>
    </row>
    <row r="346" ht="14.25" customHeight="1">
      <c r="F346" s="119"/>
      <c r="G346" s="119"/>
      <c r="H346" s="120"/>
      <c r="I346" s="119"/>
      <c r="J346" s="119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4"/>
    </row>
    <row r="347" ht="14.25" customHeight="1">
      <c r="F347" s="119"/>
      <c r="G347" s="119"/>
      <c r="H347" s="120"/>
      <c r="I347" s="119"/>
      <c r="J347" s="119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4"/>
    </row>
    <row r="348" ht="14.25" customHeight="1">
      <c r="F348" s="119"/>
      <c r="G348" s="119"/>
      <c r="H348" s="120"/>
      <c r="I348" s="119"/>
      <c r="J348" s="119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4"/>
    </row>
    <row r="349" ht="14.25" customHeight="1">
      <c r="F349" s="119"/>
      <c r="G349" s="119"/>
      <c r="H349" s="120"/>
      <c r="I349" s="119"/>
      <c r="J349" s="119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4"/>
    </row>
    <row r="350" ht="14.25" customHeight="1">
      <c r="F350" s="119"/>
      <c r="G350" s="119"/>
      <c r="H350" s="120"/>
      <c r="I350" s="119"/>
      <c r="J350" s="119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4"/>
    </row>
    <row r="351" ht="14.25" customHeight="1">
      <c r="F351" s="119"/>
      <c r="G351" s="119"/>
      <c r="H351" s="120"/>
      <c r="I351" s="119"/>
      <c r="J351" s="119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4"/>
    </row>
    <row r="352" ht="14.25" customHeight="1">
      <c r="F352" s="119"/>
      <c r="G352" s="119"/>
      <c r="H352" s="120"/>
      <c r="I352" s="119"/>
      <c r="J352" s="119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4"/>
    </row>
    <row r="353" ht="14.25" customHeight="1">
      <c r="F353" s="119"/>
      <c r="G353" s="119"/>
      <c r="H353" s="120"/>
      <c r="I353" s="119"/>
      <c r="J353" s="119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4"/>
    </row>
    <row r="354" ht="14.25" customHeight="1">
      <c r="F354" s="119"/>
      <c r="G354" s="119"/>
      <c r="H354" s="120"/>
      <c r="I354" s="119"/>
      <c r="J354" s="119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4"/>
    </row>
    <row r="355" ht="14.25" customHeight="1">
      <c r="F355" s="119"/>
      <c r="G355" s="119"/>
      <c r="H355" s="120"/>
      <c r="I355" s="119"/>
      <c r="J355" s="119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4"/>
    </row>
    <row r="356" ht="14.25" customHeight="1">
      <c r="F356" s="119"/>
      <c r="G356" s="119"/>
      <c r="H356" s="120"/>
      <c r="I356" s="119"/>
      <c r="J356" s="119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4"/>
    </row>
    <row r="357" ht="14.25" customHeight="1">
      <c r="F357" s="119"/>
      <c r="G357" s="119"/>
      <c r="H357" s="120"/>
      <c r="I357" s="119"/>
      <c r="J357" s="119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4"/>
    </row>
    <row r="358" ht="14.25" customHeight="1">
      <c r="F358" s="119"/>
      <c r="G358" s="119"/>
      <c r="H358" s="120"/>
      <c r="I358" s="119"/>
      <c r="J358" s="119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4"/>
    </row>
    <row r="359" ht="14.25" customHeight="1">
      <c r="F359" s="119"/>
      <c r="G359" s="119"/>
      <c r="H359" s="120"/>
      <c r="I359" s="119"/>
      <c r="J359" s="119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4"/>
    </row>
    <row r="360" ht="14.25" customHeight="1">
      <c r="F360" s="119"/>
      <c r="G360" s="119"/>
      <c r="H360" s="120"/>
      <c r="I360" s="119"/>
      <c r="J360" s="119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4"/>
    </row>
    <row r="361" ht="14.25" customHeight="1">
      <c r="F361" s="119"/>
      <c r="G361" s="119"/>
      <c r="H361" s="120"/>
      <c r="I361" s="119"/>
      <c r="J361" s="119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4"/>
    </row>
    <row r="362" ht="14.25" customHeight="1">
      <c r="F362" s="119"/>
      <c r="G362" s="119"/>
      <c r="H362" s="120"/>
      <c r="I362" s="119"/>
      <c r="J362" s="119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4"/>
    </row>
    <row r="363" ht="14.25" customHeight="1">
      <c r="F363" s="119"/>
      <c r="G363" s="119"/>
      <c r="H363" s="120"/>
      <c r="I363" s="119"/>
      <c r="J363" s="119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4"/>
    </row>
    <row r="364" ht="14.25" customHeight="1">
      <c r="F364" s="119"/>
      <c r="G364" s="119"/>
      <c r="H364" s="120"/>
      <c r="I364" s="119"/>
      <c r="J364" s="119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4"/>
    </row>
    <row r="365" ht="14.25" customHeight="1">
      <c r="F365" s="119"/>
      <c r="G365" s="119"/>
      <c r="H365" s="120"/>
      <c r="I365" s="119"/>
      <c r="J365" s="119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4"/>
    </row>
    <row r="366" ht="14.25" customHeight="1">
      <c r="F366" s="119"/>
      <c r="G366" s="119"/>
      <c r="H366" s="120"/>
      <c r="I366" s="119"/>
      <c r="J366" s="119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4"/>
    </row>
    <row r="367" ht="14.25" customHeight="1">
      <c r="F367" s="119"/>
      <c r="G367" s="119"/>
      <c r="H367" s="120"/>
      <c r="I367" s="119"/>
      <c r="J367" s="119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4"/>
    </row>
    <row r="368" ht="14.25" customHeight="1">
      <c r="F368" s="119"/>
      <c r="G368" s="119"/>
      <c r="H368" s="120"/>
      <c r="I368" s="119"/>
      <c r="J368" s="119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4"/>
    </row>
    <row r="369" ht="14.25" customHeight="1">
      <c r="F369" s="119"/>
      <c r="G369" s="119"/>
      <c r="H369" s="120"/>
      <c r="I369" s="119"/>
      <c r="J369" s="119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4"/>
    </row>
    <row r="370" ht="14.25" customHeight="1">
      <c r="F370" s="119"/>
      <c r="G370" s="119"/>
      <c r="H370" s="120"/>
      <c r="I370" s="119"/>
      <c r="J370" s="119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4"/>
    </row>
    <row r="371" ht="14.25" customHeight="1">
      <c r="F371" s="119"/>
      <c r="G371" s="119"/>
      <c r="H371" s="120"/>
      <c r="I371" s="119"/>
      <c r="J371" s="119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4"/>
    </row>
    <row r="372" ht="14.25" customHeight="1">
      <c r="F372" s="119"/>
      <c r="G372" s="119"/>
      <c r="H372" s="120"/>
      <c r="I372" s="119"/>
      <c r="J372" s="119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4"/>
    </row>
    <row r="373" ht="14.25" customHeight="1">
      <c r="F373" s="119"/>
      <c r="G373" s="119"/>
      <c r="H373" s="120"/>
      <c r="I373" s="119"/>
      <c r="J373" s="119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4"/>
    </row>
    <row r="374" ht="14.25" customHeight="1">
      <c r="F374" s="119"/>
      <c r="G374" s="119"/>
      <c r="H374" s="120"/>
      <c r="I374" s="119"/>
      <c r="J374" s="119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4"/>
    </row>
    <row r="375" ht="14.25" customHeight="1">
      <c r="F375" s="119"/>
      <c r="G375" s="119"/>
      <c r="H375" s="120"/>
      <c r="I375" s="119"/>
      <c r="J375" s="119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4"/>
    </row>
    <row r="376" ht="14.25" customHeight="1">
      <c r="F376" s="119"/>
      <c r="G376" s="119"/>
      <c r="H376" s="120"/>
      <c r="I376" s="119"/>
      <c r="J376" s="119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4"/>
    </row>
    <row r="377" ht="14.25" customHeight="1">
      <c r="F377" s="119"/>
      <c r="G377" s="119"/>
      <c r="H377" s="120"/>
      <c r="I377" s="119"/>
      <c r="J377" s="119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4"/>
    </row>
    <row r="378" ht="14.25" customHeight="1">
      <c r="F378" s="119"/>
      <c r="G378" s="119"/>
      <c r="H378" s="120"/>
      <c r="I378" s="119"/>
      <c r="J378" s="119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4"/>
    </row>
    <row r="379" ht="14.25" customHeight="1">
      <c r="F379" s="119"/>
      <c r="G379" s="119"/>
      <c r="H379" s="120"/>
      <c r="I379" s="119"/>
      <c r="J379" s="119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4"/>
    </row>
    <row r="380" ht="14.25" customHeight="1">
      <c r="F380" s="119"/>
      <c r="G380" s="119"/>
      <c r="H380" s="120"/>
      <c r="I380" s="119"/>
      <c r="J380" s="119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4"/>
    </row>
    <row r="381" ht="14.25" customHeight="1">
      <c r="F381" s="119"/>
      <c r="G381" s="119"/>
      <c r="H381" s="120"/>
      <c r="I381" s="119"/>
      <c r="J381" s="119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4"/>
    </row>
    <row r="382" ht="14.25" customHeight="1">
      <c r="F382" s="119"/>
      <c r="G382" s="119"/>
      <c r="H382" s="120"/>
      <c r="I382" s="119"/>
      <c r="J382" s="119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4"/>
    </row>
    <row r="383" ht="14.25" customHeight="1">
      <c r="F383" s="119"/>
      <c r="G383" s="119"/>
      <c r="H383" s="120"/>
      <c r="I383" s="119"/>
      <c r="J383" s="119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4"/>
    </row>
    <row r="384" ht="14.25" customHeight="1">
      <c r="F384" s="119"/>
      <c r="G384" s="119"/>
      <c r="H384" s="120"/>
      <c r="I384" s="119"/>
      <c r="J384" s="119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4"/>
    </row>
    <row r="385" ht="14.25" customHeight="1">
      <c r="F385" s="119"/>
      <c r="G385" s="119"/>
      <c r="H385" s="120"/>
      <c r="I385" s="119"/>
      <c r="J385" s="119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4"/>
    </row>
    <row r="386" ht="14.25" customHeight="1">
      <c r="F386" s="119"/>
      <c r="G386" s="119"/>
      <c r="H386" s="120"/>
      <c r="I386" s="119"/>
      <c r="J386" s="119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4"/>
    </row>
    <row r="387" ht="14.25" customHeight="1">
      <c r="F387" s="119"/>
      <c r="G387" s="119"/>
      <c r="H387" s="120"/>
      <c r="I387" s="119"/>
      <c r="J387" s="119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4"/>
    </row>
    <row r="388" ht="14.25" customHeight="1">
      <c r="F388" s="119"/>
      <c r="G388" s="119"/>
      <c r="H388" s="120"/>
      <c r="I388" s="119"/>
      <c r="J388" s="119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4"/>
    </row>
    <row r="389" ht="14.25" customHeight="1">
      <c r="F389" s="119"/>
      <c r="G389" s="119"/>
      <c r="H389" s="120"/>
      <c r="I389" s="119"/>
      <c r="J389" s="119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4"/>
    </row>
    <row r="390" ht="14.25" customHeight="1">
      <c r="F390" s="119"/>
      <c r="G390" s="119"/>
      <c r="H390" s="120"/>
      <c r="I390" s="119"/>
      <c r="J390" s="119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4"/>
    </row>
    <row r="391" ht="14.25" customHeight="1">
      <c r="F391" s="119"/>
      <c r="G391" s="119"/>
      <c r="H391" s="120"/>
      <c r="I391" s="119"/>
      <c r="J391" s="119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4"/>
    </row>
    <row r="392" ht="14.25" customHeight="1">
      <c r="F392" s="119"/>
      <c r="G392" s="119"/>
      <c r="H392" s="120"/>
      <c r="I392" s="119"/>
      <c r="J392" s="119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4"/>
    </row>
    <row r="393" ht="14.25" customHeight="1">
      <c r="F393" s="119"/>
      <c r="G393" s="119"/>
      <c r="H393" s="120"/>
      <c r="I393" s="119"/>
      <c r="J393" s="119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4"/>
    </row>
    <row r="394" ht="14.25" customHeight="1">
      <c r="F394" s="119"/>
      <c r="G394" s="119"/>
      <c r="H394" s="120"/>
      <c r="I394" s="119"/>
      <c r="J394" s="119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4"/>
    </row>
    <row r="395" ht="14.25" customHeight="1">
      <c r="F395" s="119"/>
      <c r="G395" s="119"/>
      <c r="H395" s="120"/>
      <c r="I395" s="119"/>
      <c r="J395" s="119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4"/>
    </row>
    <row r="396" ht="14.25" customHeight="1">
      <c r="F396" s="119"/>
      <c r="G396" s="119"/>
      <c r="H396" s="120"/>
      <c r="I396" s="119"/>
      <c r="J396" s="119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4"/>
    </row>
    <row r="397" ht="14.25" customHeight="1">
      <c r="F397" s="119"/>
      <c r="G397" s="119"/>
      <c r="H397" s="120"/>
      <c r="I397" s="119"/>
      <c r="J397" s="119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4"/>
    </row>
    <row r="398" ht="14.25" customHeight="1">
      <c r="F398" s="119"/>
      <c r="G398" s="119"/>
      <c r="H398" s="120"/>
      <c r="I398" s="119"/>
      <c r="J398" s="119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4"/>
    </row>
    <row r="399" ht="14.25" customHeight="1">
      <c r="F399" s="119"/>
      <c r="G399" s="119"/>
      <c r="H399" s="120"/>
      <c r="I399" s="119"/>
      <c r="J399" s="119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4"/>
    </row>
    <row r="400" ht="14.25" customHeight="1">
      <c r="F400" s="119"/>
      <c r="G400" s="119"/>
      <c r="H400" s="120"/>
      <c r="I400" s="119"/>
      <c r="J400" s="119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4"/>
    </row>
    <row r="401" ht="14.25" customHeight="1">
      <c r="F401" s="119"/>
      <c r="G401" s="119"/>
      <c r="H401" s="120"/>
      <c r="I401" s="119"/>
      <c r="J401" s="119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4"/>
    </row>
    <row r="402" ht="14.25" customHeight="1">
      <c r="F402" s="119"/>
      <c r="G402" s="119"/>
      <c r="H402" s="120"/>
      <c r="I402" s="119"/>
      <c r="J402" s="119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4"/>
    </row>
    <row r="403" ht="14.25" customHeight="1">
      <c r="F403" s="119"/>
      <c r="G403" s="119"/>
      <c r="H403" s="120"/>
      <c r="I403" s="119"/>
      <c r="J403" s="119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4"/>
    </row>
    <row r="404" ht="14.25" customHeight="1">
      <c r="F404" s="119"/>
      <c r="G404" s="119"/>
      <c r="H404" s="120"/>
      <c r="I404" s="119"/>
      <c r="J404" s="119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4"/>
    </row>
    <row r="405" ht="14.25" customHeight="1">
      <c r="F405" s="119"/>
      <c r="G405" s="119"/>
      <c r="H405" s="120"/>
      <c r="I405" s="119"/>
      <c r="J405" s="119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4"/>
    </row>
    <row r="406" ht="14.25" customHeight="1">
      <c r="F406" s="119"/>
      <c r="G406" s="119"/>
      <c r="H406" s="120"/>
      <c r="I406" s="119"/>
      <c r="J406" s="119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4"/>
    </row>
    <row r="407" ht="14.25" customHeight="1">
      <c r="F407" s="119"/>
      <c r="G407" s="119"/>
      <c r="H407" s="120"/>
      <c r="I407" s="119"/>
      <c r="J407" s="119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4"/>
    </row>
    <row r="408" ht="14.25" customHeight="1">
      <c r="F408" s="119"/>
      <c r="G408" s="119"/>
      <c r="H408" s="120"/>
      <c r="I408" s="119"/>
      <c r="J408" s="119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4"/>
    </row>
    <row r="409" ht="14.25" customHeight="1">
      <c r="F409" s="119"/>
      <c r="G409" s="119"/>
      <c r="H409" s="120"/>
      <c r="I409" s="119"/>
      <c r="J409" s="119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4"/>
    </row>
    <row r="410" ht="14.25" customHeight="1">
      <c r="F410" s="119"/>
      <c r="G410" s="119"/>
      <c r="H410" s="120"/>
      <c r="I410" s="119"/>
      <c r="J410" s="119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4"/>
    </row>
    <row r="411" ht="14.25" customHeight="1">
      <c r="F411" s="119"/>
      <c r="G411" s="119"/>
      <c r="H411" s="120"/>
      <c r="I411" s="119"/>
      <c r="J411" s="119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4"/>
    </row>
    <row r="412" ht="14.25" customHeight="1">
      <c r="F412" s="119"/>
      <c r="G412" s="119"/>
      <c r="H412" s="120"/>
      <c r="I412" s="119"/>
      <c r="J412" s="119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4"/>
    </row>
    <row r="413" ht="14.25" customHeight="1">
      <c r="F413" s="119"/>
      <c r="G413" s="119"/>
      <c r="H413" s="120"/>
      <c r="I413" s="119"/>
      <c r="J413" s="119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4"/>
    </row>
    <row r="414" ht="14.25" customHeight="1">
      <c r="F414" s="119"/>
      <c r="G414" s="119"/>
      <c r="H414" s="120"/>
      <c r="I414" s="119"/>
      <c r="J414" s="119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4"/>
    </row>
    <row r="415" ht="14.25" customHeight="1">
      <c r="F415" s="119"/>
      <c r="G415" s="119"/>
      <c r="H415" s="120"/>
      <c r="I415" s="119"/>
      <c r="J415" s="119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4"/>
    </row>
    <row r="416" ht="14.25" customHeight="1">
      <c r="F416" s="119"/>
      <c r="G416" s="119"/>
      <c r="H416" s="120"/>
      <c r="I416" s="119"/>
      <c r="J416" s="119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4"/>
    </row>
    <row r="417" ht="14.25" customHeight="1">
      <c r="F417" s="119"/>
      <c r="G417" s="119"/>
      <c r="H417" s="120"/>
      <c r="I417" s="119"/>
      <c r="J417" s="119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4"/>
    </row>
    <row r="418" ht="14.25" customHeight="1">
      <c r="F418" s="119"/>
      <c r="G418" s="119"/>
      <c r="H418" s="120"/>
      <c r="I418" s="119"/>
      <c r="J418" s="119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4"/>
    </row>
    <row r="419" ht="14.25" customHeight="1">
      <c r="F419" s="119"/>
      <c r="G419" s="119"/>
      <c r="H419" s="120"/>
      <c r="I419" s="119"/>
      <c r="J419" s="119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4"/>
    </row>
    <row r="420" ht="14.25" customHeight="1">
      <c r="F420" s="119"/>
      <c r="G420" s="119"/>
      <c r="H420" s="120"/>
      <c r="I420" s="119"/>
      <c r="J420" s="119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4"/>
    </row>
    <row r="421" ht="14.25" customHeight="1">
      <c r="F421" s="119"/>
      <c r="G421" s="119"/>
      <c r="H421" s="120"/>
      <c r="I421" s="119"/>
      <c r="J421" s="119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4"/>
    </row>
    <row r="422" ht="14.25" customHeight="1">
      <c r="F422" s="119"/>
      <c r="G422" s="119"/>
      <c r="H422" s="120"/>
      <c r="I422" s="119"/>
      <c r="J422" s="119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4"/>
    </row>
    <row r="423" ht="14.25" customHeight="1">
      <c r="F423" s="119"/>
      <c r="G423" s="119"/>
      <c r="H423" s="120"/>
      <c r="I423" s="119"/>
      <c r="J423" s="119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4"/>
    </row>
    <row r="424" ht="14.25" customHeight="1">
      <c r="F424" s="119"/>
      <c r="G424" s="119"/>
      <c r="H424" s="120"/>
      <c r="I424" s="119"/>
      <c r="J424" s="119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4"/>
    </row>
    <row r="425" ht="14.25" customHeight="1">
      <c r="F425" s="119"/>
      <c r="G425" s="119"/>
      <c r="H425" s="120"/>
      <c r="I425" s="119"/>
      <c r="J425" s="119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4"/>
    </row>
    <row r="426" ht="14.25" customHeight="1">
      <c r="F426" s="119"/>
      <c r="G426" s="119"/>
      <c r="H426" s="120"/>
      <c r="I426" s="119"/>
      <c r="J426" s="119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4"/>
    </row>
    <row r="427" ht="14.25" customHeight="1">
      <c r="F427" s="119"/>
      <c r="G427" s="119"/>
      <c r="H427" s="120"/>
      <c r="I427" s="119"/>
      <c r="J427" s="119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4"/>
    </row>
    <row r="428" ht="14.25" customHeight="1">
      <c r="F428" s="119"/>
      <c r="G428" s="119"/>
      <c r="H428" s="120"/>
      <c r="I428" s="119"/>
      <c r="J428" s="119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4"/>
    </row>
    <row r="429" ht="14.25" customHeight="1">
      <c r="F429" s="119"/>
      <c r="G429" s="119"/>
      <c r="H429" s="120"/>
      <c r="I429" s="119"/>
      <c r="J429" s="119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4"/>
    </row>
    <row r="430" ht="14.25" customHeight="1">
      <c r="F430" s="119"/>
      <c r="G430" s="119"/>
      <c r="H430" s="120"/>
      <c r="I430" s="119"/>
      <c r="J430" s="119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4"/>
    </row>
    <row r="431" ht="14.25" customHeight="1">
      <c r="F431" s="119"/>
      <c r="G431" s="119"/>
      <c r="H431" s="120"/>
      <c r="I431" s="119"/>
      <c r="J431" s="119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4"/>
    </row>
    <row r="432" ht="14.25" customHeight="1">
      <c r="F432" s="119"/>
      <c r="G432" s="119"/>
      <c r="H432" s="120"/>
      <c r="I432" s="119"/>
      <c r="J432" s="119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4"/>
    </row>
    <row r="433" ht="14.25" customHeight="1">
      <c r="F433" s="119"/>
      <c r="G433" s="119"/>
      <c r="H433" s="120"/>
      <c r="I433" s="119"/>
      <c r="J433" s="119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4"/>
    </row>
    <row r="434" ht="14.25" customHeight="1">
      <c r="F434" s="119"/>
      <c r="G434" s="119"/>
      <c r="H434" s="120"/>
      <c r="I434" s="119"/>
      <c r="J434" s="119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4"/>
    </row>
    <row r="435" ht="14.25" customHeight="1">
      <c r="F435" s="119"/>
      <c r="G435" s="119"/>
      <c r="H435" s="120"/>
      <c r="I435" s="119"/>
      <c r="J435" s="119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4"/>
    </row>
    <row r="436" ht="14.25" customHeight="1">
      <c r="F436" s="119"/>
      <c r="G436" s="119"/>
      <c r="H436" s="120"/>
      <c r="I436" s="119"/>
      <c r="J436" s="119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4"/>
    </row>
    <row r="437" ht="14.25" customHeight="1">
      <c r="F437" s="119"/>
      <c r="G437" s="119"/>
      <c r="H437" s="120"/>
      <c r="I437" s="119"/>
      <c r="J437" s="119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4"/>
    </row>
    <row r="438" ht="14.25" customHeight="1">
      <c r="F438" s="119"/>
      <c r="G438" s="119"/>
      <c r="H438" s="120"/>
      <c r="I438" s="119"/>
      <c r="J438" s="119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4"/>
    </row>
    <row r="439" ht="14.25" customHeight="1">
      <c r="F439" s="119"/>
      <c r="G439" s="119"/>
      <c r="H439" s="120"/>
      <c r="I439" s="119"/>
      <c r="J439" s="119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4"/>
    </row>
    <row r="440" ht="14.25" customHeight="1">
      <c r="F440" s="119"/>
      <c r="G440" s="119"/>
      <c r="H440" s="120"/>
      <c r="I440" s="119"/>
      <c r="J440" s="119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4"/>
    </row>
    <row r="441" ht="14.25" customHeight="1">
      <c r="F441" s="119"/>
      <c r="G441" s="119"/>
      <c r="H441" s="120"/>
      <c r="I441" s="119"/>
      <c r="J441" s="119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4"/>
    </row>
    <row r="442" ht="14.25" customHeight="1">
      <c r="F442" s="119"/>
      <c r="G442" s="119"/>
      <c r="H442" s="120"/>
      <c r="I442" s="119"/>
      <c r="J442" s="119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4"/>
    </row>
    <row r="443" ht="14.25" customHeight="1">
      <c r="F443" s="119"/>
      <c r="G443" s="119"/>
      <c r="H443" s="120"/>
      <c r="I443" s="119"/>
      <c r="J443" s="119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4"/>
    </row>
    <row r="444" ht="14.25" customHeight="1">
      <c r="F444" s="119"/>
      <c r="G444" s="119"/>
      <c r="H444" s="120"/>
      <c r="I444" s="119"/>
      <c r="J444" s="119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4"/>
    </row>
    <row r="445" ht="14.25" customHeight="1">
      <c r="F445" s="119"/>
      <c r="G445" s="119"/>
      <c r="H445" s="120"/>
      <c r="I445" s="119"/>
      <c r="J445" s="119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4"/>
    </row>
    <row r="446" ht="14.25" customHeight="1">
      <c r="F446" s="119"/>
      <c r="G446" s="119"/>
      <c r="H446" s="120"/>
      <c r="I446" s="119"/>
      <c r="J446" s="119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4"/>
    </row>
    <row r="447" ht="14.25" customHeight="1">
      <c r="F447" s="119"/>
      <c r="G447" s="119"/>
      <c r="H447" s="120"/>
      <c r="I447" s="119"/>
      <c r="J447" s="119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4"/>
    </row>
    <row r="448" ht="14.25" customHeight="1">
      <c r="F448" s="119"/>
      <c r="G448" s="119"/>
      <c r="H448" s="120"/>
      <c r="I448" s="119"/>
      <c r="J448" s="119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4"/>
    </row>
    <row r="449" ht="14.25" customHeight="1">
      <c r="F449" s="119"/>
      <c r="G449" s="119"/>
      <c r="H449" s="120"/>
      <c r="I449" s="119"/>
      <c r="J449" s="119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4"/>
    </row>
    <row r="450" ht="14.25" customHeight="1">
      <c r="F450" s="119"/>
      <c r="G450" s="119"/>
      <c r="H450" s="120"/>
      <c r="I450" s="119"/>
      <c r="J450" s="119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4"/>
    </row>
    <row r="451" ht="14.25" customHeight="1">
      <c r="F451" s="119"/>
      <c r="G451" s="119"/>
      <c r="H451" s="120"/>
      <c r="I451" s="119"/>
      <c r="J451" s="119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4"/>
    </row>
    <row r="452" ht="14.25" customHeight="1">
      <c r="F452" s="119"/>
      <c r="G452" s="119"/>
      <c r="H452" s="120"/>
      <c r="I452" s="119"/>
      <c r="J452" s="119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4"/>
    </row>
    <row r="453" ht="14.25" customHeight="1">
      <c r="F453" s="119"/>
      <c r="G453" s="119"/>
      <c r="H453" s="120"/>
      <c r="I453" s="119"/>
      <c r="J453" s="119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4"/>
    </row>
    <row r="454" ht="14.25" customHeight="1">
      <c r="F454" s="119"/>
      <c r="G454" s="119"/>
      <c r="H454" s="120"/>
      <c r="I454" s="119"/>
      <c r="J454" s="119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4"/>
    </row>
    <row r="455" ht="14.25" customHeight="1">
      <c r="F455" s="119"/>
      <c r="G455" s="119"/>
      <c r="H455" s="120"/>
      <c r="I455" s="119"/>
      <c r="J455" s="119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4"/>
    </row>
    <row r="456" ht="14.25" customHeight="1">
      <c r="F456" s="119"/>
      <c r="G456" s="119"/>
      <c r="H456" s="120"/>
      <c r="I456" s="119"/>
      <c r="J456" s="119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4"/>
    </row>
    <row r="457" ht="14.25" customHeight="1">
      <c r="F457" s="119"/>
      <c r="G457" s="119"/>
      <c r="H457" s="120"/>
      <c r="I457" s="119"/>
      <c r="J457" s="119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4"/>
    </row>
    <row r="458" ht="14.25" customHeight="1">
      <c r="F458" s="119"/>
      <c r="G458" s="119"/>
      <c r="H458" s="120"/>
      <c r="I458" s="119"/>
      <c r="J458" s="119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4"/>
    </row>
    <row r="459" ht="14.25" customHeight="1">
      <c r="F459" s="119"/>
      <c r="G459" s="119"/>
      <c r="H459" s="120"/>
      <c r="I459" s="119"/>
      <c r="J459" s="119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4"/>
    </row>
    <row r="460" ht="14.25" customHeight="1">
      <c r="F460" s="119"/>
      <c r="G460" s="119"/>
      <c r="H460" s="120"/>
      <c r="I460" s="119"/>
      <c r="J460" s="119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4"/>
    </row>
    <row r="461" ht="14.25" customHeight="1">
      <c r="F461" s="119"/>
      <c r="G461" s="119"/>
      <c r="H461" s="120"/>
      <c r="I461" s="119"/>
      <c r="J461" s="119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4"/>
    </row>
    <row r="462" ht="14.25" customHeight="1">
      <c r="F462" s="119"/>
      <c r="G462" s="119"/>
      <c r="H462" s="120"/>
      <c r="I462" s="119"/>
      <c r="J462" s="119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4"/>
    </row>
    <row r="463" ht="14.25" customHeight="1">
      <c r="F463" s="119"/>
      <c r="G463" s="119"/>
      <c r="H463" s="120"/>
      <c r="I463" s="119"/>
      <c r="J463" s="119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4"/>
    </row>
    <row r="464" ht="14.25" customHeight="1">
      <c r="F464" s="119"/>
      <c r="G464" s="119"/>
      <c r="H464" s="120"/>
      <c r="I464" s="119"/>
      <c r="J464" s="119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4"/>
    </row>
    <row r="465" ht="14.25" customHeight="1">
      <c r="F465" s="119"/>
      <c r="G465" s="119"/>
      <c r="H465" s="120"/>
      <c r="I465" s="119"/>
      <c r="J465" s="119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4"/>
    </row>
    <row r="466" ht="14.25" customHeight="1">
      <c r="F466" s="119"/>
      <c r="G466" s="119"/>
      <c r="H466" s="120"/>
      <c r="I466" s="119"/>
      <c r="J466" s="119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4"/>
    </row>
    <row r="467" ht="14.25" customHeight="1">
      <c r="F467" s="119"/>
      <c r="G467" s="119"/>
      <c r="H467" s="120"/>
      <c r="I467" s="119"/>
      <c r="J467" s="119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4"/>
    </row>
    <row r="468" ht="14.25" customHeight="1">
      <c r="F468" s="119"/>
      <c r="G468" s="119"/>
      <c r="H468" s="120"/>
      <c r="I468" s="119"/>
      <c r="J468" s="119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4"/>
    </row>
    <row r="469" ht="14.25" customHeight="1">
      <c r="F469" s="119"/>
      <c r="G469" s="119"/>
      <c r="H469" s="120"/>
      <c r="I469" s="119"/>
      <c r="J469" s="119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4"/>
    </row>
    <row r="470" ht="14.25" customHeight="1">
      <c r="F470" s="119"/>
      <c r="G470" s="119"/>
      <c r="H470" s="120"/>
      <c r="I470" s="119"/>
      <c r="J470" s="119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4"/>
    </row>
    <row r="471" ht="14.25" customHeight="1">
      <c r="F471" s="119"/>
      <c r="G471" s="119"/>
      <c r="H471" s="120"/>
      <c r="I471" s="119"/>
      <c r="J471" s="119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4"/>
    </row>
    <row r="472" ht="14.25" customHeight="1">
      <c r="F472" s="119"/>
      <c r="G472" s="119"/>
      <c r="H472" s="120"/>
      <c r="I472" s="119"/>
      <c r="J472" s="119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4"/>
    </row>
    <row r="473" ht="14.25" customHeight="1">
      <c r="F473" s="119"/>
      <c r="G473" s="119"/>
      <c r="H473" s="120"/>
      <c r="I473" s="119"/>
      <c r="J473" s="119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4"/>
    </row>
    <row r="474" ht="14.25" customHeight="1">
      <c r="F474" s="119"/>
      <c r="G474" s="119"/>
      <c r="H474" s="120"/>
      <c r="I474" s="119"/>
      <c r="J474" s="119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4"/>
    </row>
    <row r="475" ht="14.25" customHeight="1">
      <c r="F475" s="119"/>
      <c r="G475" s="119"/>
      <c r="H475" s="120"/>
      <c r="I475" s="119"/>
      <c r="J475" s="119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4"/>
    </row>
    <row r="476" ht="14.25" customHeight="1">
      <c r="F476" s="119"/>
      <c r="G476" s="119"/>
      <c r="H476" s="120"/>
      <c r="I476" s="119"/>
      <c r="J476" s="119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4"/>
    </row>
    <row r="477" ht="14.25" customHeight="1">
      <c r="F477" s="119"/>
      <c r="G477" s="119"/>
      <c r="H477" s="120"/>
      <c r="I477" s="119"/>
      <c r="J477" s="119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4"/>
    </row>
    <row r="478" ht="14.25" customHeight="1">
      <c r="F478" s="119"/>
      <c r="G478" s="119"/>
      <c r="H478" s="120"/>
      <c r="I478" s="119"/>
      <c r="J478" s="119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4"/>
    </row>
    <row r="479" ht="14.25" customHeight="1">
      <c r="F479" s="119"/>
      <c r="G479" s="119"/>
      <c r="H479" s="120"/>
      <c r="I479" s="119"/>
      <c r="J479" s="119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4"/>
    </row>
    <row r="480" ht="14.25" customHeight="1">
      <c r="F480" s="119"/>
      <c r="G480" s="119"/>
      <c r="H480" s="120"/>
      <c r="I480" s="119"/>
      <c r="J480" s="119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4"/>
    </row>
    <row r="481" ht="14.25" customHeight="1">
      <c r="F481" s="119"/>
      <c r="G481" s="119"/>
      <c r="H481" s="120"/>
      <c r="I481" s="119"/>
      <c r="J481" s="119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4"/>
    </row>
    <row r="482" ht="14.25" customHeight="1">
      <c r="F482" s="119"/>
      <c r="G482" s="119"/>
      <c r="H482" s="120"/>
      <c r="I482" s="119"/>
      <c r="J482" s="119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4"/>
    </row>
    <row r="483" ht="14.25" customHeight="1">
      <c r="F483" s="119"/>
      <c r="G483" s="119"/>
      <c r="H483" s="120"/>
      <c r="I483" s="119"/>
      <c r="J483" s="119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4"/>
    </row>
    <row r="484" ht="14.25" customHeight="1">
      <c r="F484" s="119"/>
      <c r="G484" s="119"/>
      <c r="H484" s="120"/>
      <c r="I484" s="119"/>
      <c r="J484" s="119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4"/>
    </row>
    <row r="485" ht="14.25" customHeight="1">
      <c r="F485" s="119"/>
      <c r="G485" s="119"/>
      <c r="H485" s="120"/>
      <c r="I485" s="119"/>
      <c r="J485" s="119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4"/>
    </row>
    <row r="486" ht="14.25" customHeight="1">
      <c r="F486" s="119"/>
      <c r="G486" s="119"/>
      <c r="H486" s="120"/>
      <c r="I486" s="119"/>
      <c r="J486" s="119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4"/>
    </row>
    <row r="487" ht="14.25" customHeight="1">
      <c r="F487" s="119"/>
      <c r="G487" s="119"/>
      <c r="H487" s="120"/>
      <c r="I487" s="119"/>
      <c r="J487" s="119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4"/>
    </row>
    <row r="488" ht="14.25" customHeight="1">
      <c r="F488" s="119"/>
      <c r="G488" s="119"/>
      <c r="H488" s="120"/>
      <c r="I488" s="119"/>
      <c r="J488" s="119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4"/>
    </row>
    <row r="489" ht="14.25" customHeight="1">
      <c r="F489" s="119"/>
      <c r="G489" s="119"/>
      <c r="H489" s="120"/>
      <c r="I489" s="119"/>
      <c r="J489" s="119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4"/>
    </row>
    <row r="490" ht="14.25" customHeight="1">
      <c r="F490" s="119"/>
      <c r="G490" s="119"/>
      <c r="H490" s="120"/>
      <c r="I490" s="119"/>
      <c r="J490" s="119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4"/>
    </row>
    <row r="491" ht="14.25" customHeight="1">
      <c r="F491" s="119"/>
      <c r="G491" s="119"/>
      <c r="H491" s="120"/>
      <c r="I491" s="119"/>
      <c r="J491" s="119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4"/>
    </row>
    <row r="492" ht="14.25" customHeight="1">
      <c r="F492" s="119"/>
      <c r="G492" s="119"/>
      <c r="H492" s="120"/>
      <c r="I492" s="119"/>
      <c r="J492" s="119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4"/>
    </row>
    <row r="493" ht="14.25" customHeight="1">
      <c r="F493" s="119"/>
      <c r="G493" s="119"/>
      <c r="H493" s="120"/>
      <c r="I493" s="119"/>
      <c r="J493" s="119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4"/>
    </row>
    <row r="494" ht="14.25" customHeight="1">
      <c r="F494" s="119"/>
      <c r="G494" s="119"/>
      <c r="H494" s="120"/>
      <c r="I494" s="119"/>
      <c r="J494" s="119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4"/>
    </row>
    <row r="495" ht="14.25" customHeight="1">
      <c r="F495" s="119"/>
      <c r="G495" s="119"/>
      <c r="H495" s="120"/>
      <c r="I495" s="119"/>
      <c r="J495" s="119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4"/>
    </row>
    <row r="496" ht="14.25" customHeight="1">
      <c r="F496" s="119"/>
      <c r="G496" s="119"/>
      <c r="H496" s="120"/>
      <c r="I496" s="119"/>
      <c r="J496" s="119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4"/>
    </row>
    <row r="497" ht="14.25" customHeight="1">
      <c r="F497" s="119"/>
      <c r="G497" s="119"/>
      <c r="H497" s="120"/>
      <c r="I497" s="119"/>
      <c r="J497" s="119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4"/>
    </row>
    <row r="498" ht="14.25" customHeight="1">
      <c r="F498" s="119"/>
      <c r="G498" s="119"/>
      <c r="H498" s="120"/>
      <c r="I498" s="119"/>
      <c r="J498" s="119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4"/>
    </row>
    <row r="499" ht="14.25" customHeight="1">
      <c r="F499" s="119"/>
      <c r="G499" s="119"/>
      <c r="H499" s="120"/>
      <c r="I499" s="119"/>
      <c r="J499" s="119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4"/>
    </row>
    <row r="500" ht="14.25" customHeight="1">
      <c r="F500" s="119"/>
      <c r="G500" s="119"/>
      <c r="H500" s="120"/>
      <c r="I500" s="119"/>
      <c r="J500" s="119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4"/>
    </row>
    <row r="501" ht="14.25" customHeight="1">
      <c r="F501" s="119"/>
      <c r="G501" s="119"/>
      <c r="H501" s="120"/>
      <c r="I501" s="119"/>
      <c r="J501" s="119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4"/>
    </row>
    <row r="502" ht="14.25" customHeight="1">
      <c r="F502" s="119"/>
      <c r="G502" s="119"/>
      <c r="H502" s="120"/>
      <c r="I502" s="119"/>
      <c r="J502" s="119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4"/>
    </row>
    <row r="503" ht="14.25" customHeight="1">
      <c r="F503" s="119"/>
      <c r="G503" s="119"/>
      <c r="H503" s="120"/>
      <c r="I503" s="119"/>
      <c r="J503" s="119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4"/>
    </row>
    <row r="504" ht="14.25" customHeight="1">
      <c r="F504" s="119"/>
      <c r="G504" s="119"/>
      <c r="H504" s="120"/>
      <c r="I504" s="119"/>
      <c r="J504" s="119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4"/>
    </row>
    <row r="505" ht="14.25" customHeight="1">
      <c r="F505" s="119"/>
      <c r="G505" s="119"/>
      <c r="H505" s="120"/>
      <c r="I505" s="119"/>
      <c r="J505" s="119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4"/>
    </row>
    <row r="506" ht="14.25" customHeight="1">
      <c r="F506" s="119"/>
      <c r="G506" s="119"/>
      <c r="H506" s="120"/>
      <c r="I506" s="119"/>
      <c r="J506" s="119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4"/>
    </row>
    <row r="507" ht="14.25" customHeight="1">
      <c r="F507" s="119"/>
      <c r="G507" s="119"/>
      <c r="H507" s="120"/>
      <c r="I507" s="119"/>
      <c r="J507" s="119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4"/>
    </row>
    <row r="508" ht="14.25" customHeight="1">
      <c r="F508" s="119"/>
      <c r="G508" s="119"/>
      <c r="H508" s="120"/>
      <c r="I508" s="119"/>
      <c r="J508" s="119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4"/>
    </row>
    <row r="509" ht="14.25" customHeight="1">
      <c r="F509" s="119"/>
      <c r="G509" s="119"/>
      <c r="H509" s="120"/>
      <c r="I509" s="119"/>
      <c r="J509" s="119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4"/>
    </row>
    <row r="510" ht="14.25" customHeight="1">
      <c r="F510" s="119"/>
      <c r="G510" s="119"/>
      <c r="H510" s="120"/>
      <c r="I510" s="119"/>
      <c r="J510" s="119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4"/>
    </row>
    <row r="511" ht="14.25" customHeight="1">
      <c r="F511" s="119"/>
      <c r="G511" s="119"/>
      <c r="H511" s="120"/>
      <c r="I511" s="119"/>
      <c r="J511" s="119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4"/>
    </row>
    <row r="512" ht="14.25" customHeight="1">
      <c r="F512" s="119"/>
      <c r="G512" s="119"/>
      <c r="H512" s="120"/>
      <c r="I512" s="119"/>
      <c r="J512" s="119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4"/>
    </row>
    <row r="513" ht="14.25" customHeight="1">
      <c r="F513" s="119"/>
      <c r="G513" s="119"/>
      <c r="H513" s="120"/>
      <c r="I513" s="119"/>
      <c r="J513" s="119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4"/>
    </row>
    <row r="514" ht="14.25" customHeight="1">
      <c r="F514" s="119"/>
      <c r="G514" s="119"/>
      <c r="H514" s="120"/>
      <c r="I514" s="119"/>
      <c r="J514" s="119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4"/>
    </row>
    <row r="515" ht="14.25" customHeight="1">
      <c r="F515" s="119"/>
      <c r="G515" s="119"/>
      <c r="H515" s="120"/>
      <c r="I515" s="119"/>
      <c r="J515" s="119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4"/>
    </row>
    <row r="516" ht="14.25" customHeight="1">
      <c r="F516" s="119"/>
      <c r="G516" s="119"/>
      <c r="H516" s="120"/>
      <c r="I516" s="119"/>
      <c r="J516" s="119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4"/>
    </row>
    <row r="517" ht="14.25" customHeight="1">
      <c r="F517" s="119"/>
      <c r="G517" s="119"/>
      <c r="H517" s="120"/>
      <c r="I517" s="119"/>
      <c r="J517" s="119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4"/>
    </row>
    <row r="518" ht="14.25" customHeight="1">
      <c r="F518" s="119"/>
      <c r="G518" s="119"/>
      <c r="H518" s="120"/>
      <c r="I518" s="119"/>
      <c r="J518" s="119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4"/>
    </row>
    <row r="519" ht="14.25" customHeight="1">
      <c r="F519" s="119"/>
      <c r="G519" s="119"/>
      <c r="H519" s="120"/>
      <c r="I519" s="119"/>
      <c r="J519" s="119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4"/>
    </row>
    <row r="520" ht="14.25" customHeight="1">
      <c r="F520" s="119"/>
      <c r="G520" s="119"/>
      <c r="H520" s="120"/>
      <c r="I520" s="119"/>
      <c r="J520" s="119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4"/>
    </row>
    <row r="521" ht="14.25" customHeight="1">
      <c r="F521" s="119"/>
      <c r="G521" s="119"/>
      <c r="H521" s="120"/>
      <c r="I521" s="119"/>
      <c r="J521" s="119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4"/>
    </row>
    <row r="522" ht="14.25" customHeight="1">
      <c r="F522" s="119"/>
      <c r="G522" s="119"/>
      <c r="H522" s="120"/>
      <c r="I522" s="119"/>
      <c r="J522" s="119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4"/>
    </row>
    <row r="523" ht="14.25" customHeight="1">
      <c r="F523" s="119"/>
      <c r="G523" s="119"/>
      <c r="H523" s="120"/>
      <c r="I523" s="119"/>
      <c r="J523" s="119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4"/>
    </row>
    <row r="524" ht="14.25" customHeight="1">
      <c r="F524" s="119"/>
      <c r="G524" s="119"/>
      <c r="H524" s="120"/>
      <c r="I524" s="119"/>
      <c r="J524" s="119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4"/>
    </row>
    <row r="525" ht="14.25" customHeight="1">
      <c r="F525" s="119"/>
      <c r="G525" s="119"/>
      <c r="H525" s="120"/>
      <c r="I525" s="119"/>
      <c r="J525" s="119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4"/>
    </row>
    <row r="526" ht="14.25" customHeight="1">
      <c r="F526" s="119"/>
      <c r="G526" s="119"/>
      <c r="H526" s="120"/>
      <c r="I526" s="119"/>
      <c r="J526" s="119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4"/>
    </row>
    <row r="527" ht="14.25" customHeight="1">
      <c r="F527" s="119"/>
      <c r="G527" s="119"/>
      <c r="H527" s="120"/>
      <c r="I527" s="119"/>
      <c r="J527" s="119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4"/>
    </row>
    <row r="528" ht="14.25" customHeight="1">
      <c r="F528" s="119"/>
      <c r="G528" s="119"/>
      <c r="H528" s="120"/>
      <c r="I528" s="119"/>
      <c r="J528" s="119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4"/>
    </row>
    <row r="529" ht="14.25" customHeight="1">
      <c r="F529" s="119"/>
      <c r="G529" s="119"/>
      <c r="H529" s="120"/>
      <c r="I529" s="119"/>
      <c r="J529" s="119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4"/>
    </row>
    <row r="530" ht="14.25" customHeight="1">
      <c r="F530" s="119"/>
      <c r="G530" s="119"/>
      <c r="H530" s="120"/>
      <c r="I530" s="119"/>
      <c r="J530" s="119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4"/>
    </row>
    <row r="531" ht="14.25" customHeight="1">
      <c r="F531" s="119"/>
      <c r="G531" s="119"/>
      <c r="H531" s="120"/>
      <c r="I531" s="119"/>
      <c r="J531" s="119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4"/>
    </row>
    <row r="532" ht="14.25" customHeight="1">
      <c r="F532" s="119"/>
      <c r="G532" s="119"/>
      <c r="H532" s="120"/>
      <c r="I532" s="119"/>
      <c r="J532" s="119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4"/>
    </row>
    <row r="533" ht="14.25" customHeight="1">
      <c r="F533" s="119"/>
      <c r="G533" s="119"/>
      <c r="H533" s="120"/>
      <c r="I533" s="119"/>
      <c r="J533" s="119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4"/>
    </row>
    <row r="534" ht="14.25" customHeight="1">
      <c r="F534" s="119"/>
      <c r="G534" s="119"/>
      <c r="H534" s="120"/>
      <c r="I534" s="119"/>
      <c r="J534" s="119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4"/>
    </row>
    <row r="535" ht="14.25" customHeight="1">
      <c r="F535" s="119"/>
      <c r="G535" s="119"/>
      <c r="H535" s="120"/>
      <c r="I535" s="119"/>
      <c r="J535" s="119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4"/>
    </row>
    <row r="536" ht="14.25" customHeight="1">
      <c r="F536" s="119"/>
      <c r="G536" s="119"/>
      <c r="H536" s="120"/>
      <c r="I536" s="119"/>
      <c r="J536" s="119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4"/>
    </row>
    <row r="537" ht="14.25" customHeight="1">
      <c r="F537" s="119"/>
      <c r="G537" s="119"/>
      <c r="H537" s="120"/>
      <c r="I537" s="119"/>
      <c r="J537" s="119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4"/>
    </row>
    <row r="538" ht="14.25" customHeight="1">
      <c r="F538" s="119"/>
      <c r="G538" s="119"/>
      <c r="H538" s="120"/>
      <c r="I538" s="119"/>
      <c r="J538" s="119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4"/>
    </row>
    <row r="539" ht="14.25" customHeight="1">
      <c r="F539" s="119"/>
      <c r="G539" s="119"/>
      <c r="H539" s="120"/>
      <c r="I539" s="119"/>
      <c r="J539" s="119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4"/>
    </row>
    <row r="540" ht="14.25" customHeight="1">
      <c r="F540" s="119"/>
      <c r="G540" s="119"/>
      <c r="H540" s="120"/>
      <c r="I540" s="119"/>
      <c r="J540" s="119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4"/>
    </row>
    <row r="541" ht="14.25" customHeight="1">
      <c r="F541" s="119"/>
      <c r="G541" s="119"/>
      <c r="H541" s="120"/>
      <c r="I541" s="119"/>
      <c r="J541" s="119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4"/>
    </row>
    <row r="542" ht="14.25" customHeight="1">
      <c r="F542" s="119"/>
      <c r="G542" s="119"/>
      <c r="H542" s="120"/>
      <c r="I542" s="119"/>
      <c r="J542" s="119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4"/>
    </row>
    <row r="543" ht="14.25" customHeight="1">
      <c r="F543" s="119"/>
      <c r="G543" s="119"/>
      <c r="H543" s="120"/>
      <c r="I543" s="119"/>
      <c r="J543" s="119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4"/>
    </row>
    <row r="544" ht="14.25" customHeight="1">
      <c r="F544" s="119"/>
      <c r="G544" s="119"/>
      <c r="H544" s="120"/>
      <c r="I544" s="119"/>
      <c r="J544" s="119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4"/>
    </row>
    <row r="545" ht="14.25" customHeight="1">
      <c r="F545" s="119"/>
      <c r="G545" s="119"/>
      <c r="H545" s="120"/>
      <c r="I545" s="119"/>
      <c r="J545" s="119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4"/>
    </row>
    <row r="546" ht="14.25" customHeight="1">
      <c r="F546" s="119"/>
      <c r="G546" s="119"/>
      <c r="H546" s="120"/>
      <c r="I546" s="119"/>
      <c r="J546" s="119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4"/>
    </row>
    <row r="547" ht="14.25" customHeight="1">
      <c r="F547" s="119"/>
      <c r="G547" s="119"/>
      <c r="H547" s="120"/>
      <c r="I547" s="119"/>
      <c r="J547" s="119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4"/>
    </row>
    <row r="548" ht="14.25" customHeight="1">
      <c r="F548" s="119"/>
      <c r="G548" s="119"/>
      <c r="H548" s="120"/>
      <c r="I548" s="119"/>
      <c r="J548" s="119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4"/>
    </row>
    <row r="549" ht="14.25" customHeight="1">
      <c r="F549" s="119"/>
      <c r="G549" s="119"/>
      <c r="H549" s="120"/>
      <c r="I549" s="119"/>
      <c r="J549" s="119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4"/>
    </row>
    <row r="550" ht="14.25" customHeight="1">
      <c r="F550" s="119"/>
      <c r="G550" s="119"/>
      <c r="H550" s="120"/>
      <c r="I550" s="119"/>
      <c r="J550" s="119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4"/>
    </row>
    <row r="551" ht="14.25" customHeight="1">
      <c r="F551" s="119"/>
      <c r="G551" s="119"/>
      <c r="H551" s="120"/>
      <c r="I551" s="119"/>
      <c r="J551" s="119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4"/>
    </row>
    <row r="552" ht="14.25" customHeight="1">
      <c r="F552" s="119"/>
      <c r="G552" s="119"/>
      <c r="H552" s="120"/>
      <c r="I552" s="119"/>
      <c r="J552" s="119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4"/>
    </row>
    <row r="553" ht="14.25" customHeight="1">
      <c r="F553" s="119"/>
      <c r="G553" s="119"/>
      <c r="H553" s="120"/>
      <c r="I553" s="119"/>
      <c r="J553" s="119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4"/>
    </row>
    <row r="554" ht="14.25" customHeight="1">
      <c r="F554" s="119"/>
      <c r="G554" s="119"/>
      <c r="H554" s="120"/>
      <c r="I554" s="119"/>
      <c r="J554" s="119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4"/>
    </row>
    <row r="555" ht="14.25" customHeight="1">
      <c r="F555" s="119"/>
      <c r="G555" s="119"/>
      <c r="H555" s="120"/>
      <c r="I555" s="119"/>
      <c r="J555" s="119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4"/>
    </row>
    <row r="556" ht="14.25" customHeight="1">
      <c r="F556" s="119"/>
      <c r="G556" s="119"/>
      <c r="H556" s="120"/>
      <c r="I556" s="119"/>
      <c r="J556" s="119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4"/>
    </row>
    <row r="557" ht="14.25" customHeight="1">
      <c r="F557" s="119"/>
      <c r="G557" s="119"/>
      <c r="H557" s="120"/>
      <c r="I557" s="119"/>
      <c r="J557" s="119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4"/>
    </row>
    <row r="558" ht="14.25" customHeight="1">
      <c r="F558" s="119"/>
      <c r="G558" s="119"/>
      <c r="H558" s="120"/>
      <c r="I558" s="119"/>
      <c r="J558" s="119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4"/>
    </row>
    <row r="559" ht="14.25" customHeight="1">
      <c r="F559" s="119"/>
      <c r="G559" s="119"/>
      <c r="H559" s="120"/>
      <c r="I559" s="119"/>
      <c r="J559" s="119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4"/>
    </row>
    <row r="560" ht="14.25" customHeight="1">
      <c r="F560" s="119"/>
      <c r="G560" s="119"/>
      <c r="H560" s="120"/>
      <c r="I560" s="119"/>
      <c r="J560" s="119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4"/>
    </row>
    <row r="561" ht="14.25" customHeight="1">
      <c r="F561" s="119"/>
      <c r="G561" s="119"/>
      <c r="H561" s="120"/>
      <c r="I561" s="119"/>
      <c r="J561" s="119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4"/>
    </row>
    <row r="562" ht="14.25" customHeight="1">
      <c r="F562" s="119"/>
      <c r="G562" s="119"/>
      <c r="H562" s="120"/>
      <c r="I562" s="119"/>
      <c r="J562" s="119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4"/>
    </row>
    <row r="563" ht="14.25" customHeight="1">
      <c r="F563" s="119"/>
      <c r="G563" s="119"/>
      <c r="H563" s="120"/>
      <c r="I563" s="119"/>
      <c r="J563" s="119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4"/>
    </row>
    <row r="564" ht="14.25" customHeight="1">
      <c r="F564" s="119"/>
      <c r="G564" s="119"/>
      <c r="H564" s="120"/>
      <c r="I564" s="119"/>
      <c r="J564" s="119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4"/>
    </row>
    <row r="565" ht="14.25" customHeight="1">
      <c r="F565" s="119"/>
      <c r="G565" s="119"/>
      <c r="H565" s="120"/>
      <c r="I565" s="119"/>
      <c r="J565" s="119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4"/>
    </row>
    <row r="566" ht="14.25" customHeight="1">
      <c r="F566" s="119"/>
      <c r="G566" s="119"/>
      <c r="H566" s="120"/>
      <c r="I566" s="119"/>
      <c r="J566" s="119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4"/>
    </row>
    <row r="567" ht="14.25" customHeight="1">
      <c r="F567" s="119"/>
      <c r="G567" s="119"/>
      <c r="H567" s="120"/>
      <c r="I567" s="119"/>
      <c r="J567" s="119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4"/>
    </row>
    <row r="568" ht="14.25" customHeight="1">
      <c r="F568" s="119"/>
      <c r="G568" s="119"/>
      <c r="H568" s="120"/>
      <c r="I568" s="119"/>
      <c r="J568" s="119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4"/>
    </row>
    <row r="569" ht="14.25" customHeight="1">
      <c r="F569" s="119"/>
      <c r="G569" s="119"/>
      <c r="H569" s="120"/>
      <c r="I569" s="119"/>
      <c r="J569" s="119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4"/>
    </row>
    <row r="570" ht="14.25" customHeight="1">
      <c r="F570" s="119"/>
      <c r="G570" s="119"/>
      <c r="H570" s="120"/>
      <c r="I570" s="119"/>
      <c r="J570" s="119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4"/>
    </row>
    <row r="571" ht="14.25" customHeight="1">
      <c r="F571" s="119"/>
      <c r="G571" s="119"/>
      <c r="H571" s="120"/>
      <c r="I571" s="119"/>
      <c r="J571" s="119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4"/>
    </row>
    <row r="572" ht="14.25" customHeight="1">
      <c r="F572" s="119"/>
      <c r="G572" s="119"/>
      <c r="H572" s="120"/>
      <c r="I572" s="119"/>
      <c r="J572" s="119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4"/>
    </row>
    <row r="573" ht="14.25" customHeight="1">
      <c r="F573" s="119"/>
      <c r="G573" s="119"/>
      <c r="H573" s="120"/>
      <c r="I573" s="119"/>
      <c r="J573" s="119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4"/>
    </row>
    <row r="574" ht="14.25" customHeight="1">
      <c r="F574" s="119"/>
      <c r="G574" s="119"/>
      <c r="H574" s="120"/>
      <c r="I574" s="119"/>
      <c r="J574" s="119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4"/>
    </row>
    <row r="575" ht="14.25" customHeight="1">
      <c r="F575" s="119"/>
      <c r="G575" s="119"/>
      <c r="H575" s="120"/>
      <c r="I575" s="119"/>
      <c r="J575" s="119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4"/>
    </row>
    <row r="576" ht="14.25" customHeight="1">
      <c r="F576" s="119"/>
      <c r="G576" s="119"/>
      <c r="H576" s="120"/>
      <c r="I576" s="119"/>
      <c r="J576" s="119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4"/>
    </row>
    <row r="577" ht="14.25" customHeight="1">
      <c r="F577" s="119"/>
      <c r="G577" s="119"/>
      <c r="H577" s="120"/>
      <c r="I577" s="119"/>
      <c r="J577" s="119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4"/>
    </row>
    <row r="578" ht="14.25" customHeight="1">
      <c r="F578" s="119"/>
      <c r="G578" s="119"/>
      <c r="H578" s="120"/>
      <c r="I578" s="119"/>
      <c r="J578" s="119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4"/>
    </row>
    <row r="579" ht="14.25" customHeight="1">
      <c r="F579" s="119"/>
      <c r="G579" s="119"/>
      <c r="H579" s="120"/>
      <c r="I579" s="119"/>
      <c r="J579" s="119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4"/>
    </row>
    <row r="580" ht="14.25" customHeight="1">
      <c r="F580" s="119"/>
      <c r="G580" s="119"/>
      <c r="H580" s="120"/>
      <c r="I580" s="119"/>
      <c r="J580" s="119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4"/>
    </row>
    <row r="581" ht="14.25" customHeight="1">
      <c r="F581" s="119"/>
      <c r="G581" s="119"/>
      <c r="H581" s="120"/>
      <c r="I581" s="119"/>
      <c r="J581" s="119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4"/>
    </row>
    <row r="582" ht="14.25" customHeight="1">
      <c r="F582" s="119"/>
      <c r="G582" s="119"/>
      <c r="H582" s="120"/>
      <c r="I582" s="119"/>
      <c r="J582" s="119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4"/>
    </row>
    <row r="583" ht="14.25" customHeight="1">
      <c r="F583" s="119"/>
      <c r="G583" s="119"/>
      <c r="H583" s="120"/>
      <c r="I583" s="119"/>
      <c r="J583" s="119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4"/>
    </row>
    <row r="584" ht="14.25" customHeight="1">
      <c r="F584" s="119"/>
      <c r="G584" s="119"/>
      <c r="H584" s="120"/>
      <c r="I584" s="119"/>
      <c r="J584" s="119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4"/>
    </row>
    <row r="585" ht="14.25" customHeight="1">
      <c r="F585" s="119"/>
      <c r="G585" s="119"/>
      <c r="H585" s="120"/>
      <c r="I585" s="119"/>
      <c r="J585" s="119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4"/>
    </row>
    <row r="586" ht="14.25" customHeight="1">
      <c r="F586" s="119"/>
      <c r="G586" s="119"/>
      <c r="H586" s="120"/>
      <c r="I586" s="119"/>
      <c r="J586" s="119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4"/>
    </row>
    <row r="587" ht="14.25" customHeight="1">
      <c r="F587" s="119"/>
      <c r="G587" s="119"/>
      <c r="H587" s="120"/>
      <c r="I587" s="119"/>
      <c r="J587" s="119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4"/>
    </row>
    <row r="588" ht="14.25" customHeight="1">
      <c r="F588" s="119"/>
      <c r="G588" s="119"/>
      <c r="H588" s="120"/>
      <c r="I588" s="119"/>
      <c r="J588" s="119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4"/>
    </row>
    <row r="589" ht="14.25" customHeight="1">
      <c r="F589" s="119"/>
      <c r="G589" s="119"/>
      <c r="H589" s="120"/>
      <c r="I589" s="119"/>
      <c r="J589" s="119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4"/>
    </row>
    <row r="590" ht="14.25" customHeight="1">
      <c r="F590" s="119"/>
      <c r="G590" s="119"/>
      <c r="H590" s="120"/>
      <c r="I590" s="119"/>
      <c r="J590" s="119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4"/>
    </row>
    <row r="591" ht="14.25" customHeight="1">
      <c r="F591" s="119"/>
      <c r="G591" s="119"/>
      <c r="H591" s="120"/>
      <c r="I591" s="119"/>
      <c r="J591" s="119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4"/>
    </row>
    <row r="592" ht="14.25" customHeight="1">
      <c r="F592" s="119"/>
      <c r="G592" s="119"/>
      <c r="H592" s="120"/>
      <c r="I592" s="119"/>
      <c r="J592" s="119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4"/>
    </row>
    <row r="593" ht="14.25" customHeight="1">
      <c r="F593" s="119"/>
      <c r="G593" s="119"/>
      <c r="H593" s="120"/>
      <c r="I593" s="119"/>
      <c r="J593" s="119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4"/>
    </row>
    <row r="594" ht="14.25" customHeight="1">
      <c r="F594" s="119"/>
      <c r="G594" s="119"/>
      <c r="H594" s="120"/>
      <c r="I594" s="119"/>
      <c r="J594" s="119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4"/>
    </row>
    <row r="595" ht="14.25" customHeight="1">
      <c r="F595" s="119"/>
      <c r="G595" s="119"/>
      <c r="H595" s="120"/>
      <c r="I595" s="119"/>
      <c r="J595" s="119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4"/>
    </row>
    <row r="596" ht="14.25" customHeight="1">
      <c r="F596" s="119"/>
      <c r="G596" s="119"/>
      <c r="H596" s="120"/>
      <c r="I596" s="119"/>
      <c r="J596" s="119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4"/>
    </row>
    <row r="597" ht="14.25" customHeight="1">
      <c r="F597" s="119"/>
      <c r="G597" s="119"/>
      <c r="H597" s="120"/>
      <c r="I597" s="119"/>
      <c r="J597" s="119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4"/>
    </row>
    <row r="598" ht="14.25" customHeight="1">
      <c r="F598" s="119"/>
      <c r="G598" s="119"/>
      <c r="H598" s="120"/>
      <c r="I598" s="119"/>
      <c r="J598" s="119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4"/>
    </row>
    <row r="599" ht="14.25" customHeight="1">
      <c r="F599" s="119"/>
      <c r="G599" s="119"/>
      <c r="H599" s="120"/>
      <c r="I599" s="119"/>
      <c r="J599" s="119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4"/>
    </row>
    <row r="600" ht="14.25" customHeight="1">
      <c r="F600" s="119"/>
      <c r="G600" s="119"/>
      <c r="H600" s="120"/>
      <c r="I600" s="119"/>
      <c r="J600" s="119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4"/>
    </row>
    <row r="601" ht="14.25" customHeight="1">
      <c r="F601" s="119"/>
      <c r="G601" s="119"/>
      <c r="H601" s="120"/>
      <c r="I601" s="119"/>
      <c r="J601" s="119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4"/>
    </row>
    <row r="602" ht="14.25" customHeight="1">
      <c r="F602" s="119"/>
      <c r="G602" s="119"/>
      <c r="H602" s="120"/>
      <c r="I602" s="119"/>
      <c r="J602" s="119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4"/>
    </row>
    <row r="603" ht="14.25" customHeight="1">
      <c r="F603" s="119"/>
      <c r="G603" s="119"/>
      <c r="H603" s="120"/>
      <c r="I603" s="119"/>
      <c r="J603" s="119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4"/>
    </row>
    <row r="604" ht="14.25" customHeight="1">
      <c r="F604" s="119"/>
      <c r="G604" s="119"/>
      <c r="H604" s="120"/>
      <c r="I604" s="119"/>
      <c r="J604" s="119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4"/>
    </row>
    <row r="605" ht="14.25" customHeight="1">
      <c r="F605" s="119"/>
      <c r="G605" s="119"/>
      <c r="H605" s="120"/>
      <c r="I605" s="119"/>
      <c r="J605" s="119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4"/>
    </row>
    <row r="606" ht="14.25" customHeight="1">
      <c r="F606" s="119"/>
      <c r="G606" s="119"/>
      <c r="H606" s="120"/>
      <c r="I606" s="119"/>
      <c r="J606" s="119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4"/>
    </row>
    <row r="607" ht="14.25" customHeight="1">
      <c r="F607" s="119"/>
      <c r="G607" s="119"/>
      <c r="H607" s="120"/>
      <c r="I607" s="119"/>
      <c r="J607" s="119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4"/>
    </row>
    <row r="608" ht="14.25" customHeight="1">
      <c r="F608" s="119"/>
      <c r="G608" s="119"/>
      <c r="H608" s="120"/>
      <c r="I608" s="119"/>
      <c r="J608" s="119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4"/>
    </row>
    <row r="609" ht="14.25" customHeight="1">
      <c r="F609" s="119"/>
      <c r="G609" s="119"/>
      <c r="H609" s="120"/>
      <c r="I609" s="119"/>
      <c r="J609" s="119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4"/>
    </row>
    <row r="610" ht="14.25" customHeight="1">
      <c r="F610" s="119"/>
      <c r="G610" s="119"/>
      <c r="H610" s="120"/>
      <c r="I610" s="119"/>
      <c r="J610" s="119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4"/>
    </row>
    <row r="611" ht="14.25" customHeight="1">
      <c r="F611" s="119"/>
      <c r="G611" s="119"/>
      <c r="H611" s="120"/>
      <c r="I611" s="119"/>
      <c r="J611" s="119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4"/>
    </row>
    <row r="612" ht="14.25" customHeight="1">
      <c r="F612" s="119"/>
      <c r="G612" s="119"/>
      <c r="H612" s="120"/>
      <c r="I612" s="119"/>
      <c r="J612" s="119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4"/>
    </row>
    <row r="613" ht="14.25" customHeight="1">
      <c r="F613" s="119"/>
      <c r="G613" s="119"/>
      <c r="H613" s="120"/>
      <c r="I613" s="119"/>
      <c r="J613" s="119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4"/>
    </row>
    <row r="614" ht="14.25" customHeight="1">
      <c r="F614" s="119"/>
      <c r="G614" s="119"/>
      <c r="H614" s="120"/>
      <c r="I614" s="119"/>
      <c r="J614" s="119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4"/>
    </row>
    <row r="615" ht="14.25" customHeight="1">
      <c r="F615" s="119"/>
      <c r="G615" s="119"/>
      <c r="H615" s="120"/>
      <c r="I615" s="119"/>
      <c r="J615" s="119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4"/>
    </row>
    <row r="616" ht="14.25" customHeight="1">
      <c r="F616" s="119"/>
      <c r="G616" s="119"/>
      <c r="H616" s="120"/>
      <c r="I616" s="119"/>
      <c r="J616" s="119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4"/>
    </row>
    <row r="617" ht="14.25" customHeight="1">
      <c r="F617" s="119"/>
      <c r="G617" s="119"/>
      <c r="H617" s="120"/>
      <c r="I617" s="119"/>
      <c r="J617" s="119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4"/>
    </row>
    <row r="618" ht="14.25" customHeight="1">
      <c r="F618" s="119"/>
      <c r="G618" s="119"/>
      <c r="H618" s="120"/>
      <c r="I618" s="119"/>
      <c r="J618" s="119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4"/>
    </row>
    <row r="619" ht="14.25" customHeight="1">
      <c r="F619" s="119"/>
      <c r="G619" s="119"/>
      <c r="H619" s="120"/>
      <c r="I619" s="119"/>
      <c r="J619" s="119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4"/>
    </row>
    <row r="620" ht="14.25" customHeight="1">
      <c r="F620" s="119"/>
      <c r="G620" s="119"/>
      <c r="H620" s="120"/>
      <c r="I620" s="119"/>
      <c r="J620" s="119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4"/>
    </row>
    <row r="621" ht="14.25" customHeight="1">
      <c r="F621" s="119"/>
      <c r="G621" s="119"/>
      <c r="H621" s="120"/>
      <c r="I621" s="119"/>
      <c r="J621" s="119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4"/>
    </row>
    <row r="622" ht="14.25" customHeight="1">
      <c r="F622" s="119"/>
      <c r="G622" s="119"/>
      <c r="H622" s="120"/>
      <c r="I622" s="119"/>
      <c r="J622" s="119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4"/>
    </row>
    <row r="623" ht="14.25" customHeight="1">
      <c r="F623" s="119"/>
      <c r="G623" s="119"/>
      <c r="H623" s="120"/>
      <c r="I623" s="119"/>
      <c r="J623" s="119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4"/>
    </row>
    <row r="624" ht="14.25" customHeight="1">
      <c r="F624" s="119"/>
      <c r="G624" s="119"/>
      <c r="H624" s="120"/>
      <c r="I624" s="119"/>
      <c r="J624" s="119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4"/>
    </row>
    <row r="625" ht="14.25" customHeight="1">
      <c r="F625" s="119"/>
      <c r="G625" s="119"/>
      <c r="H625" s="120"/>
      <c r="I625" s="119"/>
      <c r="J625" s="119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4"/>
    </row>
    <row r="626" ht="14.25" customHeight="1">
      <c r="F626" s="119"/>
      <c r="G626" s="119"/>
      <c r="H626" s="120"/>
      <c r="I626" s="119"/>
      <c r="J626" s="119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4"/>
    </row>
    <row r="627" ht="14.25" customHeight="1">
      <c r="F627" s="119"/>
      <c r="G627" s="119"/>
      <c r="H627" s="120"/>
      <c r="I627" s="119"/>
      <c r="J627" s="119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4"/>
    </row>
    <row r="628" ht="14.25" customHeight="1">
      <c r="F628" s="119"/>
      <c r="G628" s="119"/>
      <c r="H628" s="120"/>
      <c r="I628" s="119"/>
      <c r="J628" s="119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4"/>
    </row>
    <row r="629" ht="14.25" customHeight="1">
      <c r="F629" s="119"/>
      <c r="G629" s="119"/>
      <c r="H629" s="120"/>
      <c r="I629" s="119"/>
      <c r="J629" s="119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4"/>
    </row>
    <row r="630" ht="14.25" customHeight="1">
      <c r="F630" s="119"/>
      <c r="G630" s="119"/>
      <c r="H630" s="120"/>
      <c r="I630" s="119"/>
      <c r="J630" s="119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4"/>
    </row>
    <row r="631" ht="14.25" customHeight="1">
      <c r="F631" s="119"/>
      <c r="G631" s="119"/>
      <c r="H631" s="120"/>
      <c r="I631" s="119"/>
      <c r="J631" s="119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4"/>
    </row>
    <row r="632" ht="14.25" customHeight="1">
      <c r="F632" s="119"/>
      <c r="G632" s="119"/>
      <c r="H632" s="120"/>
      <c r="I632" s="119"/>
      <c r="J632" s="119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4"/>
    </row>
    <row r="633" ht="14.25" customHeight="1">
      <c r="F633" s="119"/>
      <c r="G633" s="119"/>
      <c r="H633" s="120"/>
      <c r="I633" s="119"/>
      <c r="J633" s="119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4"/>
    </row>
    <row r="634" ht="14.25" customHeight="1">
      <c r="F634" s="119"/>
      <c r="G634" s="119"/>
      <c r="H634" s="120"/>
      <c r="I634" s="119"/>
      <c r="J634" s="119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4"/>
    </row>
    <row r="635" ht="14.25" customHeight="1">
      <c r="F635" s="119"/>
      <c r="G635" s="119"/>
      <c r="H635" s="120"/>
      <c r="I635" s="119"/>
      <c r="J635" s="119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4"/>
    </row>
    <row r="636" ht="14.25" customHeight="1">
      <c r="F636" s="119"/>
      <c r="G636" s="119"/>
      <c r="H636" s="120"/>
      <c r="I636" s="119"/>
      <c r="J636" s="119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4"/>
    </row>
    <row r="637" ht="14.25" customHeight="1">
      <c r="F637" s="119"/>
      <c r="G637" s="119"/>
      <c r="H637" s="120"/>
      <c r="I637" s="119"/>
      <c r="J637" s="119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4"/>
    </row>
    <row r="638" ht="14.25" customHeight="1">
      <c r="F638" s="119"/>
      <c r="G638" s="119"/>
      <c r="H638" s="120"/>
      <c r="I638" s="119"/>
      <c r="J638" s="119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4"/>
    </row>
    <row r="639" ht="14.25" customHeight="1">
      <c r="F639" s="119"/>
      <c r="G639" s="119"/>
      <c r="H639" s="120"/>
      <c r="I639" s="119"/>
      <c r="J639" s="119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4"/>
    </row>
    <row r="640" ht="14.25" customHeight="1">
      <c r="F640" s="119"/>
      <c r="G640" s="119"/>
      <c r="H640" s="120"/>
      <c r="I640" s="119"/>
      <c r="J640" s="119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4"/>
    </row>
    <row r="641" ht="14.25" customHeight="1">
      <c r="F641" s="119"/>
      <c r="G641" s="119"/>
      <c r="H641" s="120"/>
      <c r="I641" s="119"/>
      <c r="J641" s="119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4"/>
    </row>
    <row r="642" ht="14.25" customHeight="1">
      <c r="F642" s="119"/>
      <c r="G642" s="119"/>
      <c r="H642" s="120"/>
      <c r="I642" s="119"/>
      <c r="J642" s="119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4"/>
    </row>
    <row r="643" ht="14.25" customHeight="1">
      <c r="F643" s="119"/>
      <c r="G643" s="119"/>
      <c r="H643" s="120"/>
      <c r="I643" s="119"/>
      <c r="J643" s="119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4"/>
    </row>
    <row r="644" ht="14.25" customHeight="1">
      <c r="F644" s="119"/>
      <c r="G644" s="119"/>
      <c r="H644" s="120"/>
      <c r="I644" s="119"/>
      <c r="J644" s="119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4"/>
    </row>
    <row r="645" ht="14.25" customHeight="1">
      <c r="F645" s="119"/>
      <c r="G645" s="119"/>
      <c r="H645" s="120"/>
      <c r="I645" s="119"/>
      <c r="J645" s="119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4"/>
    </row>
    <row r="646" ht="14.25" customHeight="1">
      <c r="F646" s="119"/>
      <c r="G646" s="119"/>
      <c r="H646" s="120"/>
      <c r="I646" s="119"/>
      <c r="J646" s="119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4"/>
    </row>
    <row r="647" ht="14.25" customHeight="1">
      <c r="F647" s="119"/>
      <c r="G647" s="119"/>
      <c r="H647" s="120"/>
      <c r="I647" s="119"/>
      <c r="J647" s="119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4"/>
    </row>
    <row r="648" ht="14.25" customHeight="1">
      <c r="F648" s="119"/>
      <c r="G648" s="119"/>
      <c r="H648" s="120"/>
      <c r="I648" s="119"/>
      <c r="J648" s="119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4"/>
    </row>
    <row r="649" ht="14.25" customHeight="1">
      <c r="F649" s="119"/>
      <c r="G649" s="119"/>
      <c r="H649" s="120"/>
      <c r="I649" s="119"/>
      <c r="J649" s="119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4"/>
    </row>
    <row r="650" ht="14.25" customHeight="1">
      <c r="F650" s="119"/>
      <c r="G650" s="119"/>
      <c r="H650" s="120"/>
      <c r="I650" s="119"/>
      <c r="J650" s="119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4"/>
    </row>
    <row r="651" ht="14.25" customHeight="1">
      <c r="F651" s="119"/>
      <c r="G651" s="119"/>
      <c r="H651" s="120"/>
      <c r="I651" s="119"/>
      <c r="J651" s="119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4"/>
    </row>
    <row r="652" ht="14.25" customHeight="1">
      <c r="F652" s="119"/>
      <c r="G652" s="119"/>
      <c r="H652" s="120"/>
      <c r="I652" s="119"/>
      <c r="J652" s="119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4"/>
    </row>
    <row r="653" ht="14.25" customHeight="1">
      <c r="F653" s="119"/>
      <c r="G653" s="119"/>
      <c r="H653" s="120"/>
      <c r="I653" s="119"/>
      <c r="J653" s="119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4"/>
    </row>
    <row r="654" ht="14.25" customHeight="1">
      <c r="F654" s="119"/>
      <c r="G654" s="119"/>
      <c r="H654" s="120"/>
      <c r="I654" s="119"/>
      <c r="J654" s="119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4"/>
    </row>
    <row r="655" ht="14.25" customHeight="1">
      <c r="F655" s="119"/>
      <c r="G655" s="119"/>
      <c r="H655" s="120"/>
      <c r="I655" s="119"/>
      <c r="J655" s="119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4"/>
    </row>
    <row r="656" ht="14.25" customHeight="1">
      <c r="F656" s="119"/>
      <c r="G656" s="119"/>
      <c r="H656" s="120"/>
      <c r="I656" s="119"/>
      <c r="J656" s="119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4"/>
    </row>
    <row r="657" ht="14.25" customHeight="1">
      <c r="F657" s="119"/>
      <c r="G657" s="119"/>
      <c r="H657" s="120"/>
      <c r="I657" s="119"/>
      <c r="J657" s="119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4"/>
    </row>
    <row r="658" ht="14.25" customHeight="1">
      <c r="F658" s="119"/>
      <c r="G658" s="119"/>
      <c r="H658" s="120"/>
      <c r="I658" s="119"/>
      <c r="J658" s="119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4"/>
    </row>
    <row r="659" ht="14.25" customHeight="1">
      <c r="F659" s="119"/>
      <c r="G659" s="119"/>
      <c r="H659" s="120"/>
      <c r="I659" s="119"/>
      <c r="J659" s="119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4"/>
    </row>
    <row r="660" ht="14.25" customHeight="1">
      <c r="F660" s="119"/>
      <c r="G660" s="119"/>
      <c r="H660" s="120"/>
      <c r="I660" s="119"/>
      <c r="J660" s="119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4"/>
    </row>
    <row r="661" ht="14.25" customHeight="1">
      <c r="F661" s="119"/>
      <c r="G661" s="119"/>
      <c r="H661" s="120"/>
      <c r="I661" s="119"/>
      <c r="J661" s="119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4"/>
    </row>
    <row r="662" ht="14.25" customHeight="1">
      <c r="F662" s="119"/>
      <c r="G662" s="119"/>
      <c r="H662" s="120"/>
      <c r="I662" s="119"/>
      <c r="J662" s="119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4"/>
    </row>
    <row r="663" ht="14.25" customHeight="1">
      <c r="F663" s="119"/>
      <c r="G663" s="119"/>
      <c r="H663" s="120"/>
      <c r="I663" s="119"/>
      <c r="J663" s="119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4"/>
    </row>
    <row r="664" ht="14.25" customHeight="1">
      <c r="F664" s="119"/>
      <c r="G664" s="119"/>
      <c r="H664" s="120"/>
      <c r="I664" s="119"/>
      <c r="J664" s="119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4"/>
    </row>
    <row r="665" ht="14.25" customHeight="1">
      <c r="F665" s="119"/>
      <c r="G665" s="119"/>
      <c r="H665" s="120"/>
      <c r="I665" s="119"/>
      <c r="J665" s="119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4"/>
    </row>
    <row r="666" ht="14.25" customHeight="1">
      <c r="F666" s="119"/>
      <c r="G666" s="119"/>
      <c r="H666" s="120"/>
      <c r="I666" s="119"/>
      <c r="J666" s="119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4"/>
    </row>
    <row r="667" ht="14.25" customHeight="1">
      <c r="F667" s="119"/>
      <c r="G667" s="119"/>
      <c r="H667" s="120"/>
      <c r="I667" s="119"/>
      <c r="J667" s="119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4"/>
    </row>
    <row r="668" ht="14.25" customHeight="1">
      <c r="F668" s="119"/>
      <c r="G668" s="119"/>
      <c r="H668" s="120"/>
      <c r="I668" s="119"/>
      <c r="J668" s="119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4"/>
    </row>
    <row r="669" ht="14.25" customHeight="1">
      <c r="F669" s="119"/>
      <c r="G669" s="119"/>
      <c r="H669" s="120"/>
      <c r="I669" s="119"/>
      <c r="J669" s="119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4"/>
    </row>
    <row r="670" ht="14.25" customHeight="1">
      <c r="F670" s="119"/>
      <c r="G670" s="119"/>
      <c r="H670" s="120"/>
      <c r="I670" s="119"/>
      <c r="J670" s="119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4"/>
    </row>
    <row r="671" ht="14.25" customHeight="1">
      <c r="F671" s="119"/>
      <c r="G671" s="119"/>
      <c r="H671" s="120"/>
      <c r="I671" s="119"/>
      <c r="J671" s="119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4"/>
    </row>
    <row r="672" ht="14.25" customHeight="1">
      <c r="F672" s="119"/>
      <c r="G672" s="119"/>
      <c r="H672" s="120"/>
      <c r="I672" s="119"/>
      <c r="J672" s="119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4"/>
    </row>
    <row r="673" ht="14.25" customHeight="1">
      <c r="F673" s="119"/>
      <c r="G673" s="119"/>
      <c r="H673" s="120"/>
      <c r="I673" s="119"/>
      <c r="J673" s="119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4"/>
    </row>
    <row r="674" ht="14.25" customHeight="1">
      <c r="F674" s="119"/>
      <c r="G674" s="119"/>
      <c r="H674" s="120"/>
      <c r="I674" s="119"/>
      <c r="J674" s="119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4"/>
    </row>
    <row r="675" ht="14.25" customHeight="1">
      <c r="F675" s="119"/>
      <c r="G675" s="119"/>
      <c r="H675" s="120"/>
      <c r="I675" s="119"/>
      <c r="J675" s="119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4"/>
    </row>
    <row r="676" ht="14.25" customHeight="1">
      <c r="F676" s="119"/>
      <c r="G676" s="119"/>
      <c r="H676" s="120"/>
      <c r="I676" s="119"/>
      <c r="J676" s="119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4"/>
    </row>
    <row r="677" ht="14.25" customHeight="1">
      <c r="F677" s="119"/>
      <c r="G677" s="119"/>
      <c r="H677" s="120"/>
      <c r="I677" s="119"/>
      <c r="J677" s="119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4"/>
    </row>
    <row r="678" ht="14.25" customHeight="1">
      <c r="F678" s="119"/>
      <c r="G678" s="119"/>
      <c r="H678" s="120"/>
      <c r="I678" s="119"/>
      <c r="J678" s="119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4"/>
    </row>
    <row r="679" ht="14.25" customHeight="1">
      <c r="F679" s="119"/>
      <c r="G679" s="119"/>
      <c r="H679" s="120"/>
      <c r="I679" s="119"/>
      <c r="J679" s="119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4"/>
    </row>
    <row r="680" ht="14.25" customHeight="1">
      <c r="F680" s="119"/>
      <c r="G680" s="119"/>
      <c r="H680" s="120"/>
      <c r="I680" s="119"/>
      <c r="J680" s="119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4"/>
    </row>
    <row r="681" ht="14.25" customHeight="1">
      <c r="F681" s="119"/>
      <c r="G681" s="119"/>
      <c r="H681" s="120"/>
      <c r="I681" s="119"/>
      <c r="J681" s="119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4"/>
    </row>
    <row r="682" ht="14.25" customHeight="1">
      <c r="F682" s="119"/>
      <c r="G682" s="119"/>
      <c r="H682" s="120"/>
      <c r="I682" s="119"/>
      <c r="J682" s="119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4"/>
    </row>
    <row r="683" ht="14.25" customHeight="1">
      <c r="F683" s="119"/>
      <c r="G683" s="119"/>
      <c r="H683" s="120"/>
      <c r="I683" s="119"/>
      <c r="J683" s="119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4"/>
    </row>
    <row r="684" ht="14.25" customHeight="1">
      <c r="F684" s="119"/>
      <c r="G684" s="119"/>
      <c r="H684" s="120"/>
      <c r="I684" s="119"/>
      <c r="J684" s="119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4"/>
    </row>
    <row r="685" ht="14.25" customHeight="1">
      <c r="F685" s="119"/>
      <c r="G685" s="119"/>
      <c r="H685" s="120"/>
      <c r="I685" s="119"/>
      <c r="J685" s="119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4"/>
    </row>
    <row r="686" ht="14.25" customHeight="1">
      <c r="F686" s="119"/>
      <c r="G686" s="119"/>
      <c r="H686" s="120"/>
      <c r="I686" s="119"/>
      <c r="J686" s="119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4"/>
    </row>
    <row r="687" ht="14.25" customHeight="1">
      <c r="F687" s="119"/>
      <c r="G687" s="119"/>
      <c r="H687" s="120"/>
      <c r="I687" s="119"/>
      <c r="J687" s="119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4"/>
    </row>
    <row r="688" ht="14.25" customHeight="1">
      <c r="F688" s="119"/>
      <c r="G688" s="119"/>
      <c r="H688" s="120"/>
      <c r="I688" s="119"/>
      <c r="J688" s="119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4"/>
    </row>
    <row r="689" ht="14.25" customHeight="1">
      <c r="F689" s="119"/>
      <c r="G689" s="119"/>
      <c r="H689" s="120"/>
      <c r="I689" s="119"/>
      <c r="J689" s="119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4"/>
    </row>
    <row r="690" ht="14.25" customHeight="1">
      <c r="F690" s="119"/>
      <c r="G690" s="119"/>
      <c r="H690" s="120"/>
      <c r="I690" s="119"/>
      <c r="J690" s="119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4"/>
    </row>
    <row r="691" ht="14.25" customHeight="1">
      <c r="F691" s="119"/>
      <c r="G691" s="119"/>
      <c r="H691" s="120"/>
      <c r="I691" s="119"/>
      <c r="J691" s="119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4"/>
    </row>
    <row r="692" ht="14.25" customHeight="1">
      <c r="F692" s="119"/>
      <c r="G692" s="119"/>
      <c r="H692" s="120"/>
      <c r="I692" s="119"/>
      <c r="J692" s="119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4"/>
    </row>
    <row r="693" ht="14.25" customHeight="1">
      <c r="F693" s="119"/>
      <c r="G693" s="119"/>
      <c r="H693" s="120"/>
      <c r="I693" s="119"/>
      <c r="J693" s="119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4"/>
    </row>
    <row r="694" ht="14.25" customHeight="1">
      <c r="F694" s="119"/>
      <c r="G694" s="119"/>
      <c r="H694" s="120"/>
      <c r="I694" s="119"/>
      <c r="J694" s="119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4"/>
    </row>
    <row r="695" ht="14.25" customHeight="1">
      <c r="F695" s="119"/>
      <c r="G695" s="119"/>
      <c r="H695" s="120"/>
      <c r="I695" s="119"/>
      <c r="J695" s="119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4"/>
    </row>
    <row r="696" ht="14.25" customHeight="1">
      <c r="F696" s="119"/>
      <c r="G696" s="119"/>
      <c r="H696" s="120"/>
      <c r="I696" s="119"/>
      <c r="J696" s="119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4"/>
    </row>
    <row r="697" ht="14.25" customHeight="1">
      <c r="F697" s="119"/>
      <c r="G697" s="119"/>
      <c r="H697" s="120"/>
      <c r="I697" s="119"/>
      <c r="J697" s="119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4"/>
    </row>
    <row r="698" ht="14.25" customHeight="1">
      <c r="F698" s="119"/>
      <c r="G698" s="119"/>
      <c r="H698" s="120"/>
      <c r="I698" s="119"/>
      <c r="J698" s="119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4"/>
    </row>
    <row r="699" ht="14.25" customHeight="1">
      <c r="F699" s="119"/>
      <c r="G699" s="119"/>
      <c r="H699" s="120"/>
      <c r="I699" s="119"/>
      <c r="J699" s="119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4"/>
    </row>
    <row r="700" ht="14.25" customHeight="1">
      <c r="F700" s="119"/>
      <c r="G700" s="119"/>
      <c r="H700" s="120"/>
      <c r="I700" s="119"/>
      <c r="J700" s="119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4"/>
    </row>
    <row r="701" ht="14.25" customHeight="1">
      <c r="F701" s="119"/>
      <c r="G701" s="119"/>
      <c r="H701" s="120"/>
      <c r="I701" s="119"/>
      <c r="J701" s="119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4"/>
    </row>
    <row r="702" ht="14.25" customHeight="1">
      <c r="F702" s="119"/>
      <c r="G702" s="119"/>
      <c r="H702" s="120"/>
      <c r="I702" s="119"/>
      <c r="J702" s="119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4"/>
    </row>
    <row r="703" ht="14.25" customHeight="1">
      <c r="F703" s="119"/>
      <c r="G703" s="119"/>
      <c r="H703" s="120"/>
      <c r="I703" s="119"/>
      <c r="J703" s="119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4"/>
    </row>
    <row r="704" ht="14.25" customHeight="1">
      <c r="F704" s="119"/>
      <c r="G704" s="119"/>
      <c r="H704" s="120"/>
      <c r="I704" s="119"/>
      <c r="J704" s="119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4"/>
    </row>
    <row r="705" ht="14.25" customHeight="1">
      <c r="F705" s="119"/>
      <c r="G705" s="119"/>
      <c r="H705" s="120"/>
      <c r="I705" s="119"/>
      <c r="J705" s="119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4"/>
    </row>
    <row r="706" ht="14.25" customHeight="1">
      <c r="F706" s="119"/>
      <c r="G706" s="119"/>
      <c r="H706" s="120"/>
      <c r="I706" s="119"/>
      <c r="J706" s="119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4"/>
    </row>
    <row r="707" ht="14.25" customHeight="1">
      <c r="F707" s="119"/>
      <c r="G707" s="119"/>
      <c r="H707" s="120"/>
      <c r="I707" s="119"/>
      <c r="J707" s="119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4"/>
    </row>
    <row r="708" ht="14.25" customHeight="1">
      <c r="F708" s="119"/>
      <c r="G708" s="119"/>
      <c r="H708" s="120"/>
      <c r="I708" s="119"/>
      <c r="J708" s="119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4"/>
    </row>
    <row r="709" ht="14.25" customHeight="1">
      <c r="F709" s="119"/>
      <c r="G709" s="119"/>
      <c r="H709" s="120"/>
      <c r="I709" s="119"/>
      <c r="J709" s="119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4"/>
    </row>
    <row r="710" ht="14.25" customHeight="1">
      <c r="F710" s="119"/>
      <c r="G710" s="119"/>
      <c r="H710" s="120"/>
      <c r="I710" s="119"/>
      <c r="J710" s="119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4"/>
    </row>
    <row r="711" ht="14.25" customHeight="1">
      <c r="F711" s="119"/>
      <c r="G711" s="119"/>
      <c r="H711" s="120"/>
      <c r="I711" s="119"/>
      <c r="J711" s="119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4"/>
    </row>
    <row r="712" ht="14.25" customHeight="1">
      <c r="F712" s="119"/>
      <c r="G712" s="119"/>
      <c r="H712" s="120"/>
      <c r="I712" s="119"/>
      <c r="J712" s="119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4"/>
    </row>
    <row r="713" ht="14.25" customHeight="1">
      <c r="F713" s="119"/>
      <c r="G713" s="119"/>
      <c r="H713" s="120"/>
      <c r="I713" s="119"/>
      <c r="J713" s="119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4"/>
    </row>
    <row r="714" ht="14.25" customHeight="1">
      <c r="F714" s="119"/>
      <c r="G714" s="119"/>
      <c r="H714" s="120"/>
      <c r="I714" s="119"/>
      <c r="J714" s="119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4"/>
    </row>
    <row r="715" ht="14.25" customHeight="1">
      <c r="F715" s="119"/>
      <c r="G715" s="119"/>
      <c r="H715" s="120"/>
      <c r="I715" s="119"/>
      <c r="J715" s="119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4"/>
    </row>
    <row r="716" ht="14.25" customHeight="1">
      <c r="F716" s="119"/>
      <c r="G716" s="119"/>
      <c r="H716" s="120"/>
      <c r="I716" s="119"/>
      <c r="J716" s="119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4"/>
    </row>
    <row r="717" ht="14.25" customHeight="1">
      <c r="F717" s="119"/>
      <c r="G717" s="119"/>
      <c r="H717" s="120"/>
      <c r="I717" s="119"/>
      <c r="J717" s="119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4"/>
    </row>
    <row r="718" ht="14.25" customHeight="1">
      <c r="F718" s="119"/>
      <c r="G718" s="119"/>
      <c r="H718" s="120"/>
      <c r="I718" s="119"/>
      <c r="J718" s="119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4"/>
    </row>
    <row r="719" ht="14.25" customHeight="1">
      <c r="F719" s="119"/>
      <c r="G719" s="119"/>
      <c r="H719" s="120"/>
      <c r="I719" s="119"/>
      <c r="J719" s="119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4"/>
    </row>
    <row r="720" ht="14.25" customHeight="1">
      <c r="F720" s="119"/>
      <c r="G720" s="119"/>
      <c r="H720" s="120"/>
      <c r="I720" s="119"/>
      <c r="J720" s="119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4"/>
    </row>
    <row r="721" ht="14.25" customHeight="1">
      <c r="F721" s="119"/>
      <c r="G721" s="119"/>
      <c r="H721" s="120"/>
      <c r="I721" s="119"/>
      <c r="J721" s="119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4"/>
    </row>
    <row r="722" ht="14.25" customHeight="1">
      <c r="F722" s="119"/>
      <c r="G722" s="119"/>
      <c r="H722" s="120"/>
      <c r="I722" s="119"/>
      <c r="J722" s="119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4"/>
    </row>
    <row r="723" ht="14.25" customHeight="1">
      <c r="F723" s="119"/>
      <c r="G723" s="119"/>
      <c r="H723" s="120"/>
      <c r="I723" s="119"/>
      <c r="J723" s="119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4"/>
    </row>
    <row r="724" ht="14.25" customHeight="1">
      <c r="F724" s="119"/>
      <c r="G724" s="119"/>
      <c r="H724" s="120"/>
      <c r="I724" s="119"/>
      <c r="J724" s="119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4"/>
    </row>
    <row r="725" ht="14.25" customHeight="1">
      <c r="F725" s="119"/>
      <c r="G725" s="119"/>
      <c r="H725" s="120"/>
      <c r="I725" s="119"/>
      <c r="J725" s="119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4"/>
    </row>
    <row r="726" ht="14.25" customHeight="1">
      <c r="F726" s="119"/>
      <c r="G726" s="119"/>
      <c r="H726" s="120"/>
      <c r="I726" s="119"/>
      <c r="J726" s="119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4"/>
    </row>
    <row r="727" ht="14.25" customHeight="1">
      <c r="F727" s="119"/>
      <c r="G727" s="119"/>
      <c r="H727" s="120"/>
      <c r="I727" s="119"/>
      <c r="J727" s="119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4"/>
    </row>
    <row r="728" ht="14.25" customHeight="1">
      <c r="F728" s="119"/>
      <c r="G728" s="119"/>
      <c r="H728" s="120"/>
      <c r="I728" s="119"/>
      <c r="J728" s="119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4"/>
    </row>
    <row r="729" ht="14.25" customHeight="1">
      <c r="F729" s="119"/>
      <c r="G729" s="119"/>
      <c r="H729" s="120"/>
      <c r="I729" s="119"/>
      <c r="J729" s="119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4"/>
    </row>
    <row r="730" ht="14.25" customHeight="1">
      <c r="F730" s="119"/>
      <c r="G730" s="119"/>
      <c r="H730" s="120"/>
      <c r="I730" s="119"/>
      <c r="J730" s="119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4"/>
    </row>
    <row r="731" ht="14.25" customHeight="1">
      <c r="F731" s="119"/>
      <c r="G731" s="119"/>
      <c r="H731" s="120"/>
      <c r="I731" s="119"/>
      <c r="J731" s="119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4"/>
    </row>
    <row r="732" ht="14.25" customHeight="1">
      <c r="F732" s="119"/>
      <c r="G732" s="119"/>
      <c r="H732" s="120"/>
      <c r="I732" s="119"/>
      <c r="J732" s="119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4"/>
    </row>
    <row r="733" ht="14.25" customHeight="1">
      <c r="F733" s="119"/>
      <c r="G733" s="119"/>
      <c r="H733" s="120"/>
      <c r="I733" s="119"/>
      <c r="J733" s="119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4"/>
    </row>
    <row r="734" ht="14.25" customHeight="1">
      <c r="F734" s="119"/>
      <c r="G734" s="119"/>
      <c r="H734" s="120"/>
      <c r="I734" s="119"/>
      <c r="J734" s="119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4"/>
    </row>
    <row r="735" ht="14.25" customHeight="1">
      <c r="F735" s="119"/>
      <c r="G735" s="119"/>
      <c r="H735" s="120"/>
      <c r="I735" s="119"/>
      <c r="J735" s="119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4"/>
    </row>
    <row r="736" ht="14.25" customHeight="1">
      <c r="F736" s="119"/>
      <c r="G736" s="119"/>
      <c r="H736" s="120"/>
      <c r="I736" s="119"/>
      <c r="J736" s="119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4"/>
    </row>
    <row r="737" ht="14.25" customHeight="1">
      <c r="F737" s="119"/>
      <c r="G737" s="119"/>
      <c r="H737" s="120"/>
      <c r="I737" s="119"/>
      <c r="J737" s="119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4"/>
    </row>
    <row r="738" ht="14.25" customHeight="1">
      <c r="F738" s="119"/>
      <c r="G738" s="119"/>
      <c r="H738" s="120"/>
      <c r="I738" s="119"/>
      <c r="J738" s="119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4"/>
    </row>
    <row r="739" ht="14.25" customHeight="1">
      <c r="F739" s="119"/>
      <c r="G739" s="119"/>
      <c r="H739" s="120"/>
      <c r="I739" s="119"/>
      <c r="J739" s="119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4"/>
    </row>
    <row r="740" ht="14.25" customHeight="1">
      <c r="F740" s="119"/>
      <c r="G740" s="119"/>
      <c r="H740" s="120"/>
      <c r="I740" s="119"/>
      <c r="J740" s="119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4"/>
    </row>
    <row r="741" ht="14.25" customHeight="1">
      <c r="F741" s="119"/>
      <c r="G741" s="119"/>
      <c r="H741" s="120"/>
      <c r="I741" s="119"/>
      <c r="J741" s="119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4"/>
    </row>
    <row r="742" ht="14.25" customHeight="1">
      <c r="F742" s="119"/>
      <c r="G742" s="119"/>
      <c r="H742" s="120"/>
      <c r="I742" s="119"/>
      <c r="J742" s="119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4"/>
    </row>
    <row r="743" ht="14.25" customHeight="1">
      <c r="F743" s="119"/>
      <c r="G743" s="119"/>
      <c r="H743" s="120"/>
      <c r="I743" s="119"/>
      <c r="J743" s="119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4"/>
    </row>
    <row r="744" ht="14.25" customHeight="1">
      <c r="F744" s="119"/>
      <c r="G744" s="119"/>
      <c r="H744" s="120"/>
      <c r="I744" s="119"/>
      <c r="J744" s="119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4"/>
    </row>
    <row r="745" ht="14.25" customHeight="1">
      <c r="F745" s="119"/>
      <c r="G745" s="119"/>
      <c r="H745" s="120"/>
      <c r="I745" s="119"/>
      <c r="J745" s="119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4"/>
    </row>
    <row r="746" ht="14.25" customHeight="1">
      <c r="F746" s="119"/>
      <c r="G746" s="119"/>
      <c r="H746" s="120"/>
      <c r="I746" s="119"/>
      <c r="J746" s="119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4"/>
    </row>
    <row r="747" ht="14.25" customHeight="1">
      <c r="F747" s="119"/>
      <c r="G747" s="119"/>
      <c r="H747" s="120"/>
      <c r="I747" s="119"/>
      <c r="J747" s="119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4"/>
    </row>
    <row r="748" ht="14.25" customHeight="1">
      <c r="F748" s="119"/>
      <c r="G748" s="119"/>
      <c r="H748" s="120"/>
      <c r="I748" s="119"/>
      <c r="J748" s="119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4"/>
    </row>
    <row r="749" ht="14.25" customHeight="1">
      <c r="F749" s="119"/>
      <c r="G749" s="119"/>
      <c r="H749" s="120"/>
      <c r="I749" s="119"/>
      <c r="J749" s="119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4"/>
    </row>
    <row r="750" ht="14.25" customHeight="1">
      <c r="F750" s="119"/>
      <c r="G750" s="119"/>
      <c r="H750" s="120"/>
      <c r="I750" s="119"/>
      <c r="J750" s="119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4"/>
    </row>
    <row r="751" ht="14.25" customHeight="1">
      <c r="F751" s="119"/>
      <c r="G751" s="119"/>
      <c r="H751" s="120"/>
      <c r="I751" s="119"/>
      <c r="J751" s="119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4"/>
    </row>
    <row r="752" ht="14.25" customHeight="1">
      <c r="F752" s="119"/>
      <c r="G752" s="119"/>
      <c r="H752" s="120"/>
      <c r="I752" s="119"/>
      <c r="J752" s="119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4"/>
    </row>
    <row r="753" ht="14.25" customHeight="1">
      <c r="F753" s="119"/>
      <c r="G753" s="119"/>
      <c r="H753" s="120"/>
      <c r="I753" s="119"/>
      <c r="J753" s="119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4"/>
    </row>
    <row r="754" ht="14.25" customHeight="1">
      <c r="F754" s="119"/>
      <c r="G754" s="119"/>
      <c r="H754" s="120"/>
      <c r="I754" s="119"/>
      <c r="J754" s="119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4"/>
    </row>
    <row r="755" ht="14.25" customHeight="1">
      <c r="F755" s="119"/>
      <c r="G755" s="119"/>
      <c r="H755" s="120"/>
      <c r="I755" s="119"/>
      <c r="J755" s="119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4"/>
    </row>
    <row r="756" ht="14.25" customHeight="1">
      <c r="F756" s="119"/>
      <c r="G756" s="119"/>
      <c r="H756" s="120"/>
      <c r="I756" s="119"/>
      <c r="J756" s="119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4"/>
    </row>
    <row r="757" ht="14.25" customHeight="1">
      <c r="F757" s="119"/>
      <c r="G757" s="119"/>
      <c r="H757" s="120"/>
      <c r="I757" s="119"/>
      <c r="J757" s="119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4"/>
    </row>
    <row r="758" ht="14.25" customHeight="1">
      <c r="F758" s="119"/>
      <c r="G758" s="119"/>
      <c r="H758" s="120"/>
      <c r="I758" s="119"/>
      <c r="J758" s="119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4"/>
    </row>
    <row r="759" ht="14.25" customHeight="1">
      <c r="F759" s="119"/>
      <c r="G759" s="119"/>
      <c r="H759" s="120"/>
      <c r="I759" s="119"/>
      <c r="J759" s="119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4"/>
    </row>
    <row r="760" ht="14.25" customHeight="1">
      <c r="F760" s="119"/>
      <c r="G760" s="119"/>
      <c r="H760" s="120"/>
      <c r="I760" s="119"/>
      <c r="J760" s="119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4"/>
    </row>
    <row r="761" ht="14.25" customHeight="1">
      <c r="F761" s="119"/>
      <c r="G761" s="119"/>
      <c r="H761" s="120"/>
      <c r="I761" s="119"/>
      <c r="J761" s="119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4"/>
    </row>
    <row r="762" ht="14.25" customHeight="1">
      <c r="F762" s="119"/>
      <c r="G762" s="119"/>
      <c r="H762" s="120"/>
      <c r="I762" s="119"/>
      <c r="J762" s="119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4"/>
    </row>
    <row r="763" ht="14.25" customHeight="1">
      <c r="F763" s="119"/>
      <c r="G763" s="119"/>
      <c r="H763" s="120"/>
      <c r="I763" s="119"/>
      <c r="J763" s="119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4"/>
    </row>
    <row r="764" ht="14.25" customHeight="1">
      <c r="F764" s="119"/>
      <c r="G764" s="119"/>
      <c r="H764" s="120"/>
      <c r="I764" s="119"/>
      <c r="J764" s="119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4"/>
    </row>
    <row r="765" ht="14.25" customHeight="1">
      <c r="F765" s="119"/>
      <c r="G765" s="119"/>
      <c r="H765" s="120"/>
      <c r="I765" s="119"/>
      <c r="J765" s="119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4"/>
    </row>
    <row r="766" ht="14.25" customHeight="1">
      <c r="F766" s="119"/>
      <c r="G766" s="119"/>
      <c r="H766" s="120"/>
      <c r="I766" s="119"/>
      <c r="J766" s="119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4"/>
    </row>
    <row r="767" ht="14.25" customHeight="1">
      <c r="F767" s="119"/>
      <c r="G767" s="119"/>
      <c r="H767" s="120"/>
      <c r="I767" s="119"/>
      <c r="J767" s="119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4"/>
    </row>
    <row r="768" ht="14.25" customHeight="1">
      <c r="F768" s="119"/>
      <c r="G768" s="119"/>
      <c r="H768" s="120"/>
      <c r="I768" s="119"/>
      <c r="J768" s="119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4"/>
    </row>
    <row r="769" ht="14.25" customHeight="1">
      <c r="F769" s="119"/>
      <c r="G769" s="119"/>
      <c r="H769" s="120"/>
      <c r="I769" s="119"/>
      <c r="J769" s="119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4"/>
    </row>
    <row r="770" ht="14.25" customHeight="1">
      <c r="F770" s="119"/>
      <c r="G770" s="119"/>
      <c r="H770" s="120"/>
      <c r="I770" s="119"/>
      <c r="J770" s="119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4"/>
    </row>
    <row r="771" ht="14.25" customHeight="1">
      <c r="F771" s="119"/>
      <c r="G771" s="119"/>
      <c r="H771" s="120"/>
      <c r="I771" s="119"/>
      <c r="J771" s="119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4"/>
    </row>
    <row r="772" ht="14.25" customHeight="1">
      <c r="F772" s="119"/>
      <c r="G772" s="119"/>
      <c r="H772" s="120"/>
      <c r="I772" s="119"/>
      <c r="J772" s="119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4"/>
    </row>
    <row r="773" ht="14.25" customHeight="1">
      <c r="F773" s="119"/>
      <c r="G773" s="119"/>
      <c r="H773" s="120"/>
      <c r="I773" s="119"/>
      <c r="J773" s="119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4"/>
    </row>
    <row r="774" ht="14.25" customHeight="1">
      <c r="F774" s="119"/>
      <c r="G774" s="119"/>
      <c r="H774" s="120"/>
      <c r="I774" s="119"/>
      <c r="J774" s="119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4"/>
    </row>
    <row r="775" ht="14.25" customHeight="1">
      <c r="F775" s="119"/>
      <c r="G775" s="119"/>
      <c r="H775" s="120"/>
      <c r="I775" s="119"/>
      <c r="J775" s="119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4"/>
    </row>
    <row r="776" ht="14.25" customHeight="1">
      <c r="F776" s="119"/>
      <c r="G776" s="119"/>
      <c r="H776" s="120"/>
      <c r="I776" s="119"/>
      <c r="J776" s="119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4"/>
    </row>
    <row r="777" ht="14.25" customHeight="1">
      <c r="F777" s="119"/>
      <c r="G777" s="119"/>
      <c r="H777" s="120"/>
      <c r="I777" s="119"/>
      <c r="J777" s="119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4"/>
    </row>
    <row r="778" ht="14.25" customHeight="1">
      <c r="F778" s="119"/>
      <c r="G778" s="119"/>
      <c r="H778" s="120"/>
      <c r="I778" s="119"/>
      <c r="J778" s="119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4"/>
    </row>
    <row r="779" ht="14.25" customHeight="1">
      <c r="F779" s="119"/>
      <c r="G779" s="119"/>
      <c r="H779" s="120"/>
      <c r="I779" s="119"/>
      <c r="J779" s="119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4"/>
    </row>
    <row r="780" ht="14.25" customHeight="1">
      <c r="F780" s="119"/>
      <c r="G780" s="119"/>
      <c r="H780" s="120"/>
      <c r="I780" s="119"/>
      <c r="J780" s="119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4"/>
    </row>
    <row r="781" ht="14.25" customHeight="1">
      <c r="F781" s="119"/>
      <c r="G781" s="119"/>
      <c r="H781" s="120"/>
      <c r="I781" s="119"/>
      <c r="J781" s="119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4"/>
    </row>
    <row r="782" ht="14.25" customHeight="1">
      <c r="F782" s="119"/>
      <c r="G782" s="119"/>
      <c r="H782" s="120"/>
      <c r="I782" s="119"/>
      <c r="J782" s="119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4"/>
    </row>
    <row r="783" ht="14.25" customHeight="1">
      <c r="F783" s="119"/>
      <c r="G783" s="119"/>
      <c r="H783" s="120"/>
      <c r="I783" s="119"/>
      <c r="J783" s="119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4"/>
    </row>
    <row r="784" ht="14.25" customHeight="1">
      <c r="F784" s="119"/>
      <c r="G784" s="119"/>
      <c r="H784" s="120"/>
      <c r="I784" s="119"/>
      <c r="J784" s="119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4"/>
    </row>
    <row r="785" ht="14.25" customHeight="1">
      <c r="F785" s="119"/>
      <c r="G785" s="119"/>
      <c r="H785" s="120"/>
      <c r="I785" s="119"/>
      <c r="J785" s="119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4"/>
    </row>
    <row r="786" ht="14.25" customHeight="1">
      <c r="F786" s="119"/>
      <c r="G786" s="119"/>
      <c r="H786" s="120"/>
      <c r="I786" s="119"/>
      <c r="J786" s="119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4"/>
    </row>
    <row r="787" ht="14.25" customHeight="1">
      <c r="F787" s="119"/>
      <c r="G787" s="119"/>
      <c r="H787" s="120"/>
      <c r="I787" s="119"/>
      <c r="J787" s="119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4"/>
    </row>
    <row r="788" ht="14.25" customHeight="1">
      <c r="F788" s="119"/>
      <c r="G788" s="119"/>
      <c r="H788" s="120"/>
      <c r="I788" s="119"/>
      <c r="J788" s="119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4"/>
    </row>
    <row r="789" ht="14.25" customHeight="1">
      <c r="F789" s="119"/>
      <c r="G789" s="119"/>
      <c r="H789" s="120"/>
      <c r="I789" s="119"/>
      <c r="J789" s="119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4"/>
    </row>
    <row r="790" ht="14.25" customHeight="1">
      <c r="F790" s="119"/>
      <c r="G790" s="119"/>
      <c r="H790" s="120"/>
      <c r="I790" s="119"/>
      <c r="J790" s="119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4"/>
    </row>
    <row r="791" ht="14.25" customHeight="1">
      <c r="F791" s="119"/>
      <c r="G791" s="119"/>
      <c r="H791" s="120"/>
      <c r="I791" s="119"/>
      <c r="J791" s="119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4"/>
    </row>
    <row r="792" ht="14.25" customHeight="1">
      <c r="F792" s="119"/>
      <c r="G792" s="119"/>
      <c r="H792" s="120"/>
      <c r="I792" s="119"/>
      <c r="J792" s="119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4"/>
    </row>
    <row r="793" ht="14.25" customHeight="1">
      <c r="F793" s="119"/>
      <c r="G793" s="119"/>
      <c r="H793" s="120"/>
      <c r="I793" s="119"/>
      <c r="J793" s="119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4"/>
    </row>
    <row r="794" ht="14.25" customHeight="1">
      <c r="F794" s="119"/>
      <c r="G794" s="119"/>
      <c r="H794" s="120"/>
      <c r="I794" s="119"/>
      <c r="J794" s="119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4"/>
    </row>
    <row r="795" ht="14.25" customHeight="1">
      <c r="F795" s="119"/>
      <c r="G795" s="119"/>
      <c r="H795" s="120"/>
      <c r="I795" s="119"/>
      <c r="J795" s="119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4"/>
    </row>
    <row r="796" ht="14.25" customHeight="1">
      <c r="F796" s="119"/>
      <c r="G796" s="119"/>
      <c r="H796" s="120"/>
      <c r="I796" s="119"/>
      <c r="J796" s="119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4"/>
    </row>
    <row r="797" ht="14.25" customHeight="1">
      <c r="F797" s="119"/>
      <c r="G797" s="119"/>
      <c r="H797" s="120"/>
      <c r="I797" s="119"/>
      <c r="J797" s="119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4"/>
    </row>
    <row r="798" ht="14.25" customHeight="1">
      <c r="F798" s="119"/>
      <c r="G798" s="119"/>
      <c r="H798" s="120"/>
      <c r="I798" s="119"/>
      <c r="J798" s="119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4"/>
    </row>
    <row r="799" ht="14.25" customHeight="1">
      <c r="F799" s="119"/>
      <c r="G799" s="119"/>
      <c r="H799" s="120"/>
      <c r="I799" s="119"/>
      <c r="J799" s="119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4"/>
    </row>
    <row r="800" ht="14.25" customHeight="1">
      <c r="F800" s="119"/>
      <c r="G800" s="119"/>
      <c r="H800" s="120"/>
      <c r="I800" s="119"/>
      <c r="J800" s="119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4"/>
    </row>
    <row r="801" ht="14.25" customHeight="1">
      <c r="F801" s="119"/>
      <c r="G801" s="119"/>
      <c r="H801" s="120"/>
      <c r="I801" s="119"/>
      <c r="J801" s="119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4"/>
    </row>
    <row r="802" ht="14.25" customHeight="1">
      <c r="F802" s="119"/>
      <c r="G802" s="119"/>
      <c r="H802" s="120"/>
      <c r="I802" s="119"/>
      <c r="J802" s="119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4"/>
    </row>
    <row r="803" ht="14.25" customHeight="1">
      <c r="F803" s="119"/>
      <c r="G803" s="119"/>
      <c r="H803" s="120"/>
      <c r="I803" s="119"/>
      <c r="J803" s="119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4"/>
    </row>
    <row r="804" ht="14.25" customHeight="1">
      <c r="F804" s="119"/>
      <c r="G804" s="119"/>
      <c r="H804" s="120"/>
      <c r="I804" s="119"/>
      <c r="J804" s="119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4"/>
    </row>
    <row r="805" ht="14.25" customHeight="1">
      <c r="F805" s="119"/>
      <c r="G805" s="119"/>
      <c r="H805" s="120"/>
      <c r="I805" s="119"/>
      <c r="J805" s="119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4"/>
    </row>
    <row r="806" ht="14.25" customHeight="1">
      <c r="F806" s="119"/>
      <c r="G806" s="119"/>
      <c r="H806" s="120"/>
      <c r="I806" s="119"/>
      <c r="J806" s="119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4"/>
    </row>
    <row r="807" ht="14.25" customHeight="1">
      <c r="F807" s="119"/>
      <c r="G807" s="119"/>
      <c r="H807" s="120"/>
      <c r="I807" s="119"/>
      <c r="J807" s="119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4"/>
    </row>
    <row r="808" ht="14.25" customHeight="1">
      <c r="F808" s="119"/>
      <c r="G808" s="119"/>
      <c r="H808" s="120"/>
      <c r="I808" s="119"/>
      <c r="J808" s="119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4"/>
    </row>
    <row r="809" ht="14.25" customHeight="1">
      <c r="F809" s="119"/>
      <c r="G809" s="119"/>
      <c r="H809" s="120"/>
      <c r="I809" s="119"/>
      <c r="J809" s="119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4"/>
    </row>
    <row r="810" ht="14.25" customHeight="1">
      <c r="F810" s="119"/>
      <c r="G810" s="119"/>
      <c r="H810" s="120"/>
      <c r="I810" s="119"/>
      <c r="J810" s="119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4"/>
    </row>
    <row r="811" ht="14.25" customHeight="1">
      <c r="F811" s="119"/>
      <c r="G811" s="119"/>
      <c r="H811" s="120"/>
      <c r="I811" s="119"/>
      <c r="J811" s="119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4"/>
    </row>
    <row r="812" ht="14.25" customHeight="1">
      <c r="F812" s="119"/>
      <c r="G812" s="119"/>
      <c r="H812" s="120"/>
      <c r="I812" s="119"/>
      <c r="J812" s="119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4"/>
    </row>
    <row r="813" ht="14.25" customHeight="1">
      <c r="F813" s="119"/>
      <c r="G813" s="119"/>
      <c r="H813" s="120"/>
      <c r="I813" s="119"/>
      <c r="J813" s="119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4"/>
    </row>
    <row r="814" ht="14.25" customHeight="1">
      <c r="F814" s="119"/>
      <c r="G814" s="119"/>
      <c r="H814" s="120"/>
      <c r="I814" s="119"/>
      <c r="J814" s="119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4"/>
    </row>
    <row r="815" ht="14.25" customHeight="1">
      <c r="F815" s="119"/>
      <c r="G815" s="119"/>
      <c r="H815" s="120"/>
      <c r="I815" s="119"/>
      <c r="J815" s="119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4"/>
    </row>
    <row r="816" ht="14.25" customHeight="1">
      <c r="F816" s="119"/>
      <c r="G816" s="119"/>
      <c r="H816" s="120"/>
      <c r="I816" s="119"/>
      <c r="J816" s="119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4"/>
    </row>
    <row r="817" ht="14.25" customHeight="1">
      <c r="F817" s="119"/>
      <c r="G817" s="119"/>
      <c r="H817" s="120"/>
      <c r="I817" s="119"/>
      <c r="J817" s="119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4"/>
    </row>
    <row r="818" ht="14.25" customHeight="1">
      <c r="F818" s="119"/>
      <c r="G818" s="119"/>
      <c r="H818" s="120"/>
      <c r="I818" s="119"/>
      <c r="J818" s="119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4"/>
    </row>
    <row r="819" ht="14.25" customHeight="1">
      <c r="F819" s="119"/>
      <c r="G819" s="119"/>
      <c r="H819" s="120"/>
      <c r="I819" s="119"/>
      <c r="J819" s="119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4"/>
    </row>
    <row r="820" ht="14.25" customHeight="1">
      <c r="F820" s="119"/>
      <c r="G820" s="119"/>
      <c r="H820" s="120"/>
      <c r="I820" s="119"/>
      <c r="J820" s="119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4"/>
    </row>
    <row r="821" ht="14.25" customHeight="1">
      <c r="F821" s="119"/>
      <c r="G821" s="119"/>
      <c r="H821" s="120"/>
      <c r="I821" s="119"/>
      <c r="J821" s="119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4"/>
    </row>
    <row r="822" ht="14.25" customHeight="1">
      <c r="F822" s="119"/>
      <c r="G822" s="119"/>
      <c r="H822" s="120"/>
      <c r="I822" s="119"/>
      <c r="J822" s="119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4"/>
    </row>
    <row r="823" ht="14.25" customHeight="1">
      <c r="F823" s="119"/>
      <c r="G823" s="119"/>
      <c r="H823" s="120"/>
      <c r="I823" s="119"/>
      <c r="J823" s="119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4"/>
    </row>
    <row r="824" ht="14.25" customHeight="1">
      <c r="F824" s="119"/>
      <c r="G824" s="119"/>
      <c r="H824" s="120"/>
      <c r="I824" s="119"/>
      <c r="J824" s="119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4"/>
    </row>
    <row r="825" ht="14.25" customHeight="1">
      <c r="F825" s="119"/>
      <c r="G825" s="119"/>
      <c r="H825" s="120"/>
      <c r="I825" s="119"/>
      <c r="J825" s="119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4"/>
    </row>
    <row r="826" ht="14.25" customHeight="1">
      <c r="F826" s="119"/>
      <c r="G826" s="119"/>
      <c r="H826" s="120"/>
      <c r="I826" s="119"/>
      <c r="J826" s="119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4"/>
    </row>
    <row r="827" ht="14.25" customHeight="1">
      <c r="F827" s="119"/>
      <c r="G827" s="119"/>
      <c r="H827" s="120"/>
      <c r="I827" s="119"/>
      <c r="J827" s="119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4"/>
    </row>
    <row r="828" ht="14.25" customHeight="1">
      <c r="F828" s="119"/>
      <c r="G828" s="119"/>
      <c r="H828" s="120"/>
      <c r="I828" s="119"/>
      <c r="J828" s="119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4"/>
    </row>
    <row r="829" ht="14.25" customHeight="1">
      <c r="F829" s="119"/>
      <c r="G829" s="119"/>
      <c r="H829" s="120"/>
      <c r="I829" s="119"/>
      <c r="J829" s="119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4"/>
    </row>
    <row r="830" ht="14.25" customHeight="1">
      <c r="F830" s="119"/>
      <c r="G830" s="119"/>
      <c r="H830" s="120"/>
      <c r="I830" s="119"/>
      <c r="J830" s="119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4"/>
    </row>
    <row r="831" ht="14.25" customHeight="1">
      <c r="F831" s="119"/>
      <c r="G831" s="119"/>
      <c r="H831" s="120"/>
      <c r="I831" s="119"/>
      <c r="J831" s="119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4"/>
    </row>
    <row r="832" ht="14.25" customHeight="1">
      <c r="F832" s="119"/>
      <c r="G832" s="119"/>
      <c r="H832" s="120"/>
      <c r="I832" s="119"/>
      <c r="J832" s="119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4"/>
    </row>
    <row r="833" ht="14.25" customHeight="1">
      <c r="F833" s="119"/>
      <c r="G833" s="119"/>
      <c r="H833" s="120"/>
      <c r="I833" s="119"/>
      <c r="J833" s="119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4"/>
    </row>
    <row r="834" ht="14.25" customHeight="1">
      <c r="F834" s="119"/>
      <c r="G834" s="119"/>
      <c r="H834" s="120"/>
      <c r="I834" s="119"/>
      <c r="J834" s="119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4"/>
    </row>
    <row r="835" ht="14.25" customHeight="1">
      <c r="F835" s="119"/>
      <c r="G835" s="119"/>
      <c r="H835" s="120"/>
      <c r="I835" s="119"/>
      <c r="J835" s="119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4"/>
    </row>
    <row r="836" ht="14.25" customHeight="1">
      <c r="F836" s="119"/>
      <c r="G836" s="119"/>
      <c r="H836" s="120"/>
      <c r="I836" s="119"/>
      <c r="J836" s="119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4"/>
    </row>
    <row r="837" ht="14.25" customHeight="1">
      <c r="F837" s="119"/>
      <c r="G837" s="119"/>
      <c r="H837" s="120"/>
      <c r="I837" s="119"/>
      <c r="J837" s="119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4"/>
    </row>
    <row r="838" ht="14.25" customHeight="1">
      <c r="F838" s="119"/>
      <c r="G838" s="119"/>
      <c r="H838" s="120"/>
      <c r="I838" s="119"/>
      <c r="J838" s="119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4"/>
    </row>
    <row r="839" ht="14.25" customHeight="1">
      <c r="F839" s="119"/>
      <c r="G839" s="119"/>
      <c r="H839" s="120"/>
      <c r="I839" s="119"/>
      <c r="J839" s="119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4"/>
    </row>
    <row r="840" ht="14.25" customHeight="1">
      <c r="F840" s="119"/>
      <c r="G840" s="119"/>
      <c r="H840" s="120"/>
      <c r="I840" s="119"/>
      <c r="J840" s="119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4"/>
    </row>
    <row r="841" ht="14.25" customHeight="1">
      <c r="F841" s="119"/>
      <c r="G841" s="119"/>
      <c r="H841" s="120"/>
      <c r="I841" s="119"/>
      <c r="J841" s="119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4"/>
    </row>
    <row r="842" ht="14.25" customHeight="1">
      <c r="F842" s="119"/>
      <c r="G842" s="119"/>
      <c r="H842" s="120"/>
      <c r="I842" s="119"/>
      <c r="J842" s="119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4"/>
    </row>
    <row r="843" ht="14.25" customHeight="1">
      <c r="F843" s="119"/>
      <c r="G843" s="119"/>
      <c r="H843" s="120"/>
      <c r="I843" s="119"/>
      <c r="J843" s="119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4"/>
    </row>
    <row r="844" ht="14.25" customHeight="1">
      <c r="F844" s="119"/>
      <c r="G844" s="119"/>
      <c r="H844" s="120"/>
      <c r="I844" s="119"/>
      <c r="J844" s="119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4"/>
    </row>
    <row r="845" ht="14.25" customHeight="1">
      <c r="F845" s="119"/>
      <c r="G845" s="119"/>
      <c r="H845" s="120"/>
      <c r="I845" s="119"/>
      <c r="J845" s="119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4"/>
    </row>
    <row r="846" ht="14.25" customHeight="1">
      <c r="F846" s="119"/>
      <c r="G846" s="119"/>
      <c r="H846" s="120"/>
      <c r="I846" s="119"/>
      <c r="J846" s="119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4"/>
    </row>
    <row r="847" ht="14.25" customHeight="1">
      <c r="F847" s="119"/>
      <c r="G847" s="119"/>
      <c r="H847" s="120"/>
      <c r="I847" s="119"/>
      <c r="J847" s="119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4"/>
    </row>
    <row r="848" ht="14.25" customHeight="1">
      <c r="F848" s="119"/>
      <c r="G848" s="119"/>
      <c r="H848" s="120"/>
      <c r="I848" s="119"/>
      <c r="J848" s="119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4"/>
    </row>
    <row r="849" ht="14.25" customHeight="1">
      <c r="F849" s="119"/>
      <c r="G849" s="119"/>
      <c r="H849" s="120"/>
      <c r="I849" s="119"/>
      <c r="J849" s="119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4"/>
    </row>
    <row r="850" ht="14.25" customHeight="1">
      <c r="F850" s="119"/>
      <c r="G850" s="119"/>
      <c r="H850" s="120"/>
      <c r="I850" s="119"/>
      <c r="J850" s="119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4"/>
    </row>
    <row r="851" ht="14.25" customHeight="1">
      <c r="F851" s="119"/>
      <c r="G851" s="119"/>
      <c r="H851" s="120"/>
      <c r="I851" s="119"/>
      <c r="J851" s="119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4"/>
    </row>
    <row r="852" ht="14.25" customHeight="1">
      <c r="F852" s="119"/>
      <c r="G852" s="119"/>
      <c r="H852" s="120"/>
      <c r="I852" s="119"/>
      <c r="J852" s="119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4"/>
    </row>
    <row r="853" ht="14.25" customHeight="1">
      <c r="F853" s="119"/>
      <c r="G853" s="119"/>
      <c r="H853" s="120"/>
      <c r="I853" s="119"/>
      <c r="J853" s="119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4"/>
    </row>
    <row r="854" ht="14.25" customHeight="1">
      <c r="F854" s="119"/>
      <c r="G854" s="119"/>
      <c r="H854" s="120"/>
      <c r="I854" s="119"/>
      <c r="J854" s="119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4"/>
    </row>
    <row r="855" ht="14.25" customHeight="1">
      <c r="F855" s="119"/>
      <c r="G855" s="119"/>
      <c r="H855" s="120"/>
      <c r="I855" s="119"/>
      <c r="J855" s="119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4"/>
    </row>
    <row r="856" ht="14.25" customHeight="1">
      <c r="F856" s="119"/>
      <c r="G856" s="119"/>
      <c r="H856" s="120"/>
      <c r="I856" s="119"/>
      <c r="J856" s="119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4"/>
    </row>
    <row r="857" ht="14.25" customHeight="1">
      <c r="F857" s="119"/>
      <c r="G857" s="119"/>
      <c r="H857" s="120"/>
      <c r="I857" s="119"/>
      <c r="J857" s="119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4"/>
    </row>
    <row r="858" ht="14.25" customHeight="1">
      <c r="F858" s="119"/>
      <c r="G858" s="119"/>
      <c r="H858" s="120"/>
      <c r="I858" s="119"/>
      <c r="J858" s="119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4"/>
    </row>
    <row r="859" ht="14.25" customHeight="1">
      <c r="F859" s="119"/>
      <c r="G859" s="119"/>
      <c r="H859" s="120"/>
      <c r="I859" s="119"/>
      <c r="J859" s="119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4"/>
    </row>
    <row r="860" ht="14.25" customHeight="1">
      <c r="F860" s="119"/>
      <c r="G860" s="119"/>
      <c r="H860" s="120"/>
      <c r="I860" s="119"/>
      <c r="J860" s="119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4"/>
    </row>
    <row r="861" ht="14.25" customHeight="1">
      <c r="F861" s="119"/>
      <c r="G861" s="119"/>
      <c r="H861" s="120"/>
      <c r="I861" s="119"/>
      <c r="J861" s="119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4"/>
    </row>
    <row r="862" ht="14.25" customHeight="1">
      <c r="F862" s="119"/>
      <c r="G862" s="119"/>
      <c r="H862" s="120"/>
      <c r="I862" s="119"/>
      <c r="J862" s="119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4"/>
    </row>
    <row r="863" ht="14.25" customHeight="1">
      <c r="F863" s="119"/>
      <c r="G863" s="119"/>
      <c r="H863" s="120"/>
      <c r="I863" s="119"/>
      <c r="J863" s="119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4"/>
    </row>
    <row r="864" ht="14.25" customHeight="1">
      <c r="F864" s="119"/>
      <c r="G864" s="119"/>
      <c r="H864" s="120"/>
      <c r="I864" s="119"/>
      <c r="J864" s="119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4"/>
    </row>
    <row r="865" ht="14.25" customHeight="1">
      <c r="F865" s="119"/>
      <c r="G865" s="119"/>
      <c r="H865" s="120"/>
      <c r="I865" s="119"/>
      <c r="J865" s="119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4"/>
    </row>
    <row r="866" ht="14.25" customHeight="1">
      <c r="F866" s="119"/>
      <c r="G866" s="119"/>
      <c r="H866" s="120"/>
      <c r="I866" s="119"/>
      <c r="J866" s="119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4"/>
    </row>
    <row r="867" ht="14.25" customHeight="1">
      <c r="F867" s="119"/>
      <c r="G867" s="119"/>
      <c r="H867" s="120"/>
      <c r="I867" s="119"/>
      <c r="J867" s="119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4"/>
    </row>
    <row r="868" ht="14.25" customHeight="1">
      <c r="F868" s="119"/>
      <c r="G868" s="119"/>
      <c r="H868" s="120"/>
      <c r="I868" s="119"/>
      <c r="J868" s="119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4"/>
    </row>
    <row r="869" ht="14.25" customHeight="1">
      <c r="F869" s="119"/>
      <c r="G869" s="119"/>
      <c r="H869" s="120"/>
      <c r="I869" s="119"/>
      <c r="J869" s="119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4"/>
    </row>
    <row r="870" ht="14.25" customHeight="1">
      <c r="F870" s="119"/>
      <c r="G870" s="119"/>
      <c r="H870" s="120"/>
      <c r="I870" s="119"/>
      <c r="J870" s="119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4"/>
    </row>
    <row r="871" ht="14.25" customHeight="1">
      <c r="F871" s="119"/>
      <c r="G871" s="119"/>
      <c r="H871" s="120"/>
      <c r="I871" s="119"/>
      <c r="J871" s="119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4"/>
    </row>
    <row r="872" ht="14.25" customHeight="1">
      <c r="F872" s="119"/>
      <c r="G872" s="119"/>
      <c r="H872" s="120"/>
      <c r="I872" s="119"/>
      <c r="J872" s="119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4"/>
    </row>
    <row r="873" ht="14.25" customHeight="1">
      <c r="F873" s="119"/>
      <c r="G873" s="119"/>
      <c r="H873" s="120"/>
      <c r="I873" s="119"/>
      <c r="J873" s="119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4"/>
    </row>
    <row r="874" ht="14.25" customHeight="1">
      <c r="F874" s="119"/>
      <c r="G874" s="119"/>
      <c r="H874" s="120"/>
      <c r="I874" s="119"/>
      <c r="J874" s="119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4"/>
    </row>
    <row r="875" ht="14.25" customHeight="1">
      <c r="F875" s="119"/>
      <c r="G875" s="119"/>
      <c r="H875" s="120"/>
      <c r="I875" s="119"/>
      <c r="J875" s="119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4"/>
    </row>
    <row r="876" ht="14.25" customHeight="1">
      <c r="F876" s="119"/>
      <c r="G876" s="119"/>
      <c r="H876" s="120"/>
      <c r="I876" s="119"/>
      <c r="J876" s="119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4"/>
    </row>
    <row r="877" ht="14.25" customHeight="1">
      <c r="F877" s="119"/>
      <c r="G877" s="119"/>
      <c r="H877" s="120"/>
      <c r="I877" s="119"/>
      <c r="J877" s="119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4"/>
    </row>
    <row r="878" ht="14.25" customHeight="1">
      <c r="F878" s="119"/>
      <c r="G878" s="119"/>
      <c r="H878" s="120"/>
      <c r="I878" s="119"/>
      <c r="J878" s="119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4"/>
    </row>
    <row r="879" ht="14.25" customHeight="1">
      <c r="F879" s="119"/>
      <c r="G879" s="119"/>
      <c r="H879" s="120"/>
      <c r="I879" s="119"/>
      <c r="J879" s="119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4"/>
    </row>
    <row r="880" ht="14.25" customHeight="1">
      <c r="F880" s="119"/>
      <c r="G880" s="119"/>
      <c r="H880" s="120"/>
      <c r="I880" s="119"/>
      <c r="J880" s="119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4"/>
    </row>
    <row r="881" ht="14.25" customHeight="1">
      <c r="F881" s="119"/>
      <c r="G881" s="119"/>
      <c r="H881" s="120"/>
      <c r="I881" s="119"/>
      <c r="J881" s="119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4"/>
    </row>
    <row r="882" ht="14.25" customHeight="1">
      <c r="F882" s="119"/>
      <c r="G882" s="119"/>
      <c r="H882" s="120"/>
      <c r="I882" s="119"/>
      <c r="J882" s="119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4"/>
    </row>
    <row r="883" ht="14.25" customHeight="1">
      <c r="F883" s="119"/>
      <c r="G883" s="119"/>
      <c r="H883" s="120"/>
      <c r="I883" s="119"/>
      <c r="J883" s="119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4"/>
    </row>
    <row r="884" ht="14.25" customHeight="1">
      <c r="F884" s="119"/>
      <c r="G884" s="119"/>
      <c r="H884" s="120"/>
      <c r="I884" s="119"/>
      <c r="J884" s="119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4"/>
    </row>
    <row r="885" ht="14.25" customHeight="1">
      <c r="F885" s="119"/>
      <c r="G885" s="119"/>
      <c r="H885" s="120"/>
      <c r="I885" s="119"/>
      <c r="J885" s="119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4"/>
    </row>
    <row r="886" ht="14.25" customHeight="1">
      <c r="F886" s="119"/>
      <c r="G886" s="119"/>
      <c r="H886" s="120"/>
      <c r="I886" s="119"/>
      <c r="J886" s="119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4"/>
    </row>
    <row r="887" ht="14.25" customHeight="1">
      <c r="F887" s="119"/>
      <c r="G887" s="119"/>
      <c r="H887" s="120"/>
      <c r="I887" s="119"/>
      <c r="J887" s="119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4"/>
    </row>
    <row r="888" ht="14.25" customHeight="1">
      <c r="F888" s="119"/>
      <c r="G888" s="119"/>
      <c r="H888" s="120"/>
      <c r="I888" s="119"/>
      <c r="J888" s="119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4"/>
    </row>
    <row r="889" ht="14.25" customHeight="1">
      <c r="F889" s="119"/>
      <c r="G889" s="119"/>
      <c r="H889" s="120"/>
      <c r="I889" s="119"/>
      <c r="J889" s="119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4"/>
    </row>
    <row r="890" ht="14.25" customHeight="1">
      <c r="F890" s="119"/>
      <c r="G890" s="119"/>
      <c r="H890" s="120"/>
      <c r="I890" s="119"/>
      <c r="J890" s="119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4"/>
    </row>
    <row r="891" ht="14.25" customHeight="1">
      <c r="F891" s="119"/>
      <c r="G891" s="119"/>
      <c r="H891" s="120"/>
      <c r="I891" s="119"/>
      <c r="J891" s="119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4"/>
    </row>
    <row r="892" ht="14.25" customHeight="1">
      <c r="F892" s="119"/>
      <c r="G892" s="119"/>
      <c r="H892" s="120"/>
      <c r="I892" s="119"/>
      <c r="J892" s="119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4"/>
    </row>
    <row r="893" ht="14.25" customHeight="1">
      <c r="F893" s="119"/>
      <c r="G893" s="119"/>
      <c r="H893" s="120"/>
      <c r="I893" s="119"/>
      <c r="J893" s="119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4"/>
    </row>
    <row r="894" ht="14.25" customHeight="1">
      <c r="F894" s="119"/>
      <c r="G894" s="119"/>
      <c r="H894" s="120"/>
      <c r="I894" s="119"/>
      <c r="J894" s="119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4"/>
    </row>
    <row r="895" ht="14.25" customHeight="1">
      <c r="F895" s="119"/>
      <c r="G895" s="119"/>
      <c r="H895" s="120"/>
      <c r="I895" s="119"/>
      <c r="J895" s="119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4"/>
    </row>
    <row r="896" ht="14.25" customHeight="1">
      <c r="F896" s="119"/>
      <c r="G896" s="119"/>
      <c r="H896" s="120"/>
      <c r="I896" s="119"/>
      <c r="J896" s="119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4"/>
    </row>
    <row r="897" ht="14.25" customHeight="1">
      <c r="F897" s="119"/>
      <c r="G897" s="119"/>
      <c r="H897" s="120"/>
      <c r="I897" s="119"/>
      <c r="J897" s="119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4"/>
    </row>
    <row r="898" ht="14.25" customHeight="1">
      <c r="F898" s="119"/>
      <c r="G898" s="119"/>
      <c r="H898" s="120"/>
      <c r="I898" s="119"/>
      <c r="J898" s="119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4"/>
    </row>
    <row r="899" ht="14.25" customHeight="1">
      <c r="F899" s="119"/>
      <c r="G899" s="119"/>
      <c r="H899" s="120"/>
      <c r="I899" s="119"/>
      <c r="J899" s="119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4"/>
    </row>
    <row r="900" ht="14.25" customHeight="1">
      <c r="F900" s="119"/>
      <c r="G900" s="119"/>
      <c r="H900" s="120"/>
      <c r="I900" s="119"/>
      <c r="J900" s="119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4"/>
    </row>
    <row r="901" ht="14.25" customHeight="1">
      <c r="F901" s="119"/>
      <c r="G901" s="119"/>
      <c r="H901" s="120"/>
      <c r="I901" s="119"/>
      <c r="J901" s="119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4"/>
    </row>
    <row r="902" ht="14.25" customHeight="1">
      <c r="F902" s="119"/>
      <c r="G902" s="119"/>
      <c r="H902" s="120"/>
      <c r="I902" s="119"/>
      <c r="J902" s="119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4"/>
    </row>
    <row r="903" ht="14.25" customHeight="1">
      <c r="F903" s="119"/>
      <c r="G903" s="119"/>
      <c r="H903" s="120"/>
      <c r="I903" s="119"/>
      <c r="J903" s="119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4"/>
    </row>
    <row r="904" ht="14.25" customHeight="1">
      <c r="F904" s="119"/>
      <c r="G904" s="119"/>
      <c r="H904" s="120"/>
      <c r="I904" s="119"/>
      <c r="J904" s="119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4"/>
    </row>
    <row r="905" ht="14.25" customHeight="1">
      <c r="F905" s="119"/>
      <c r="G905" s="119"/>
      <c r="H905" s="120"/>
      <c r="I905" s="119"/>
      <c r="J905" s="119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4"/>
    </row>
    <row r="906" ht="14.25" customHeight="1">
      <c r="F906" s="119"/>
      <c r="G906" s="119"/>
      <c r="H906" s="120"/>
      <c r="I906" s="119"/>
      <c r="J906" s="119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4"/>
    </row>
    <row r="907" ht="14.25" customHeight="1">
      <c r="F907" s="119"/>
      <c r="G907" s="119"/>
      <c r="H907" s="120"/>
      <c r="I907" s="119"/>
      <c r="J907" s="119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4"/>
    </row>
    <row r="908" ht="14.25" customHeight="1">
      <c r="F908" s="119"/>
      <c r="G908" s="119"/>
      <c r="H908" s="120"/>
      <c r="I908" s="119"/>
      <c r="J908" s="119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4"/>
    </row>
    <row r="909" ht="14.25" customHeight="1">
      <c r="F909" s="119"/>
      <c r="G909" s="119"/>
      <c r="H909" s="120"/>
      <c r="I909" s="119"/>
      <c r="J909" s="119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4"/>
    </row>
    <row r="910" ht="14.25" customHeight="1">
      <c r="F910" s="119"/>
      <c r="G910" s="119"/>
      <c r="H910" s="120"/>
      <c r="I910" s="119"/>
      <c r="J910" s="119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4"/>
    </row>
    <row r="911" ht="14.25" customHeight="1">
      <c r="F911" s="119"/>
      <c r="G911" s="119"/>
      <c r="H911" s="120"/>
      <c r="I911" s="119"/>
      <c r="J911" s="119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4"/>
    </row>
    <row r="912" ht="14.25" customHeight="1">
      <c r="F912" s="119"/>
      <c r="G912" s="119"/>
      <c r="H912" s="120"/>
      <c r="I912" s="119"/>
      <c r="J912" s="119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4"/>
    </row>
    <row r="913" ht="14.25" customHeight="1">
      <c r="F913" s="119"/>
      <c r="G913" s="119"/>
      <c r="H913" s="120"/>
      <c r="I913" s="119"/>
      <c r="J913" s="119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4"/>
    </row>
    <row r="914" ht="14.25" customHeight="1">
      <c r="F914" s="119"/>
      <c r="G914" s="119"/>
      <c r="H914" s="120"/>
      <c r="I914" s="119"/>
      <c r="J914" s="119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4"/>
    </row>
    <row r="915" ht="14.25" customHeight="1">
      <c r="F915" s="119"/>
      <c r="G915" s="119"/>
      <c r="H915" s="120"/>
      <c r="I915" s="119"/>
      <c r="J915" s="119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4"/>
    </row>
    <row r="916" ht="14.25" customHeight="1">
      <c r="F916" s="119"/>
      <c r="G916" s="119"/>
      <c r="H916" s="120"/>
      <c r="I916" s="119"/>
      <c r="J916" s="119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4"/>
    </row>
    <row r="917" ht="14.25" customHeight="1">
      <c r="F917" s="119"/>
      <c r="G917" s="119"/>
      <c r="H917" s="120"/>
      <c r="I917" s="119"/>
      <c r="J917" s="119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4"/>
    </row>
    <row r="918" ht="14.25" customHeight="1">
      <c r="F918" s="119"/>
      <c r="G918" s="119"/>
      <c r="H918" s="120"/>
      <c r="I918" s="119"/>
      <c r="J918" s="119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4"/>
    </row>
    <row r="919" ht="14.25" customHeight="1">
      <c r="F919" s="119"/>
      <c r="G919" s="119"/>
      <c r="H919" s="120"/>
      <c r="I919" s="119"/>
      <c r="J919" s="119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4"/>
    </row>
    <row r="920" ht="14.25" customHeight="1">
      <c r="F920" s="119"/>
      <c r="G920" s="119"/>
      <c r="H920" s="120"/>
      <c r="I920" s="119"/>
      <c r="J920" s="119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4"/>
    </row>
    <row r="921" ht="14.25" customHeight="1">
      <c r="F921" s="119"/>
      <c r="G921" s="119"/>
      <c r="H921" s="120"/>
      <c r="I921" s="119"/>
      <c r="J921" s="119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4"/>
    </row>
    <row r="922" ht="14.25" customHeight="1">
      <c r="F922" s="119"/>
      <c r="G922" s="119"/>
      <c r="H922" s="120"/>
      <c r="I922" s="119"/>
      <c r="J922" s="119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4"/>
    </row>
    <row r="923" ht="14.25" customHeight="1">
      <c r="F923" s="119"/>
      <c r="G923" s="119"/>
      <c r="H923" s="120"/>
      <c r="I923" s="119"/>
      <c r="J923" s="119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4"/>
    </row>
    <row r="924" ht="14.25" customHeight="1">
      <c r="F924" s="119"/>
      <c r="G924" s="119"/>
      <c r="H924" s="120"/>
      <c r="I924" s="119"/>
      <c r="J924" s="119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4"/>
    </row>
    <row r="925" ht="14.25" customHeight="1">
      <c r="F925" s="119"/>
      <c r="G925" s="119"/>
      <c r="H925" s="120"/>
      <c r="I925" s="119"/>
      <c r="J925" s="119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4"/>
    </row>
    <row r="926" ht="14.25" customHeight="1">
      <c r="F926" s="119"/>
      <c r="G926" s="119"/>
      <c r="H926" s="120"/>
      <c r="I926" s="119"/>
      <c r="J926" s="119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4"/>
    </row>
    <row r="927" ht="14.25" customHeight="1">
      <c r="F927" s="119"/>
      <c r="G927" s="119"/>
      <c r="H927" s="120"/>
      <c r="I927" s="119"/>
      <c r="J927" s="119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4"/>
    </row>
    <row r="928" ht="14.25" customHeight="1">
      <c r="F928" s="119"/>
      <c r="G928" s="119"/>
      <c r="H928" s="120"/>
      <c r="I928" s="119"/>
      <c r="J928" s="119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4"/>
    </row>
    <row r="929" ht="14.25" customHeight="1">
      <c r="F929" s="119"/>
      <c r="G929" s="119"/>
      <c r="H929" s="120"/>
      <c r="I929" s="119"/>
      <c r="J929" s="119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4"/>
    </row>
    <row r="930" ht="14.25" customHeight="1">
      <c r="F930" s="119"/>
      <c r="G930" s="119"/>
      <c r="H930" s="120"/>
      <c r="I930" s="119"/>
      <c r="J930" s="119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4"/>
    </row>
    <row r="931" ht="14.25" customHeight="1">
      <c r="F931" s="119"/>
      <c r="G931" s="119"/>
      <c r="H931" s="120"/>
      <c r="I931" s="119"/>
      <c r="J931" s="119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4"/>
    </row>
    <row r="932" ht="14.25" customHeight="1">
      <c r="F932" s="119"/>
      <c r="G932" s="119"/>
      <c r="H932" s="120"/>
      <c r="I932" s="119"/>
      <c r="J932" s="119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4"/>
    </row>
    <row r="933" ht="14.25" customHeight="1">
      <c r="F933" s="119"/>
      <c r="G933" s="119"/>
      <c r="H933" s="120"/>
      <c r="I933" s="119"/>
      <c r="J933" s="119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4"/>
    </row>
    <row r="934" ht="14.25" customHeight="1">
      <c r="F934" s="119"/>
      <c r="G934" s="119"/>
      <c r="H934" s="120"/>
      <c r="I934" s="119"/>
      <c r="J934" s="119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4"/>
    </row>
    <row r="935" ht="14.25" customHeight="1">
      <c r="F935" s="119"/>
      <c r="G935" s="119"/>
      <c r="H935" s="120"/>
      <c r="I935" s="119"/>
      <c r="J935" s="119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4"/>
    </row>
    <row r="936" ht="14.25" customHeight="1">
      <c r="F936" s="119"/>
      <c r="G936" s="119"/>
      <c r="H936" s="120"/>
      <c r="I936" s="119"/>
      <c r="J936" s="119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4"/>
    </row>
    <row r="937" ht="14.25" customHeight="1">
      <c r="F937" s="119"/>
      <c r="G937" s="119"/>
      <c r="H937" s="120"/>
      <c r="I937" s="119"/>
      <c r="J937" s="119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4"/>
    </row>
    <row r="938" ht="14.25" customHeight="1">
      <c r="F938" s="119"/>
      <c r="G938" s="119"/>
      <c r="H938" s="120"/>
      <c r="I938" s="119"/>
      <c r="J938" s="119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4"/>
    </row>
    <row r="939" ht="14.25" customHeight="1">
      <c r="F939" s="119"/>
      <c r="G939" s="119"/>
      <c r="H939" s="120"/>
      <c r="I939" s="119"/>
      <c r="J939" s="119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4"/>
    </row>
    <row r="940" ht="14.25" customHeight="1">
      <c r="F940" s="119"/>
      <c r="G940" s="119"/>
      <c r="H940" s="120"/>
      <c r="I940" s="119"/>
      <c r="J940" s="119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4"/>
    </row>
    <row r="941" ht="14.25" customHeight="1">
      <c r="F941" s="119"/>
      <c r="G941" s="119"/>
      <c r="H941" s="120"/>
      <c r="I941" s="119"/>
      <c r="J941" s="119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4"/>
    </row>
    <row r="942" ht="14.25" customHeight="1">
      <c r="F942" s="119"/>
      <c r="G942" s="119"/>
      <c r="H942" s="120"/>
      <c r="I942" s="119"/>
      <c r="J942" s="119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4"/>
    </row>
    <row r="943" ht="14.25" customHeight="1">
      <c r="F943" s="119"/>
      <c r="G943" s="119"/>
      <c r="H943" s="120"/>
      <c r="I943" s="119"/>
      <c r="J943" s="119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4"/>
    </row>
    <row r="944" ht="14.25" customHeight="1">
      <c r="F944" s="119"/>
      <c r="G944" s="119"/>
      <c r="H944" s="120"/>
      <c r="I944" s="119"/>
      <c r="J944" s="119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4"/>
    </row>
    <row r="945" ht="14.25" customHeight="1">
      <c r="F945" s="119"/>
      <c r="G945" s="119"/>
      <c r="H945" s="120"/>
      <c r="I945" s="119"/>
      <c r="J945" s="119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4"/>
    </row>
    <row r="946" ht="14.25" customHeight="1">
      <c r="F946" s="119"/>
      <c r="G946" s="119"/>
      <c r="H946" s="120"/>
      <c r="I946" s="119"/>
      <c r="J946" s="119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4"/>
    </row>
    <row r="947" ht="14.25" customHeight="1">
      <c r="F947" s="119"/>
      <c r="G947" s="119"/>
      <c r="H947" s="120"/>
      <c r="I947" s="119"/>
      <c r="J947" s="119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4"/>
    </row>
    <row r="948" ht="14.25" customHeight="1">
      <c r="F948" s="119"/>
      <c r="G948" s="119"/>
      <c r="H948" s="120"/>
      <c r="I948" s="119"/>
      <c r="J948" s="119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4"/>
    </row>
    <row r="949" ht="14.25" customHeight="1">
      <c r="F949" s="119"/>
      <c r="G949" s="119"/>
      <c r="H949" s="120"/>
      <c r="I949" s="119"/>
      <c r="J949" s="119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4"/>
    </row>
    <row r="950" ht="14.25" customHeight="1">
      <c r="F950" s="119"/>
      <c r="G950" s="119"/>
      <c r="H950" s="120"/>
      <c r="I950" s="119"/>
      <c r="J950" s="119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4"/>
    </row>
    <row r="951" ht="14.25" customHeight="1">
      <c r="F951" s="119"/>
      <c r="G951" s="119"/>
      <c r="H951" s="120"/>
      <c r="I951" s="119"/>
      <c r="J951" s="119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4"/>
    </row>
    <row r="952" ht="14.25" customHeight="1">
      <c r="F952" s="119"/>
      <c r="G952" s="119"/>
      <c r="H952" s="120"/>
      <c r="I952" s="119"/>
      <c r="J952" s="119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4"/>
    </row>
    <row r="953" ht="14.25" customHeight="1">
      <c r="F953" s="119"/>
      <c r="G953" s="119"/>
      <c r="H953" s="120"/>
      <c r="I953" s="119"/>
      <c r="J953" s="119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4"/>
    </row>
    <row r="954" ht="14.25" customHeight="1">
      <c r="F954" s="119"/>
      <c r="G954" s="119"/>
      <c r="H954" s="120"/>
      <c r="I954" s="119"/>
      <c r="J954" s="119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4"/>
    </row>
    <row r="955" ht="14.25" customHeight="1">
      <c r="F955" s="119"/>
      <c r="G955" s="119"/>
      <c r="H955" s="120"/>
      <c r="I955" s="119"/>
      <c r="J955" s="119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4"/>
    </row>
    <row r="956" ht="14.25" customHeight="1">
      <c r="F956" s="119"/>
      <c r="G956" s="119"/>
      <c r="H956" s="120"/>
      <c r="I956" s="119"/>
      <c r="J956" s="119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4"/>
    </row>
    <row r="957" ht="14.25" customHeight="1">
      <c r="F957" s="119"/>
      <c r="G957" s="119"/>
      <c r="H957" s="120"/>
      <c r="I957" s="119"/>
      <c r="J957" s="119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4"/>
    </row>
    <row r="958" ht="14.25" customHeight="1">
      <c r="F958" s="119"/>
      <c r="G958" s="119"/>
      <c r="H958" s="120"/>
      <c r="I958" s="119"/>
      <c r="J958" s="119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4"/>
    </row>
    <row r="959" ht="14.25" customHeight="1">
      <c r="F959" s="119"/>
      <c r="G959" s="119"/>
      <c r="H959" s="120"/>
      <c r="I959" s="119"/>
      <c r="J959" s="119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4"/>
    </row>
    <row r="960" ht="14.25" customHeight="1">
      <c r="F960" s="119"/>
      <c r="G960" s="119"/>
      <c r="H960" s="120"/>
      <c r="I960" s="119"/>
      <c r="J960" s="119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4"/>
    </row>
    <row r="961" ht="14.25" customHeight="1">
      <c r="F961" s="119"/>
      <c r="G961" s="119"/>
      <c r="H961" s="120"/>
      <c r="I961" s="119"/>
      <c r="J961" s="119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4"/>
    </row>
    <row r="962" ht="14.25" customHeight="1">
      <c r="F962" s="119"/>
      <c r="G962" s="119"/>
      <c r="H962" s="120"/>
      <c r="I962" s="119"/>
      <c r="J962" s="119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4"/>
    </row>
    <row r="963" ht="14.25" customHeight="1">
      <c r="F963" s="119"/>
      <c r="G963" s="119"/>
      <c r="H963" s="120"/>
      <c r="I963" s="119"/>
      <c r="J963" s="119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4"/>
    </row>
    <row r="964" ht="14.25" customHeight="1">
      <c r="F964" s="119"/>
      <c r="G964" s="119"/>
      <c r="H964" s="120"/>
      <c r="I964" s="119"/>
      <c r="J964" s="119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4"/>
    </row>
    <row r="965" ht="14.25" customHeight="1">
      <c r="F965" s="119"/>
      <c r="G965" s="119"/>
      <c r="H965" s="120"/>
      <c r="I965" s="119"/>
      <c r="J965" s="119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4"/>
    </row>
    <row r="966" ht="14.25" customHeight="1">
      <c r="F966" s="119"/>
      <c r="G966" s="119"/>
      <c r="H966" s="120"/>
      <c r="I966" s="119"/>
      <c r="J966" s="119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4"/>
    </row>
    <row r="967" ht="14.25" customHeight="1">
      <c r="F967" s="119"/>
      <c r="G967" s="119"/>
      <c r="H967" s="120"/>
      <c r="I967" s="119"/>
      <c r="J967" s="119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4"/>
    </row>
    <row r="968" ht="14.25" customHeight="1">
      <c r="F968" s="119"/>
      <c r="G968" s="119"/>
      <c r="H968" s="120"/>
      <c r="I968" s="119"/>
      <c r="J968" s="119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4"/>
    </row>
    <row r="969" ht="14.25" customHeight="1">
      <c r="F969" s="119"/>
      <c r="G969" s="119"/>
      <c r="H969" s="120"/>
      <c r="I969" s="119"/>
      <c r="J969" s="119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4"/>
    </row>
    <row r="970" ht="14.25" customHeight="1">
      <c r="F970" s="119"/>
      <c r="G970" s="119"/>
      <c r="H970" s="120"/>
      <c r="I970" s="119"/>
      <c r="J970" s="119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4"/>
    </row>
    <row r="971" ht="14.25" customHeight="1">
      <c r="F971" s="119"/>
      <c r="G971" s="119"/>
      <c r="H971" s="120"/>
      <c r="I971" s="119"/>
      <c r="J971" s="119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4"/>
    </row>
    <row r="972" ht="14.25" customHeight="1">
      <c r="F972" s="119"/>
      <c r="G972" s="119"/>
      <c r="H972" s="120"/>
      <c r="I972" s="119"/>
      <c r="J972" s="119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4"/>
    </row>
    <row r="973" ht="14.25" customHeight="1">
      <c r="F973" s="119"/>
      <c r="G973" s="119"/>
      <c r="H973" s="120"/>
      <c r="I973" s="119"/>
      <c r="J973" s="119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4"/>
    </row>
    <row r="974" ht="14.25" customHeight="1">
      <c r="F974" s="119"/>
      <c r="G974" s="119"/>
      <c r="H974" s="120"/>
      <c r="I974" s="119"/>
      <c r="J974" s="119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4"/>
    </row>
    <row r="975" ht="14.25" customHeight="1">
      <c r="F975" s="119"/>
      <c r="G975" s="119"/>
      <c r="H975" s="120"/>
      <c r="I975" s="119"/>
      <c r="J975" s="119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4"/>
    </row>
    <row r="976" ht="14.25" customHeight="1">
      <c r="F976" s="119"/>
      <c r="G976" s="119"/>
      <c r="H976" s="120"/>
      <c r="I976" s="119"/>
      <c r="J976" s="119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4"/>
    </row>
    <row r="977" ht="14.25" customHeight="1">
      <c r="F977" s="119"/>
      <c r="G977" s="119"/>
      <c r="H977" s="120"/>
      <c r="I977" s="119"/>
      <c r="J977" s="119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4"/>
    </row>
    <row r="978" ht="14.25" customHeight="1">
      <c r="F978" s="119"/>
      <c r="G978" s="119"/>
      <c r="H978" s="120"/>
      <c r="I978" s="119"/>
      <c r="J978" s="119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4"/>
    </row>
    <row r="979" ht="14.25" customHeight="1">
      <c r="F979" s="119"/>
      <c r="G979" s="119"/>
      <c r="H979" s="120"/>
      <c r="I979" s="119"/>
      <c r="J979" s="119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4"/>
    </row>
    <row r="980" ht="14.25" customHeight="1">
      <c r="F980" s="119"/>
      <c r="G980" s="119"/>
      <c r="H980" s="120"/>
      <c r="I980" s="119"/>
      <c r="J980" s="119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4"/>
    </row>
    <row r="981" ht="14.25" customHeight="1">
      <c r="F981" s="119"/>
      <c r="G981" s="119"/>
      <c r="H981" s="120"/>
      <c r="I981" s="119"/>
      <c r="J981" s="119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4"/>
    </row>
    <row r="982" ht="14.25" customHeight="1">
      <c r="F982" s="119"/>
      <c r="G982" s="119"/>
      <c r="H982" s="120"/>
      <c r="I982" s="119"/>
      <c r="J982" s="119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4"/>
    </row>
    <row r="983" ht="14.25" customHeight="1">
      <c r="F983" s="119"/>
      <c r="G983" s="119"/>
      <c r="H983" s="120"/>
      <c r="I983" s="119"/>
      <c r="J983" s="119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4"/>
    </row>
    <row r="984" ht="14.25" customHeight="1">
      <c r="F984" s="119"/>
      <c r="G984" s="119"/>
      <c r="H984" s="120"/>
      <c r="I984" s="119"/>
      <c r="J984" s="119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4"/>
    </row>
    <row r="985" ht="14.25" customHeight="1">
      <c r="F985" s="119"/>
      <c r="G985" s="119"/>
      <c r="H985" s="120"/>
      <c r="I985" s="119"/>
      <c r="J985" s="119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4"/>
    </row>
    <row r="986" ht="14.25" customHeight="1">
      <c r="F986" s="119"/>
      <c r="G986" s="119"/>
      <c r="H986" s="120"/>
      <c r="I986" s="119"/>
      <c r="J986" s="119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4"/>
    </row>
    <row r="987" ht="14.25" customHeight="1">
      <c r="F987" s="119"/>
      <c r="G987" s="119"/>
      <c r="H987" s="120"/>
      <c r="I987" s="119"/>
      <c r="J987" s="119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4"/>
    </row>
    <row r="988" ht="14.25" customHeight="1">
      <c r="F988" s="119"/>
      <c r="G988" s="119"/>
      <c r="H988" s="120"/>
      <c r="I988" s="119"/>
      <c r="J988" s="119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4"/>
    </row>
    <row r="989" ht="14.25" customHeight="1">
      <c r="F989" s="119"/>
      <c r="G989" s="119"/>
      <c r="H989" s="120"/>
      <c r="I989" s="119"/>
      <c r="J989" s="119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4"/>
    </row>
    <row r="990" ht="14.25" customHeight="1">
      <c r="F990" s="119"/>
      <c r="G990" s="119"/>
      <c r="H990" s="120"/>
      <c r="I990" s="119"/>
      <c r="J990" s="119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4"/>
    </row>
    <row r="991" ht="14.25" customHeight="1">
      <c r="F991" s="119"/>
      <c r="G991" s="119"/>
      <c r="H991" s="120"/>
      <c r="I991" s="119"/>
      <c r="J991" s="119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4"/>
    </row>
    <row r="992" ht="14.25" customHeight="1">
      <c r="F992" s="119"/>
      <c r="G992" s="119"/>
      <c r="H992" s="120"/>
      <c r="I992" s="119"/>
      <c r="J992" s="119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4"/>
    </row>
    <row r="993" ht="14.25" customHeight="1">
      <c r="F993" s="119"/>
      <c r="G993" s="119"/>
      <c r="H993" s="120"/>
      <c r="I993" s="119"/>
      <c r="J993" s="119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4"/>
    </row>
    <row r="994" ht="14.25" customHeight="1">
      <c r="F994" s="119"/>
      <c r="G994" s="119"/>
      <c r="H994" s="120"/>
      <c r="I994" s="119"/>
      <c r="J994" s="119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4"/>
    </row>
    <row r="995" ht="14.25" customHeight="1">
      <c r="F995" s="119"/>
      <c r="G995" s="119"/>
      <c r="H995" s="120"/>
      <c r="I995" s="119"/>
      <c r="J995" s="119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4"/>
    </row>
    <row r="996" ht="14.25" customHeight="1">
      <c r="F996" s="119"/>
      <c r="G996" s="119"/>
      <c r="H996" s="120"/>
      <c r="I996" s="119"/>
      <c r="J996" s="119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4"/>
    </row>
    <row r="997" ht="14.25" customHeight="1">
      <c r="F997" s="119"/>
      <c r="G997" s="119"/>
      <c r="H997" s="120"/>
      <c r="I997" s="119"/>
      <c r="J997" s="119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4"/>
    </row>
    <row r="998" ht="14.25" customHeight="1">
      <c r="F998" s="119"/>
      <c r="G998" s="119"/>
      <c r="H998" s="120"/>
      <c r="I998" s="119"/>
      <c r="J998" s="119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4"/>
    </row>
    <row r="999" ht="14.25" customHeight="1">
      <c r="F999" s="119"/>
      <c r="G999" s="119"/>
      <c r="H999" s="120"/>
      <c r="I999" s="119"/>
      <c r="J999" s="119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4"/>
    </row>
    <row r="1000" ht="14.25" customHeight="1">
      <c r="F1000" s="119"/>
      <c r="G1000" s="119"/>
      <c r="H1000" s="120"/>
      <c r="I1000" s="119"/>
      <c r="J1000" s="119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4"/>
    </row>
  </sheetData>
  <autoFilter ref="$A$11:$AF$77"/>
  <mergeCells count="63">
    <mergeCell ref="AD11:AD12"/>
    <mergeCell ref="AE11:AE12"/>
    <mergeCell ref="A2:AF2"/>
    <mergeCell ref="A3:AF3"/>
    <mergeCell ref="A4:AE4"/>
    <mergeCell ref="A5:AF5"/>
    <mergeCell ref="A6:AF6"/>
    <mergeCell ref="A8:AF8"/>
    <mergeCell ref="A11:A12"/>
    <mergeCell ref="AF11:AF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28:A30"/>
    <mergeCell ref="A31:A33"/>
    <mergeCell ref="A34:A36"/>
    <mergeCell ref="A37:A39"/>
    <mergeCell ref="A40:A42"/>
    <mergeCell ref="A43:A45"/>
    <mergeCell ref="A46:A48"/>
    <mergeCell ref="A70:A72"/>
    <mergeCell ref="A73:L73"/>
    <mergeCell ref="A74:L74"/>
    <mergeCell ref="A75:L75"/>
    <mergeCell ref="A76:L76"/>
    <mergeCell ref="A77:AF77"/>
    <mergeCell ref="A49:A51"/>
    <mergeCell ref="A52:A54"/>
    <mergeCell ref="A55:A57"/>
    <mergeCell ref="A58:A60"/>
    <mergeCell ref="A61:A63"/>
    <mergeCell ref="A64:A66"/>
    <mergeCell ref="A67:A6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B11:B12"/>
    <mergeCell ref="C11:C12"/>
    <mergeCell ref="A13:A15"/>
    <mergeCell ref="A16:A18"/>
    <mergeCell ref="A19:A21"/>
    <mergeCell ref="A22:A24"/>
    <mergeCell ref="A25:A27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0.71"/>
    <col customWidth="1" min="3" max="3" width="11.71"/>
    <col customWidth="1" min="4" max="4" width="11.14"/>
    <col customWidth="1" min="5" max="5" width="0.29"/>
    <col customWidth="1" min="6" max="6" width="12.0"/>
    <col customWidth="1" min="7" max="7" width="20.0"/>
    <col customWidth="1" min="8" max="8" width="18.57"/>
    <col customWidth="1" min="9" max="9" width="10.29"/>
    <col customWidth="1" min="10" max="10" width="12.14"/>
    <col customWidth="1" min="11" max="11" width="10.71"/>
    <col customWidth="1" min="12" max="12" width="31.0"/>
    <col customWidth="1" min="13" max="13" width="7.43"/>
    <col customWidth="1" min="14" max="14" width="13.14"/>
    <col customWidth="1" min="15" max="15" width="16.29"/>
    <col customWidth="1" min="16" max="16" width="6.14"/>
    <col customWidth="1" min="17" max="17" width="15.57"/>
    <col customWidth="1" min="18" max="18" width="14.86"/>
    <col customWidth="1" min="19" max="20" width="11.14"/>
    <col customWidth="1" min="21" max="21" width="0.14"/>
    <col customWidth="1" min="22" max="22" width="0.29"/>
    <col customWidth="1" min="23" max="23" width="13.71"/>
    <col customWidth="1" min="24" max="24" width="16.43"/>
    <col customWidth="1" min="25" max="25" width="18.43"/>
    <col customWidth="1" min="26" max="26" width="16.86"/>
    <col customWidth="1" min="27" max="27" width="13.14"/>
    <col customWidth="1" min="28" max="28" width="16.0"/>
    <col customWidth="1" min="29" max="29" width="20.43"/>
    <col customWidth="1" min="30" max="30" width="18.0"/>
    <col customWidth="1" min="31" max="31" width="20.0"/>
    <col customWidth="1" min="32" max="32" width="22.86"/>
  </cols>
  <sheetData>
    <row r="1">
      <c r="F1" s="119"/>
      <c r="G1" s="119"/>
      <c r="H1" s="120"/>
      <c r="I1" s="119"/>
      <c r="J1" s="119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237"/>
    </row>
    <row r="2">
      <c r="A2" s="5" t="s">
        <v>454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237"/>
    </row>
    <row r="3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237"/>
    </row>
    <row r="4" ht="17.25" customHeight="1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10"/>
      <c r="AD4" s="237"/>
    </row>
    <row r="5" ht="33.0" customHeight="1">
      <c r="A5" s="11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  <c r="AD5" s="237"/>
    </row>
    <row r="6">
      <c r="A6" s="11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/>
      <c r="AD6" s="237"/>
    </row>
    <row r="7" ht="21.0" hidden="1" customHeight="1">
      <c r="A7" s="11"/>
      <c r="B7" s="12"/>
      <c r="C7" s="12"/>
      <c r="D7" s="12"/>
      <c r="E7" s="12"/>
      <c r="F7" s="121"/>
      <c r="G7" s="121"/>
      <c r="H7" s="122"/>
      <c r="I7" s="121"/>
      <c r="J7" s="121"/>
      <c r="K7" s="12"/>
      <c r="L7" s="12"/>
      <c r="M7" s="13"/>
      <c r="N7" s="13"/>
      <c r="O7" s="13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6"/>
      <c r="AD7" s="237"/>
    </row>
    <row r="8" ht="21.0" hidden="1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9"/>
      <c r="AD8" s="237"/>
    </row>
    <row r="9" ht="21.0" hidden="1" customHeight="1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237"/>
    </row>
    <row r="10" ht="21.0" hidden="1" customHeight="1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237"/>
    </row>
    <row r="11" ht="29.25" customHeight="1">
      <c r="A11" s="20" t="s">
        <v>12</v>
      </c>
      <c r="B11" s="21" t="s">
        <v>15</v>
      </c>
      <c r="C11" s="21" t="s">
        <v>13</v>
      </c>
      <c r="D11" s="21" t="s">
        <v>14</v>
      </c>
      <c r="E11" s="21" t="s">
        <v>15</v>
      </c>
      <c r="F11" s="21" t="s">
        <v>16</v>
      </c>
      <c r="G11" s="21" t="s">
        <v>169</v>
      </c>
      <c r="H11" s="24" t="s">
        <v>23</v>
      </c>
      <c r="I11" s="21" t="s">
        <v>27</v>
      </c>
      <c r="J11" s="21" t="s">
        <v>30</v>
      </c>
      <c r="K11" s="21" t="s">
        <v>18</v>
      </c>
      <c r="L11" s="21" t="s">
        <v>31</v>
      </c>
      <c r="M11" s="22" t="s">
        <v>170</v>
      </c>
      <c r="N11" s="21" t="s">
        <v>21</v>
      </c>
      <c r="O11" s="21" t="s">
        <v>22</v>
      </c>
      <c r="P11" s="25" t="s">
        <v>24</v>
      </c>
      <c r="Q11" s="23" t="s">
        <v>25</v>
      </c>
      <c r="R11" s="25" t="s">
        <v>174</v>
      </c>
      <c r="S11" s="23" t="s">
        <v>37</v>
      </c>
      <c r="T11" s="25" t="s">
        <v>39</v>
      </c>
      <c r="U11" s="25" t="s">
        <v>40</v>
      </c>
      <c r="V11" s="25" t="s">
        <v>43</v>
      </c>
      <c r="W11" s="25" t="s">
        <v>45</v>
      </c>
      <c r="X11" s="25" t="s">
        <v>46</v>
      </c>
      <c r="Y11" s="25" t="s">
        <v>47</v>
      </c>
      <c r="Z11" s="25" t="s">
        <v>48</v>
      </c>
      <c r="AA11" s="23" t="s">
        <v>32</v>
      </c>
      <c r="AB11" s="23" t="s">
        <v>33</v>
      </c>
      <c r="AC11" s="238" t="s">
        <v>34</v>
      </c>
      <c r="AD11" s="239" t="s">
        <v>455</v>
      </c>
    </row>
    <row r="12" ht="37.5" customHeight="1">
      <c r="A12" s="28"/>
      <c r="B12" s="30"/>
      <c r="C12" s="29"/>
      <c r="D12" s="29"/>
      <c r="E12" s="29"/>
      <c r="F12" s="29"/>
      <c r="G12" s="30"/>
      <c r="H12" s="30"/>
      <c r="I12" s="29"/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40"/>
      <c r="AD12" s="30"/>
    </row>
    <row r="13" ht="30.0" customHeight="1">
      <c r="A13" s="218" t="s">
        <v>369</v>
      </c>
      <c r="B13" s="133" t="s">
        <v>370</v>
      </c>
      <c r="C13" s="44">
        <v>46113.0</v>
      </c>
      <c r="D13" s="44">
        <v>46113.0</v>
      </c>
      <c r="E13" s="37"/>
      <c r="F13" s="37" t="s">
        <v>176</v>
      </c>
      <c r="G13" s="37" t="s">
        <v>456</v>
      </c>
      <c r="H13" s="49" t="s">
        <v>457</v>
      </c>
      <c r="I13" s="37"/>
      <c r="J13" s="37"/>
      <c r="K13" s="42"/>
      <c r="L13" s="37" t="s">
        <v>291</v>
      </c>
      <c r="M13" s="202"/>
      <c r="N13" s="74">
        <v>710182.0</v>
      </c>
      <c r="O13" s="241">
        <v>1388888.8888888888</v>
      </c>
      <c r="P13" s="241"/>
      <c r="Q13" s="241"/>
      <c r="R13" s="241"/>
      <c r="S13" s="241"/>
      <c r="T13" s="241"/>
      <c r="U13" s="241"/>
      <c r="V13" s="241"/>
      <c r="W13" s="241"/>
      <c r="X13" s="241">
        <v>0.0</v>
      </c>
      <c r="Y13" s="241">
        <v>0.0</v>
      </c>
      <c r="Z13" s="241">
        <v>0.0</v>
      </c>
      <c r="AA13" s="241">
        <v>0.0</v>
      </c>
      <c r="AB13" s="241">
        <f t="shared" ref="AB13:AB14" si="1">O13</f>
        <v>1388888.889</v>
      </c>
      <c r="AC13" s="137"/>
      <c r="AD13" s="241">
        <f t="shared" ref="AD13:AD63" si="2">AB13-N13</f>
        <v>678706.8889</v>
      </c>
      <c r="AE13" s="54"/>
      <c r="AF13" s="54"/>
    </row>
    <row r="14" ht="30.75" customHeight="1">
      <c r="A14" s="219"/>
      <c r="B14" s="177" t="s">
        <v>370</v>
      </c>
      <c r="C14" s="44">
        <v>46113.0</v>
      </c>
      <c r="D14" s="44">
        <v>46113.0</v>
      </c>
      <c r="E14" s="37"/>
      <c r="F14" s="37" t="s">
        <v>176</v>
      </c>
      <c r="G14" s="37" t="s">
        <v>456</v>
      </c>
      <c r="H14" s="49" t="s">
        <v>457</v>
      </c>
      <c r="I14" s="37"/>
      <c r="J14" s="37"/>
      <c r="K14" s="42"/>
      <c r="L14" s="37" t="s">
        <v>189</v>
      </c>
      <c r="M14" s="202"/>
      <c r="N14" s="74">
        <v>1920000.0</v>
      </c>
      <c r="O14" s="241">
        <v>2500000.0</v>
      </c>
      <c r="P14" s="241"/>
      <c r="Q14" s="241"/>
      <c r="R14" s="241"/>
      <c r="S14" s="241"/>
      <c r="T14" s="241"/>
      <c r="U14" s="241"/>
      <c r="V14" s="241"/>
      <c r="W14" s="241"/>
      <c r="X14" s="241">
        <v>0.0</v>
      </c>
      <c r="Y14" s="241">
        <v>0.0</v>
      </c>
      <c r="Z14" s="241">
        <v>0.0</v>
      </c>
      <c r="AA14" s="241">
        <v>0.0</v>
      </c>
      <c r="AB14" s="241">
        <f t="shared" si="1"/>
        <v>2500000</v>
      </c>
      <c r="AC14" s="137"/>
      <c r="AD14" s="241">
        <f t="shared" si="2"/>
        <v>580000</v>
      </c>
      <c r="AE14" s="54"/>
      <c r="AF14" s="54"/>
    </row>
    <row r="15">
      <c r="A15" s="30"/>
      <c r="B15" s="177" t="s">
        <v>370</v>
      </c>
      <c r="C15" s="44">
        <v>46113.0</v>
      </c>
      <c r="D15" s="44">
        <v>46113.0</v>
      </c>
      <c r="E15" s="37"/>
      <c r="F15" s="37" t="s">
        <v>414</v>
      </c>
      <c r="G15" s="37" t="s">
        <v>456</v>
      </c>
      <c r="H15" s="49" t="s">
        <v>457</v>
      </c>
      <c r="I15" s="37" t="s">
        <v>406</v>
      </c>
      <c r="J15" s="37" t="s">
        <v>458</v>
      </c>
      <c r="K15" s="42" t="s">
        <v>181</v>
      </c>
      <c r="L15" s="37" t="s">
        <v>343</v>
      </c>
      <c r="M15" s="202">
        <v>1.0</v>
      </c>
      <c r="N15" s="74">
        <f>6425000+1782545</f>
        <v>8207545</v>
      </c>
      <c r="O15" s="241">
        <f>6980000/1.08</f>
        <v>6462962.963</v>
      </c>
      <c r="P15" s="241"/>
      <c r="Q15" s="241"/>
      <c r="R15" s="241"/>
      <c r="S15" s="241">
        <v>499999.99999999994</v>
      </c>
      <c r="T15" s="241">
        <v>229999.99999999997</v>
      </c>
      <c r="U15" s="241">
        <v>0.0</v>
      </c>
      <c r="V15" s="241">
        <v>0.0</v>
      </c>
      <c r="W15" s="241">
        <v>1335272.0</v>
      </c>
      <c r="X15" s="241">
        <v>0.0</v>
      </c>
      <c r="Y15" s="241">
        <v>0.0</v>
      </c>
      <c r="Z15" s="241">
        <v>0.0</v>
      </c>
      <c r="AA15" s="241">
        <v>0.0</v>
      </c>
      <c r="AB15" s="241">
        <f>(SUM(O15:W15))</f>
        <v>8528234.963</v>
      </c>
      <c r="AC15" s="137"/>
      <c r="AD15" s="241">
        <f t="shared" si="2"/>
        <v>320689.963</v>
      </c>
      <c r="AE15" s="242"/>
      <c r="AF15" s="54"/>
    </row>
    <row r="16" ht="18.0" customHeight="1">
      <c r="A16" s="218" t="s">
        <v>375</v>
      </c>
      <c r="B16" s="177" t="s">
        <v>459</v>
      </c>
      <c r="C16" s="44">
        <v>46113.0</v>
      </c>
      <c r="D16" s="44">
        <v>46113.0</v>
      </c>
      <c r="E16" s="37"/>
      <c r="F16" s="37" t="s">
        <v>176</v>
      </c>
      <c r="G16" s="37" t="s">
        <v>460</v>
      </c>
      <c r="H16" s="49" t="s">
        <v>461</v>
      </c>
      <c r="I16" s="37"/>
      <c r="J16" s="37"/>
      <c r="K16" s="42"/>
      <c r="L16" s="37" t="s">
        <v>291</v>
      </c>
      <c r="M16" s="202"/>
      <c r="N16" s="74">
        <v>759273.0</v>
      </c>
      <c r="O16" s="241">
        <f>(800000*1.08)/1.08</f>
        <v>800000</v>
      </c>
      <c r="P16" s="241"/>
      <c r="Q16" s="241"/>
      <c r="R16" s="241"/>
      <c r="S16" s="241"/>
      <c r="T16" s="241"/>
      <c r="U16" s="241"/>
      <c r="V16" s="241"/>
      <c r="W16" s="241"/>
      <c r="X16" s="241">
        <v>0.0</v>
      </c>
      <c r="Y16" s="241">
        <v>0.0</v>
      </c>
      <c r="Z16" s="241">
        <v>0.0</v>
      </c>
      <c r="AA16" s="241">
        <v>0.0</v>
      </c>
      <c r="AB16" s="241">
        <v>864000.0</v>
      </c>
      <c r="AC16" s="243" t="s">
        <v>462</v>
      </c>
      <c r="AD16" s="241">
        <f t="shared" si="2"/>
        <v>104727</v>
      </c>
      <c r="AE16" s="54"/>
      <c r="AF16" s="54"/>
    </row>
    <row r="17" ht="18.0" customHeight="1">
      <c r="A17" s="219"/>
      <c r="B17" s="177" t="s">
        <v>459</v>
      </c>
      <c r="C17" s="44">
        <v>46113.0</v>
      </c>
      <c r="D17" s="44">
        <v>46113.0</v>
      </c>
      <c r="E17" s="37"/>
      <c r="F17" s="37" t="s">
        <v>176</v>
      </c>
      <c r="G17" s="37" t="s">
        <v>460</v>
      </c>
      <c r="H17" s="49" t="s">
        <v>461</v>
      </c>
      <c r="I17" s="37"/>
      <c r="J17" s="37"/>
      <c r="K17" s="42"/>
      <c r="L17" s="37" t="s">
        <v>189</v>
      </c>
      <c r="M17" s="202"/>
      <c r="N17" s="225">
        <v>1920000.0</v>
      </c>
      <c r="O17" s="241">
        <v>2500000.0</v>
      </c>
      <c r="P17" s="241"/>
      <c r="Q17" s="241"/>
      <c r="R17" s="241"/>
      <c r="S17" s="241"/>
      <c r="T17" s="241"/>
      <c r="U17" s="241"/>
      <c r="V17" s="241"/>
      <c r="W17" s="241"/>
      <c r="X17" s="241">
        <v>0.0</v>
      </c>
      <c r="Y17" s="241">
        <v>0.0</v>
      </c>
      <c r="Z17" s="241">
        <v>0.0</v>
      </c>
      <c r="AA17" s="241">
        <v>0.0</v>
      </c>
      <c r="AB17" s="241">
        <f>(O17)*1.08</f>
        <v>2700000</v>
      </c>
      <c r="AC17" s="244"/>
      <c r="AD17" s="241">
        <f t="shared" si="2"/>
        <v>780000</v>
      </c>
      <c r="AE17" s="56"/>
      <c r="AF17" s="56"/>
    </row>
    <row r="18" ht="18.0" customHeight="1">
      <c r="A18" s="30"/>
      <c r="B18" s="177" t="s">
        <v>459</v>
      </c>
      <c r="C18" s="44">
        <v>46113.0</v>
      </c>
      <c r="D18" s="44">
        <v>46113.0</v>
      </c>
      <c r="E18" s="37"/>
      <c r="F18" s="37" t="s">
        <v>463</v>
      </c>
      <c r="G18" s="37" t="s">
        <v>460</v>
      </c>
      <c r="H18" s="49" t="s">
        <v>461</v>
      </c>
      <c r="I18" s="37" t="s">
        <v>362</v>
      </c>
      <c r="J18" s="37" t="s">
        <v>464</v>
      </c>
      <c r="K18" s="42"/>
      <c r="L18" s="37" t="s">
        <v>465</v>
      </c>
      <c r="M18" s="202">
        <v>1.0</v>
      </c>
      <c r="N18" s="74">
        <f>37000000+1894727</f>
        <v>38894727</v>
      </c>
      <c r="O18" s="241">
        <f>(41500000*1.08)/1.08</f>
        <v>41500000</v>
      </c>
      <c r="P18" s="241"/>
      <c r="Q18" s="241"/>
      <c r="R18" s="241"/>
      <c r="S18" s="241">
        <f>(800000*1.08)/1.08</f>
        <v>800000</v>
      </c>
      <c r="T18" s="241">
        <f>(400000*1.08)/1.08</f>
        <v>400000</v>
      </c>
      <c r="U18" s="241">
        <v>0.0</v>
      </c>
      <c r="V18" s="241">
        <v>0.0</v>
      </c>
      <c r="W18" s="241">
        <f>(702000*1.08)/1.08</f>
        <v>702000</v>
      </c>
      <c r="X18" s="241">
        <v>0.0</v>
      </c>
      <c r="Y18" s="241">
        <v>0.0</v>
      </c>
      <c r="Z18" s="241">
        <v>0.0</v>
      </c>
      <c r="AA18" s="241">
        <v>0.0</v>
      </c>
      <c r="AB18" s="241">
        <f>(SUM(O18:W18))*1.08</f>
        <v>46874160</v>
      </c>
      <c r="AC18" s="240"/>
      <c r="AD18" s="241">
        <f t="shared" si="2"/>
        <v>7979433</v>
      </c>
      <c r="AE18" s="245"/>
      <c r="AF18" s="56"/>
    </row>
    <row r="19" ht="30.0" customHeight="1">
      <c r="A19" s="218" t="s">
        <v>380</v>
      </c>
      <c r="B19" s="177" t="s">
        <v>370</v>
      </c>
      <c r="C19" s="44">
        <v>46115.0</v>
      </c>
      <c r="D19" s="44">
        <v>46115.0</v>
      </c>
      <c r="E19" s="37"/>
      <c r="F19" s="37" t="s">
        <v>176</v>
      </c>
      <c r="G19" s="37" t="s">
        <v>466</v>
      </c>
      <c r="H19" s="49" t="s">
        <v>467</v>
      </c>
      <c r="I19" s="37"/>
      <c r="J19" s="37"/>
      <c r="K19" s="42"/>
      <c r="L19" s="37" t="s">
        <v>291</v>
      </c>
      <c r="M19" s="202" t="s">
        <v>468</v>
      </c>
      <c r="N19" s="74">
        <v>826723.0</v>
      </c>
      <c r="O19" s="241">
        <v>1388888.8888888888</v>
      </c>
      <c r="P19" s="241"/>
      <c r="Q19" s="241"/>
      <c r="R19" s="241"/>
      <c r="S19" s="241"/>
      <c r="T19" s="241"/>
      <c r="U19" s="241"/>
      <c r="V19" s="241"/>
      <c r="W19" s="241"/>
      <c r="X19" s="241">
        <v>0.0</v>
      </c>
      <c r="Y19" s="241">
        <v>0.0</v>
      </c>
      <c r="Z19" s="241">
        <v>0.0</v>
      </c>
      <c r="AA19" s="241">
        <v>0.0</v>
      </c>
      <c r="AB19" s="241">
        <f t="shared" ref="AB19:AB20" si="3">O19</f>
        <v>1388888.889</v>
      </c>
      <c r="AC19" s="137"/>
      <c r="AD19" s="241">
        <f t="shared" si="2"/>
        <v>562165.8889</v>
      </c>
      <c r="AE19" s="54"/>
      <c r="AF19" s="54"/>
    </row>
    <row r="20" ht="30.0" customHeight="1">
      <c r="A20" s="219"/>
      <c r="B20" s="177" t="s">
        <v>370</v>
      </c>
      <c r="C20" s="44">
        <v>46115.0</v>
      </c>
      <c r="D20" s="44">
        <v>46115.0</v>
      </c>
      <c r="E20" s="37"/>
      <c r="F20" s="37" t="s">
        <v>176</v>
      </c>
      <c r="G20" s="37" t="s">
        <v>466</v>
      </c>
      <c r="H20" s="49" t="s">
        <v>467</v>
      </c>
      <c r="I20" s="37"/>
      <c r="J20" s="37"/>
      <c r="K20" s="42"/>
      <c r="L20" s="37" t="s">
        <v>189</v>
      </c>
      <c r="M20" s="202"/>
      <c r="N20" s="74">
        <v>2020000.0</v>
      </c>
      <c r="O20" s="241">
        <v>2500000.0</v>
      </c>
      <c r="P20" s="241"/>
      <c r="Q20" s="241"/>
      <c r="R20" s="241"/>
      <c r="S20" s="241"/>
      <c r="T20" s="241"/>
      <c r="U20" s="241"/>
      <c r="V20" s="241"/>
      <c r="W20" s="241"/>
      <c r="X20" s="241">
        <v>0.0</v>
      </c>
      <c r="Y20" s="241">
        <v>0.0</v>
      </c>
      <c r="Z20" s="241">
        <v>0.0</v>
      </c>
      <c r="AA20" s="241">
        <v>0.0</v>
      </c>
      <c r="AB20" s="241">
        <f t="shared" si="3"/>
        <v>2500000</v>
      </c>
      <c r="AC20" s="137"/>
      <c r="AD20" s="241">
        <f t="shared" si="2"/>
        <v>480000</v>
      </c>
      <c r="AE20" s="56"/>
      <c r="AF20" s="56"/>
    </row>
    <row r="21" ht="30.0" customHeight="1">
      <c r="A21" s="30"/>
      <c r="B21" s="177" t="s">
        <v>370</v>
      </c>
      <c r="C21" s="44">
        <v>46115.0</v>
      </c>
      <c r="D21" s="44">
        <v>46116.0</v>
      </c>
      <c r="E21" s="44"/>
      <c r="F21" s="37" t="s">
        <v>414</v>
      </c>
      <c r="G21" s="37" t="s">
        <v>466</v>
      </c>
      <c r="H21" s="49" t="s">
        <v>467</v>
      </c>
      <c r="I21" s="37" t="s">
        <v>469</v>
      </c>
      <c r="J21" s="37" t="s">
        <v>470</v>
      </c>
      <c r="K21" s="42" t="s">
        <v>270</v>
      </c>
      <c r="L21" s="37" t="s">
        <v>343</v>
      </c>
      <c r="M21" s="202">
        <v>1.0</v>
      </c>
      <c r="N21" s="74">
        <f>6800000+1753000</f>
        <v>8553000</v>
      </c>
      <c r="O21" s="241">
        <v>7870370.37037037</v>
      </c>
      <c r="P21" s="241"/>
      <c r="Q21" s="241"/>
      <c r="R21" s="241"/>
      <c r="S21" s="241">
        <v>499999.99999999994</v>
      </c>
      <c r="T21" s="241">
        <v>229999.99999999997</v>
      </c>
      <c r="U21" s="241">
        <v>0.0</v>
      </c>
      <c r="V21" s="241">
        <v>0.0</v>
      </c>
      <c r="W21" s="241">
        <f>412364+898363</f>
        <v>1310727</v>
      </c>
      <c r="X21" s="241">
        <v>0.0</v>
      </c>
      <c r="Y21" s="241">
        <v>0.0</v>
      </c>
      <c r="Z21" s="241">
        <v>0.0</v>
      </c>
      <c r="AA21" s="241">
        <v>0.0</v>
      </c>
      <c r="AB21" s="241">
        <f>(SUM(O21:W21))</f>
        <v>9911097.37</v>
      </c>
      <c r="AC21" s="137"/>
      <c r="AD21" s="241">
        <f t="shared" si="2"/>
        <v>1358097.37</v>
      </c>
      <c r="AE21" s="245"/>
      <c r="AF21" s="56"/>
    </row>
    <row r="22" ht="30.0" customHeight="1">
      <c r="A22" s="218" t="s">
        <v>384</v>
      </c>
      <c r="B22" s="177" t="s">
        <v>370</v>
      </c>
      <c r="C22" s="44">
        <v>46115.0</v>
      </c>
      <c r="D22" s="44">
        <v>46115.0</v>
      </c>
      <c r="E22" s="37"/>
      <c r="F22" s="37" t="s">
        <v>176</v>
      </c>
      <c r="G22" s="37" t="s">
        <v>471</v>
      </c>
      <c r="H22" s="134" t="s">
        <v>472</v>
      </c>
      <c r="I22" s="37"/>
      <c r="J22" s="220"/>
      <c r="K22" s="42"/>
      <c r="L22" s="37" t="s">
        <v>291</v>
      </c>
      <c r="M22" s="202"/>
      <c r="N22" s="74">
        <v>826723.0</v>
      </c>
      <c r="O22" s="241">
        <v>1388888.8888888888</v>
      </c>
      <c r="P22" s="241"/>
      <c r="Q22" s="241"/>
      <c r="R22" s="241"/>
      <c r="S22" s="241"/>
      <c r="T22" s="241"/>
      <c r="U22" s="241"/>
      <c r="V22" s="241"/>
      <c r="W22" s="241"/>
      <c r="X22" s="241">
        <v>0.0</v>
      </c>
      <c r="Y22" s="241">
        <v>0.0</v>
      </c>
      <c r="Z22" s="241">
        <v>0.0</v>
      </c>
      <c r="AA22" s="241">
        <v>0.0</v>
      </c>
      <c r="AB22" s="241">
        <f t="shared" ref="AB22:AB23" si="4">O22</f>
        <v>1388888.889</v>
      </c>
      <c r="AC22" s="137"/>
      <c r="AD22" s="241">
        <f t="shared" si="2"/>
        <v>562165.8889</v>
      </c>
      <c r="AE22" s="245"/>
      <c r="AF22" s="56"/>
    </row>
    <row r="23" ht="30.0" customHeight="1">
      <c r="A23" s="219"/>
      <c r="B23" s="177" t="s">
        <v>370</v>
      </c>
      <c r="C23" s="44">
        <v>46115.0</v>
      </c>
      <c r="D23" s="44">
        <v>46115.0</v>
      </c>
      <c r="E23" s="37"/>
      <c r="F23" s="37" t="s">
        <v>176</v>
      </c>
      <c r="G23" s="37" t="s">
        <v>471</v>
      </c>
      <c r="H23" s="134" t="s">
        <v>472</v>
      </c>
      <c r="I23" s="37"/>
      <c r="J23" s="37"/>
      <c r="K23" s="42"/>
      <c r="L23" s="37" t="s">
        <v>189</v>
      </c>
      <c r="M23" s="202"/>
      <c r="N23" s="74">
        <v>2020000.0</v>
      </c>
      <c r="O23" s="241">
        <v>2500000.0</v>
      </c>
      <c r="P23" s="241"/>
      <c r="Q23" s="241"/>
      <c r="R23" s="241"/>
      <c r="S23" s="241"/>
      <c r="T23" s="241"/>
      <c r="U23" s="241"/>
      <c r="V23" s="241"/>
      <c r="W23" s="241"/>
      <c r="X23" s="241">
        <v>0.0</v>
      </c>
      <c r="Y23" s="241">
        <v>0.0</v>
      </c>
      <c r="Z23" s="241">
        <v>0.0</v>
      </c>
      <c r="AA23" s="241">
        <v>0.0</v>
      </c>
      <c r="AB23" s="241">
        <f t="shared" si="4"/>
        <v>2500000</v>
      </c>
      <c r="AC23" s="137"/>
      <c r="AD23" s="241">
        <f t="shared" si="2"/>
        <v>480000</v>
      </c>
      <c r="AE23" s="56"/>
      <c r="AF23" s="56"/>
    </row>
    <row r="24" ht="30.0" customHeight="1">
      <c r="A24" s="30"/>
      <c r="B24" s="177" t="s">
        <v>370</v>
      </c>
      <c r="C24" s="44">
        <v>46116.0</v>
      </c>
      <c r="D24" s="44">
        <v>46116.0</v>
      </c>
      <c r="E24" s="37"/>
      <c r="F24" s="37" t="s">
        <v>414</v>
      </c>
      <c r="G24" s="37" t="s">
        <v>471</v>
      </c>
      <c r="H24" s="134" t="s">
        <v>472</v>
      </c>
      <c r="I24" s="68" t="s">
        <v>473</v>
      </c>
      <c r="J24" s="37" t="s">
        <v>474</v>
      </c>
      <c r="K24" s="42" t="s">
        <v>270</v>
      </c>
      <c r="L24" s="37" t="s">
        <v>343</v>
      </c>
      <c r="M24" s="202">
        <v>1.0</v>
      </c>
      <c r="N24" s="74">
        <f>6800000+2971274</f>
        <v>9771274</v>
      </c>
      <c r="O24" s="241">
        <v>7870370.37037037</v>
      </c>
      <c r="P24" s="241"/>
      <c r="Q24" s="241"/>
      <c r="R24" s="241"/>
      <c r="S24" s="241">
        <v>499999.99999999994</v>
      </c>
      <c r="T24" s="241">
        <v>229999.99999999997</v>
      </c>
      <c r="U24" s="241">
        <v>0.0</v>
      </c>
      <c r="V24" s="241">
        <v>0.0</v>
      </c>
      <c r="W24" s="241">
        <v>2258179.0</v>
      </c>
      <c r="X24" s="241">
        <v>0.0</v>
      </c>
      <c r="Y24" s="241">
        <v>0.0</v>
      </c>
      <c r="Z24" s="241">
        <v>0.0</v>
      </c>
      <c r="AA24" s="241">
        <v>0.0</v>
      </c>
      <c r="AB24" s="241">
        <f>(SUM(O24:W24))</f>
        <v>10858549.37</v>
      </c>
      <c r="AC24" s="137"/>
      <c r="AD24" s="241">
        <f t="shared" si="2"/>
        <v>1087275.37</v>
      </c>
      <c r="AE24" s="245"/>
      <c r="AF24" s="56"/>
    </row>
    <row r="25">
      <c r="A25" s="218" t="s">
        <v>389</v>
      </c>
      <c r="B25" s="177" t="s">
        <v>370</v>
      </c>
      <c r="C25" s="44">
        <v>46116.0</v>
      </c>
      <c r="D25" s="44">
        <v>46116.0</v>
      </c>
      <c r="E25" s="37"/>
      <c r="F25" s="37" t="s">
        <v>176</v>
      </c>
      <c r="G25" s="37" t="s">
        <v>475</v>
      </c>
      <c r="H25" s="134" t="s">
        <v>476</v>
      </c>
      <c r="I25" s="68"/>
      <c r="J25" s="37"/>
      <c r="K25" s="42"/>
      <c r="L25" s="37" t="s">
        <v>291</v>
      </c>
      <c r="M25" s="202"/>
      <c r="N25" s="43">
        <v>1295727.0</v>
      </c>
      <c r="O25" s="241">
        <v>2314814.814814815</v>
      </c>
      <c r="P25" s="241"/>
      <c r="Q25" s="241"/>
      <c r="R25" s="241"/>
      <c r="S25" s="241"/>
      <c r="T25" s="241"/>
      <c r="U25" s="241"/>
      <c r="V25" s="241"/>
      <c r="W25" s="241"/>
      <c r="X25" s="241">
        <v>0.0</v>
      </c>
      <c r="Y25" s="241">
        <v>0.0</v>
      </c>
      <c r="Z25" s="241">
        <v>0.0</v>
      </c>
      <c r="AA25" s="241">
        <v>0.0</v>
      </c>
      <c r="AB25" s="241">
        <f t="shared" ref="AB25:AB26" si="5">O25</f>
        <v>2314814.815</v>
      </c>
      <c r="AC25" s="137"/>
      <c r="AD25" s="241">
        <f t="shared" si="2"/>
        <v>1019087.815</v>
      </c>
      <c r="AE25" s="56"/>
      <c r="AF25" s="56"/>
    </row>
    <row r="26" ht="30.75" customHeight="1">
      <c r="A26" s="219"/>
      <c r="B26" s="177" t="s">
        <v>370</v>
      </c>
      <c r="C26" s="44">
        <v>46116.0</v>
      </c>
      <c r="D26" s="44">
        <v>46116.0</v>
      </c>
      <c r="E26" s="37"/>
      <c r="F26" s="37" t="s">
        <v>176</v>
      </c>
      <c r="G26" s="37" t="s">
        <v>475</v>
      </c>
      <c r="H26" s="134" t="s">
        <v>476</v>
      </c>
      <c r="I26" s="68"/>
      <c r="J26" s="68"/>
      <c r="K26" s="42"/>
      <c r="L26" s="37" t="s">
        <v>189</v>
      </c>
      <c r="M26" s="202"/>
      <c r="N26" s="43">
        <v>2020000.0</v>
      </c>
      <c r="O26" s="241">
        <v>2500000.0</v>
      </c>
      <c r="P26" s="241"/>
      <c r="Q26" s="241"/>
      <c r="R26" s="241"/>
      <c r="S26" s="241"/>
      <c r="T26" s="241"/>
      <c r="U26" s="241"/>
      <c r="V26" s="241"/>
      <c r="W26" s="241"/>
      <c r="X26" s="241">
        <v>0.0</v>
      </c>
      <c r="Y26" s="241">
        <v>0.0</v>
      </c>
      <c r="Z26" s="241">
        <v>0.0</v>
      </c>
      <c r="AA26" s="241">
        <v>0.0</v>
      </c>
      <c r="AB26" s="241">
        <f t="shared" si="5"/>
        <v>2500000</v>
      </c>
      <c r="AC26" s="137"/>
      <c r="AD26" s="241">
        <f t="shared" si="2"/>
        <v>480000</v>
      </c>
      <c r="AE26" s="56"/>
      <c r="AF26" s="56"/>
    </row>
    <row r="27" ht="30.0" customHeight="1">
      <c r="A27" s="30"/>
      <c r="B27" s="177" t="s">
        <v>370</v>
      </c>
      <c r="C27" s="44">
        <v>46116.0</v>
      </c>
      <c r="D27" s="44">
        <v>46117.0</v>
      </c>
      <c r="E27" s="44">
        <v>46118.0</v>
      </c>
      <c r="F27" s="37" t="s">
        <v>414</v>
      </c>
      <c r="G27" s="37" t="s">
        <v>475</v>
      </c>
      <c r="H27" s="134" t="s">
        <v>476</v>
      </c>
      <c r="I27" s="37" t="s">
        <v>477</v>
      </c>
      <c r="J27" s="37" t="s">
        <v>478</v>
      </c>
      <c r="K27" s="42" t="s">
        <v>379</v>
      </c>
      <c r="L27" s="37" t="s">
        <v>343</v>
      </c>
      <c r="M27" s="202">
        <v>1.0</v>
      </c>
      <c r="N27" s="43">
        <f>9700000+3622725</f>
        <v>13322725</v>
      </c>
      <c r="O27" s="241">
        <v>1.111111111111111E7</v>
      </c>
      <c r="P27" s="241"/>
      <c r="Q27" s="241"/>
      <c r="R27" s="241"/>
      <c r="S27" s="241">
        <v>800000.0</v>
      </c>
      <c r="T27" s="241">
        <v>400000.0</v>
      </c>
      <c r="U27" s="241">
        <v>0.0</v>
      </c>
      <c r="V27" s="241">
        <v>0.0</v>
      </c>
      <c r="W27" s="241">
        <v>2429998.0</v>
      </c>
      <c r="X27" s="241">
        <v>0.0</v>
      </c>
      <c r="Y27" s="241">
        <v>0.0</v>
      </c>
      <c r="Z27" s="241">
        <v>0.0</v>
      </c>
      <c r="AA27" s="241">
        <v>0.0</v>
      </c>
      <c r="AB27" s="241">
        <f>(SUM(O27:W27))</f>
        <v>14741109.11</v>
      </c>
      <c r="AC27" s="137"/>
      <c r="AD27" s="241">
        <f t="shared" si="2"/>
        <v>1418384.111</v>
      </c>
      <c r="AE27" s="56"/>
      <c r="AF27" s="56"/>
    </row>
    <row r="28" ht="30.0" customHeight="1">
      <c r="A28" s="218" t="s">
        <v>393</v>
      </c>
      <c r="B28" s="177" t="s">
        <v>370</v>
      </c>
      <c r="C28" s="44">
        <v>46116.0</v>
      </c>
      <c r="D28" s="44">
        <v>46116.0</v>
      </c>
      <c r="E28" s="37"/>
      <c r="F28" s="37" t="s">
        <v>176</v>
      </c>
      <c r="G28" s="37" t="s">
        <v>479</v>
      </c>
      <c r="H28" s="134" t="s">
        <v>480</v>
      </c>
      <c r="I28" s="37"/>
      <c r="J28" s="54"/>
      <c r="K28" s="42"/>
      <c r="L28" s="37" t="s">
        <v>291</v>
      </c>
      <c r="M28" s="202"/>
      <c r="N28" s="43">
        <v>1395727.0</v>
      </c>
      <c r="O28" s="241">
        <v>2314814.814814815</v>
      </c>
      <c r="P28" s="241"/>
      <c r="Q28" s="241"/>
      <c r="R28" s="56"/>
      <c r="S28" s="241"/>
      <c r="T28" s="241"/>
      <c r="U28" s="241"/>
      <c r="V28" s="241"/>
      <c r="W28" s="241"/>
      <c r="X28" s="241">
        <v>0.0</v>
      </c>
      <c r="Y28" s="241">
        <v>0.0</v>
      </c>
      <c r="Z28" s="241">
        <v>0.0</v>
      </c>
      <c r="AA28" s="241">
        <v>0.0</v>
      </c>
      <c r="AB28" s="241">
        <f>O28</f>
        <v>2314814.815</v>
      </c>
      <c r="AC28" s="137"/>
      <c r="AD28" s="241">
        <f t="shared" si="2"/>
        <v>919087.8148</v>
      </c>
      <c r="AE28" s="56"/>
      <c r="AF28" s="56"/>
    </row>
    <row r="29" ht="30.0" customHeight="1">
      <c r="A29" s="219"/>
      <c r="B29" s="177" t="s">
        <v>370</v>
      </c>
      <c r="C29" s="44">
        <v>46116.0</v>
      </c>
      <c r="D29" s="44">
        <v>46116.0</v>
      </c>
      <c r="E29" s="37"/>
      <c r="F29" s="37" t="s">
        <v>176</v>
      </c>
      <c r="G29" s="37" t="s">
        <v>479</v>
      </c>
      <c r="H29" s="134" t="s">
        <v>480</v>
      </c>
      <c r="I29" s="37"/>
      <c r="J29" s="37"/>
      <c r="K29" s="42"/>
      <c r="L29" s="37" t="s">
        <v>189</v>
      </c>
      <c r="M29" s="202"/>
      <c r="N29" s="43">
        <v>2500000.0</v>
      </c>
      <c r="O29" s="241">
        <v>2500000.0</v>
      </c>
      <c r="P29" s="241"/>
      <c r="Q29" s="241"/>
      <c r="R29" s="241">
        <v>1000000.0</v>
      </c>
      <c r="S29" s="241"/>
      <c r="T29" s="241"/>
      <c r="U29" s="241"/>
      <c r="V29" s="241"/>
      <c r="W29" s="241"/>
      <c r="X29" s="241">
        <v>0.0</v>
      </c>
      <c r="Y29" s="241">
        <v>0.0</v>
      </c>
      <c r="Z29" s="241">
        <v>0.0</v>
      </c>
      <c r="AA29" s="241">
        <v>0.0</v>
      </c>
      <c r="AB29" s="241">
        <f>SUM(O29:R29)</f>
        <v>3500000</v>
      </c>
      <c r="AC29" s="137"/>
      <c r="AD29" s="241">
        <f t="shared" si="2"/>
        <v>1000000</v>
      </c>
      <c r="AE29" s="56"/>
      <c r="AF29" s="56"/>
    </row>
    <row r="30" ht="30.0" customHeight="1">
      <c r="A30" s="30"/>
      <c r="B30" s="177" t="s">
        <v>370</v>
      </c>
      <c r="C30" s="44">
        <v>46116.0</v>
      </c>
      <c r="D30" s="44">
        <v>46117.0</v>
      </c>
      <c r="E30" s="37"/>
      <c r="F30" s="37" t="s">
        <v>386</v>
      </c>
      <c r="G30" s="37" t="s">
        <v>479</v>
      </c>
      <c r="H30" s="134" t="s">
        <v>480</v>
      </c>
      <c r="I30" s="37" t="s">
        <v>481</v>
      </c>
      <c r="J30" s="37" t="s">
        <v>482</v>
      </c>
      <c r="K30" s="42" t="s">
        <v>379</v>
      </c>
      <c r="L30" s="37" t="s">
        <v>343</v>
      </c>
      <c r="M30" s="202">
        <v>1.0</v>
      </c>
      <c r="N30" s="43">
        <f>9400000+3367997</f>
        <v>12767997</v>
      </c>
      <c r="O30" s="241">
        <v>1.11111111111111E7</v>
      </c>
      <c r="P30" s="241"/>
      <c r="Q30" s="241"/>
      <c r="R30" s="56"/>
      <c r="S30" s="241">
        <v>800000.0</v>
      </c>
      <c r="T30" s="241">
        <v>400000.0</v>
      </c>
      <c r="U30" s="241">
        <v>0.0</v>
      </c>
      <c r="V30" s="241">
        <v>0.0</v>
      </c>
      <c r="W30" s="241">
        <f>(1875270*1.08)/1.08</f>
        <v>1875270</v>
      </c>
      <c r="X30" s="241">
        <v>0.0</v>
      </c>
      <c r="Y30" s="241">
        <v>0.0</v>
      </c>
      <c r="Z30" s="241">
        <v>0.0</v>
      </c>
      <c r="AA30" s="241">
        <v>0.0</v>
      </c>
      <c r="AB30" s="241">
        <f>(SUM(O30:W30))</f>
        <v>14186381.11</v>
      </c>
      <c r="AC30" s="137"/>
      <c r="AD30" s="241">
        <f t="shared" si="2"/>
        <v>1418384.111</v>
      </c>
      <c r="AE30" s="245"/>
      <c r="AF30" s="56"/>
    </row>
    <row r="31" ht="30.0" customHeight="1">
      <c r="A31" s="218" t="s">
        <v>483</v>
      </c>
      <c r="B31" s="177" t="s">
        <v>370</v>
      </c>
      <c r="C31" s="44">
        <v>46116.0</v>
      </c>
      <c r="D31" s="44">
        <v>46116.0</v>
      </c>
      <c r="E31" s="37"/>
      <c r="F31" s="37" t="s">
        <v>176</v>
      </c>
      <c r="G31" s="37" t="s">
        <v>484</v>
      </c>
      <c r="H31" s="195" t="s">
        <v>485</v>
      </c>
      <c r="I31" s="37"/>
      <c r="J31" s="37"/>
      <c r="K31" s="42"/>
      <c r="L31" s="37" t="s">
        <v>291</v>
      </c>
      <c r="M31" s="202"/>
      <c r="N31" s="43">
        <v>957455.0</v>
      </c>
      <c r="O31" s="241">
        <v>1388888.8888888888</v>
      </c>
      <c r="P31" s="241"/>
      <c r="Q31" s="241"/>
      <c r="R31" s="241"/>
      <c r="S31" s="241"/>
      <c r="T31" s="241"/>
      <c r="U31" s="241"/>
      <c r="V31" s="241"/>
      <c r="W31" s="241"/>
      <c r="X31" s="241">
        <v>0.0</v>
      </c>
      <c r="Y31" s="241">
        <v>0.0</v>
      </c>
      <c r="Z31" s="241">
        <v>0.0</v>
      </c>
      <c r="AA31" s="241">
        <v>0.0</v>
      </c>
      <c r="AB31" s="241">
        <f t="shared" ref="AB31:AB32" si="6">O31</f>
        <v>1388888.889</v>
      </c>
      <c r="AC31" s="137"/>
      <c r="AD31" s="241">
        <f t="shared" si="2"/>
        <v>431433.8889</v>
      </c>
      <c r="AE31" s="56"/>
      <c r="AF31" s="246"/>
    </row>
    <row r="32" ht="30.0" customHeight="1">
      <c r="A32" s="219"/>
      <c r="B32" s="177" t="s">
        <v>370</v>
      </c>
      <c r="C32" s="44">
        <v>46116.0</v>
      </c>
      <c r="D32" s="44">
        <v>46116.0</v>
      </c>
      <c r="E32" s="37"/>
      <c r="F32" s="37" t="s">
        <v>176</v>
      </c>
      <c r="G32" s="37" t="s">
        <v>484</v>
      </c>
      <c r="H32" s="195" t="s">
        <v>485</v>
      </c>
      <c r="I32" s="37"/>
      <c r="J32" s="196"/>
      <c r="K32" s="197"/>
      <c r="L32" s="37" t="s">
        <v>189</v>
      </c>
      <c r="M32" s="202"/>
      <c r="N32" s="43">
        <v>1920000.0</v>
      </c>
      <c r="O32" s="241">
        <v>2500000.0</v>
      </c>
      <c r="P32" s="241"/>
      <c r="Q32" s="241"/>
      <c r="R32" s="241"/>
      <c r="S32" s="241"/>
      <c r="T32" s="241"/>
      <c r="U32" s="241"/>
      <c r="V32" s="241"/>
      <c r="W32" s="241"/>
      <c r="X32" s="241">
        <v>0.0</v>
      </c>
      <c r="Y32" s="241">
        <v>0.0</v>
      </c>
      <c r="Z32" s="241">
        <v>0.0</v>
      </c>
      <c r="AA32" s="241">
        <v>0.0</v>
      </c>
      <c r="AB32" s="241">
        <f t="shared" si="6"/>
        <v>2500000</v>
      </c>
      <c r="AC32" s="137"/>
      <c r="AD32" s="241">
        <f t="shared" si="2"/>
        <v>580000</v>
      </c>
      <c r="AE32" s="56"/>
      <c r="AF32" s="56"/>
    </row>
    <row r="33" ht="30.0" customHeight="1">
      <c r="A33" s="30"/>
      <c r="B33" s="177" t="s">
        <v>370</v>
      </c>
      <c r="C33" s="44">
        <v>46117.0</v>
      </c>
      <c r="D33" s="44">
        <v>46118.0</v>
      </c>
      <c r="E33" s="37"/>
      <c r="F33" s="37" t="s">
        <v>414</v>
      </c>
      <c r="G33" s="37" t="s">
        <v>484</v>
      </c>
      <c r="H33" s="195" t="s">
        <v>485</v>
      </c>
      <c r="I33" s="37" t="s">
        <v>486</v>
      </c>
      <c r="J33" s="37" t="s">
        <v>420</v>
      </c>
      <c r="K33" s="42" t="s">
        <v>270</v>
      </c>
      <c r="L33" s="37" t="s">
        <v>343</v>
      </c>
      <c r="M33" s="202">
        <v>1.0</v>
      </c>
      <c r="N33" s="43">
        <v>6800000.0</v>
      </c>
      <c r="O33" s="241">
        <v>7870370.370370369</v>
      </c>
      <c r="P33" s="241"/>
      <c r="Q33" s="241"/>
      <c r="R33" s="241"/>
      <c r="S33" s="241">
        <v>499999.99999999994</v>
      </c>
      <c r="T33" s="241">
        <v>229999.99999999997</v>
      </c>
      <c r="U33" s="241">
        <v>0.0</v>
      </c>
      <c r="V33" s="241">
        <v>0.0</v>
      </c>
      <c r="W33" s="241">
        <v>864000.0</v>
      </c>
      <c r="X33" s="241">
        <v>0.0</v>
      </c>
      <c r="Y33" s="241">
        <v>0.0</v>
      </c>
      <c r="Z33" s="241">
        <v>0.0</v>
      </c>
      <c r="AA33" s="241">
        <v>0.0</v>
      </c>
      <c r="AB33" s="241">
        <f>(SUM(O33:W33))</f>
        <v>9464370.37</v>
      </c>
      <c r="AC33" s="137"/>
      <c r="AD33" s="241">
        <f t="shared" si="2"/>
        <v>2664370.37</v>
      </c>
      <c r="AE33" s="245"/>
      <c r="AF33" s="246"/>
    </row>
    <row r="34" ht="30.0" customHeight="1">
      <c r="A34" s="247" t="s">
        <v>401</v>
      </c>
      <c r="B34" s="177" t="s">
        <v>370</v>
      </c>
      <c r="C34" s="44">
        <v>46117.0</v>
      </c>
      <c r="D34" s="44">
        <v>46117.0</v>
      </c>
      <c r="E34" s="133"/>
      <c r="F34" s="37" t="s">
        <v>176</v>
      </c>
      <c r="G34" s="37" t="s">
        <v>487</v>
      </c>
      <c r="H34" s="248" t="s">
        <v>488</v>
      </c>
      <c r="I34" s="133"/>
      <c r="J34" s="133"/>
      <c r="K34" s="133"/>
      <c r="L34" s="37" t="s">
        <v>291</v>
      </c>
      <c r="M34" s="202"/>
      <c r="N34" s="43">
        <v>1395727.0</v>
      </c>
      <c r="O34" s="241">
        <v>2314814.814814815</v>
      </c>
      <c r="P34" s="241"/>
      <c r="Q34" s="241"/>
      <c r="R34" s="241"/>
      <c r="S34" s="241"/>
      <c r="T34" s="241"/>
      <c r="U34" s="241"/>
      <c r="V34" s="241"/>
      <c r="W34" s="241"/>
      <c r="X34" s="241">
        <v>0.0</v>
      </c>
      <c r="Y34" s="241">
        <v>0.0</v>
      </c>
      <c r="Z34" s="241">
        <v>0.0</v>
      </c>
      <c r="AA34" s="241">
        <v>0.0</v>
      </c>
      <c r="AB34" s="241">
        <f t="shared" ref="AB34:AB35" si="7">O34</f>
        <v>2314814.815</v>
      </c>
      <c r="AC34" s="137"/>
      <c r="AD34" s="241">
        <f t="shared" si="2"/>
        <v>919087.8148</v>
      </c>
      <c r="AE34" s="56"/>
      <c r="AF34" s="56"/>
    </row>
    <row r="35" ht="30.0" customHeight="1">
      <c r="A35" s="249"/>
      <c r="B35" s="177" t="s">
        <v>370</v>
      </c>
      <c r="C35" s="44">
        <v>46117.0</v>
      </c>
      <c r="D35" s="44">
        <v>46117.0</v>
      </c>
      <c r="E35" s="198"/>
      <c r="F35" s="37" t="s">
        <v>176</v>
      </c>
      <c r="G35" s="37" t="s">
        <v>487</v>
      </c>
      <c r="H35" s="248" t="s">
        <v>488</v>
      </c>
      <c r="I35" s="198"/>
      <c r="J35" s="198"/>
      <c r="K35" s="198"/>
      <c r="L35" s="37" t="s">
        <v>189</v>
      </c>
      <c r="M35" s="202"/>
      <c r="N35" s="200">
        <v>2020000.0</v>
      </c>
      <c r="O35" s="241">
        <v>2500000.0</v>
      </c>
      <c r="P35" s="241"/>
      <c r="Q35" s="241"/>
      <c r="R35" s="241"/>
      <c r="S35" s="241"/>
      <c r="T35" s="241"/>
      <c r="U35" s="241"/>
      <c r="V35" s="241"/>
      <c r="W35" s="241"/>
      <c r="X35" s="241">
        <v>0.0</v>
      </c>
      <c r="Y35" s="241">
        <v>0.0</v>
      </c>
      <c r="Z35" s="241">
        <v>0.0</v>
      </c>
      <c r="AA35" s="241">
        <v>0.0</v>
      </c>
      <c r="AB35" s="241">
        <f t="shared" si="7"/>
        <v>2500000</v>
      </c>
      <c r="AC35" s="137"/>
      <c r="AD35" s="241">
        <f t="shared" si="2"/>
        <v>480000</v>
      </c>
      <c r="AE35" s="56"/>
      <c r="AF35" s="56"/>
    </row>
    <row r="36" ht="30.0" customHeight="1">
      <c r="A36" s="250"/>
      <c r="B36" s="177" t="s">
        <v>370</v>
      </c>
      <c r="C36" s="44">
        <v>46117.0</v>
      </c>
      <c r="D36" s="44">
        <v>46118.0</v>
      </c>
      <c r="E36" s="37"/>
      <c r="F36" s="37" t="s">
        <v>414</v>
      </c>
      <c r="G36" s="37" t="s">
        <v>487</v>
      </c>
      <c r="H36" s="248" t="s">
        <v>488</v>
      </c>
      <c r="I36" s="41" t="s">
        <v>489</v>
      </c>
      <c r="J36" s="41" t="s">
        <v>490</v>
      </c>
      <c r="K36" s="42" t="s">
        <v>379</v>
      </c>
      <c r="L36" s="37" t="s">
        <v>343</v>
      </c>
      <c r="M36" s="202">
        <v>1.0</v>
      </c>
      <c r="N36" s="200">
        <f>9700000+3755270</f>
        <v>13455270</v>
      </c>
      <c r="O36" s="241">
        <v>1.111111111111111E7</v>
      </c>
      <c r="P36" s="241"/>
      <c r="Q36" s="241"/>
      <c r="R36" s="241"/>
      <c r="S36" s="241">
        <v>800000.0</v>
      </c>
      <c r="T36" s="241">
        <v>400000.0</v>
      </c>
      <c r="U36" s="241">
        <v>0.0</v>
      </c>
      <c r="V36" s="241">
        <v>0.0</v>
      </c>
      <c r="W36" s="241">
        <v>2562543.0</v>
      </c>
      <c r="X36" s="241">
        <v>0.0</v>
      </c>
      <c r="Y36" s="241">
        <v>0.0</v>
      </c>
      <c r="Z36" s="241">
        <v>0.0</v>
      </c>
      <c r="AA36" s="241">
        <v>0.0</v>
      </c>
      <c r="AB36" s="241">
        <f>(SUM(O36:W36))</f>
        <v>14873654.11</v>
      </c>
      <c r="AC36" s="137"/>
      <c r="AD36" s="241">
        <f t="shared" si="2"/>
        <v>1418384.111</v>
      </c>
      <c r="AE36" s="56"/>
      <c r="AF36" s="56"/>
    </row>
    <row r="37" ht="30.0" customHeight="1">
      <c r="A37" s="251" t="s">
        <v>404</v>
      </c>
      <c r="B37" s="177" t="s">
        <v>370</v>
      </c>
      <c r="C37" s="44">
        <v>46117.0</v>
      </c>
      <c r="D37" s="44">
        <v>46117.0</v>
      </c>
      <c r="E37" s="35"/>
      <c r="F37" s="37" t="s">
        <v>176</v>
      </c>
      <c r="G37" s="37" t="s">
        <v>491</v>
      </c>
      <c r="H37" s="248" t="s">
        <v>492</v>
      </c>
      <c r="I37" s="37"/>
      <c r="J37" s="37"/>
      <c r="K37" s="42"/>
      <c r="L37" s="37" t="s">
        <v>291</v>
      </c>
      <c r="M37" s="202"/>
      <c r="N37" s="252">
        <v>1295727.0</v>
      </c>
      <c r="O37" s="241">
        <v>2314814.814814815</v>
      </c>
      <c r="P37" s="241"/>
      <c r="Q37" s="241"/>
      <c r="R37" s="241"/>
      <c r="S37" s="241"/>
      <c r="T37" s="241"/>
      <c r="U37" s="241"/>
      <c r="V37" s="241"/>
      <c r="W37" s="241"/>
      <c r="X37" s="241">
        <v>0.0</v>
      </c>
      <c r="Y37" s="241">
        <v>0.0</v>
      </c>
      <c r="Z37" s="241">
        <v>0.0</v>
      </c>
      <c r="AA37" s="241">
        <v>0.0</v>
      </c>
      <c r="AB37" s="241">
        <f t="shared" ref="AB37:AB38" si="8">O37</f>
        <v>2314814.815</v>
      </c>
      <c r="AC37" s="180"/>
      <c r="AD37" s="241">
        <f t="shared" si="2"/>
        <v>1019087.815</v>
      </c>
      <c r="AE37" s="129"/>
      <c r="AF37" s="129"/>
    </row>
    <row r="38" ht="30.0" customHeight="1">
      <c r="A38" s="249"/>
      <c r="B38" s="177" t="s">
        <v>370</v>
      </c>
      <c r="C38" s="44">
        <v>46117.0</v>
      </c>
      <c r="D38" s="44">
        <v>46117.0</v>
      </c>
      <c r="E38" s="198"/>
      <c r="F38" s="37" t="s">
        <v>176</v>
      </c>
      <c r="G38" s="37" t="s">
        <v>491</v>
      </c>
      <c r="H38" s="248" t="s">
        <v>492</v>
      </c>
      <c r="I38" s="198"/>
      <c r="J38" s="198"/>
      <c r="K38" s="198"/>
      <c r="L38" s="37" t="s">
        <v>189</v>
      </c>
      <c r="M38" s="202"/>
      <c r="N38" s="253">
        <v>2120000.0</v>
      </c>
      <c r="O38" s="241">
        <v>2500000.0</v>
      </c>
      <c r="P38" s="241"/>
      <c r="Q38" s="241"/>
      <c r="R38" s="241"/>
      <c r="S38" s="241"/>
      <c r="T38" s="241"/>
      <c r="U38" s="241"/>
      <c r="V38" s="241"/>
      <c r="W38" s="241"/>
      <c r="X38" s="241">
        <v>0.0</v>
      </c>
      <c r="Y38" s="241">
        <v>0.0</v>
      </c>
      <c r="Z38" s="241">
        <v>0.0</v>
      </c>
      <c r="AA38" s="241">
        <v>0.0</v>
      </c>
      <c r="AB38" s="241">
        <f t="shared" si="8"/>
        <v>2500000</v>
      </c>
      <c r="AC38" s="137"/>
      <c r="AD38" s="241">
        <f t="shared" si="2"/>
        <v>380000</v>
      </c>
      <c r="AE38" s="56"/>
      <c r="AF38" s="56"/>
    </row>
    <row r="39" ht="30.0" customHeight="1">
      <c r="A39" s="250"/>
      <c r="B39" s="177" t="s">
        <v>370</v>
      </c>
      <c r="C39" s="44">
        <v>46117.0</v>
      </c>
      <c r="D39" s="44">
        <v>46118.0</v>
      </c>
      <c r="E39" s="198"/>
      <c r="F39" s="37" t="s">
        <v>386</v>
      </c>
      <c r="G39" s="37" t="s">
        <v>491</v>
      </c>
      <c r="H39" s="248" t="s">
        <v>492</v>
      </c>
      <c r="I39" s="65" t="s">
        <v>493</v>
      </c>
      <c r="J39" s="65" t="s">
        <v>494</v>
      </c>
      <c r="K39" s="42" t="s">
        <v>379</v>
      </c>
      <c r="L39" s="37" t="s">
        <v>343</v>
      </c>
      <c r="M39" s="202">
        <v>1.0</v>
      </c>
      <c r="N39" s="43">
        <f>10600000+2734179</f>
        <v>13334179</v>
      </c>
      <c r="O39" s="241">
        <v>1.111111111111111E7</v>
      </c>
      <c r="P39" s="241"/>
      <c r="Q39" s="241"/>
      <c r="R39" s="241"/>
      <c r="S39" s="241">
        <v>800000.0</v>
      </c>
      <c r="T39" s="241">
        <v>400000.0</v>
      </c>
      <c r="U39" s="241">
        <v>0.0</v>
      </c>
      <c r="V39" s="241">
        <v>0.0</v>
      </c>
      <c r="W39" s="241">
        <v>1541452.0</v>
      </c>
      <c r="X39" s="241">
        <v>0.0</v>
      </c>
      <c r="Y39" s="241">
        <v>0.0</v>
      </c>
      <c r="Z39" s="241">
        <v>0.0</v>
      </c>
      <c r="AA39" s="241">
        <v>0.0</v>
      </c>
      <c r="AB39" s="241">
        <f>(SUM(O39:W39))</f>
        <v>13852563.11</v>
      </c>
      <c r="AC39" s="137"/>
      <c r="AD39" s="241">
        <f t="shared" si="2"/>
        <v>518384.1111</v>
      </c>
      <c r="AE39" s="245"/>
      <c r="AF39" s="56"/>
    </row>
    <row r="40" ht="30.0" customHeight="1">
      <c r="A40" s="247" t="s">
        <v>408</v>
      </c>
      <c r="B40" s="177" t="s">
        <v>370</v>
      </c>
      <c r="C40" s="44">
        <v>46118.0</v>
      </c>
      <c r="D40" s="44">
        <v>46118.0</v>
      </c>
      <c r="E40" s="198"/>
      <c r="F40" s="37" t="s">
        <v>176</v>
      </c>
      <c r="G40" s="177" t="s">
        <v>495</v>
      </c>
      <c r="H40" s="65" t="s">
        <v>496</v>
      </c>
      <c r="I40" s="198"/>
      <c r="J40" s="198"/>
      <c r="K40" s="198"/>
      <c r="L40" s="37" t="s">
        <v>291</v>
      </c>
      <c r="M40" s="254"/>
      <c r="N40" s="241">
        <v>859273.0</v>
      </c>
      <c r="O40" s="241">
        <v>1388888.8888888888</v>
      </c>
      <c r="P40" s="59"/>
      <c r="Q40" s="47"/>
      <c r="R40" s="63"/>
      <c r="S40" s="47"/>
      <c r="T40" s="47"/>
      <c r="U40" s="47"/>
      <c r="V40" s="194"/>
      <c r="W40" s="208"/>
      <c r="X40" s="47"/>
      <c r="Y40" s="47"/>
      <c r="Z40" s="47"/>
      <c r="AA40" s="47"/>
      <c r="AB40" s="241">
        <f t="shared" ref="AB40:AB41" si="9">O40</f>
        <v>1388888.889</v>
      </c>
      <c r="AC40" s="137"/>
      <c r="AD40" s="241">
        <f t="shared" si="2"/>
        <v>529615.8889</v>
      </c>
      <c r="AE40" s="56"/>
      <c r="AF40" s="56"/>
    </row>
    <row r="41" ht="30.75" customHeight="1">
      <c r="A41" s="249"/>
      <c r="B41" s="177" t="s">
        <v>370</v>
      </c>
      <c r="C41" s="44">
        <v>46118.0</v>
      </c>
      <c r="D41" s="44">
        <v>46118.0</v>
      </c>
      <c r="E41" s="198"/>
      <c r="F41" s="37" t="s">
        <v>176</v>
      </c>
      <c r="G41" s="177" t="s">
        <v>495</v>
      </c>
      <c r="H41" s="65" t="s">
        <v>496</v>
      </c>
      <c r="I41" s="198"/>
      <c r="J41" s="198"/>
      <c r="K41" s="198"/>
      <c r="L41" s="37" t="s">
        <v>189</v>
      </c>
      <c r="M41" s="254"/>
      <c r="N41" s="241">
        <v>2120000.0</v>
      </c>
      <c r="O41" s="241">
        <v>2500000.0</v>
      </c>
      <c r="P41" s="59"/>
      <c r="Q41" s="47"/>
      <c r="R41" s="60"/>
      <c r="S41" s="47"/>
      <c r="T41" s="47"/>
      <c r="U41" s="47"/>
      <c r="V41" s="47"/>
      <c r="W41" s="47"/>
      <c r="X41" s="47"/>
      <c r="Y41" s="47"/>
      <c r="Z41" s="47"/>
      <c r="AA41" s="47"/>
      <c r="AB41" s="241">
        <f t="shared" si="9"/>
        <v>2500000</v>
      </c>
      <c r="AC41" s="137"/>
      <c r="AD41" s="241">
        <f t="shared" si="2"/>
        <v>380000</v>
      </c>
      <c r="AE41" s="56"/>
      <c r="AF41" s="56"/>
    </row>
    <row r="42" ht="30.0" customHeight="1">
      <c r="A42" s="250"/>
      <c r="B42" s="177" t="s">
        <v>370</v>
      </c>
      <c r="C42" s="44">
        <v>46118.0</v>
      </c>
      <c r="D42" s="44">
        <v>46119.0</v>
      </c>
      <c r="E42" s="62"/>
      <c r="F42" s="37" t="s">
        <v>414</v>
      </c>
      <c r="G42" s="177" t="s">
        <v>495</v>
      </c>
      <c r="H42" s="65" t="s">
        <v>496</v>
      </c>
      <c r="I42" s="65" t="s">
        <v>497</v>
      </c>
      <c r="J42" s="65" t="s">
        <v>498</v>
      </c>
      <c r="K42" s="65" t="s">
        <v>270</v>
      </c>
      <c r="L42" s="37" t="s">
        <v>343</v>
      </c>
      <c r="M42" s="254">
        <v>1.0</v>
      </c>
      <c r="N42" s="241">
        <f>6800000+2301599</f>
        <v>9101599</v>
      </c>
      <c r="O42" s="241">
        <f>9400000/1.08</f>
        <v>8703703.704</v>
      </c>
      <c r="P42" s="241"/>
      <c r="Q42" s="241"/>
      <c r="R42" s="241"/>
      <c r="S42" s="241">
        <v>499999.99999999994</v>
      </c>
      <c r="T42" s="241">
        <v>229999.99999999997</v>
      </c>
      <c r="U42" s="47"/>
      <c r="V42" s="47"/>
      <c r="W42" s="47">
        <v>1654362.0</v>
      </c>
      <c r="X42" s="47"/>
      <c r="Y42" s="47"/>
      <c r="Z42" s="47"/>
      <c r="AA42" s="47"/>
      <c r="AB42" s="241">
        <f>(SUM(O42:W42))</f>
        <v>11088065.7</v>
      </c>
      <c r="AC42" s="137"/>
      <c r="AD42" s="241">
        <f t="shared" si="2"/>
        <v>1986466.704</v>
      </c>
      <c r="AE42" s="225"/>
      <c r="AF42" s="255"/>
    </row>
    <row r="43" ht="30.75" customHeight="1">
      <c r="A43" s="251" t="s">
        <v>412</v>
      </c>
      <c r="B43" s="177" t="s">
        <v>370</v>
      </c>
      <c r="C43" s="44">
        <v>46118.0</v>
      </c>
      <c r="D43" s="44">
        <v>46118.0</v>
      </c>
      <c r="E43" s="37"/>
      <c r="F43" s="37" t="s">
        <v>176</v>
      </c>
      <c r="G43" s="256" t="s">
        <v>499</v>
      </c>
      <c r="H43" s="161" t="s">
        <v>500</v>
      </c>
      <c r="I43" s="142"/>
      <c r="J43" s="142"/>
      <c r="K43" s="133"/>
      <c r="L43" s="37" t="s">
        <v>291</v>
      </c>
      <c r="M43" s="254"/>
      <c r="N43" s="257">
        <v>1395727.0</v>
      </c>
      <c r="O43" s="241">
        <v>2314814.814814815</v>
      </c>
      <c r="P43" s="42"/>
      <c r="Q43" s="63"/>
      <c r="R43" s="63"/>
      <c r="S43" s="47"/>
      <c r="T43" s="47"/>
      <c r="U43" s="47"/>
      <c r="V43" s="194"/>
      <c r="W43" s="208"/>
      <c r="X43" s="63"/>
      <c r="Y43" s="63"/>
      <c r="Z43" s="63"/>
      <c r="AA43" s="63"/>
      <c r="AB43" s="241">
        <f t="shared" ref="AB43:AB44" si="10">O43</f>
        <v>2314814.815</v>
      </c>
      <c r="AC43" s="137"/>
      <c r="AD43" s="258">
        <f t="shared" si="2"/>
        <v>919087.8148</v>
      </c>
      <c r="AE43" s="54"/>
      <c r="AF43" s="54"/>
    </row>
    <row r="44">
      <c r="A44" s="249"/>
      <c r="B44" s="177" t="s">
        <v>370</v>
      </c>
      <c r="C44" s="44">
        <v>46118.0</v>
      </c>
      <c r="D44" s="44">
        <v>46118.0</v>
      </c>
      <c r="E44" s="37"/>
      <c r="F44" s="37" t="s">
        <v>176</v>
      </c>
      <c r="G44" s="256" t="s">
        <v>499</v>
      </c>
      <c r="H44" s="161" t="s">
        <v>500</v>
      </c>
      <c r="I44" s="37"/>
      <c r="J44" s="37"/>
      <c r="K44" s="42"/>
      <c r="L44" s="37" t="s">
        <v>189</v>
      </c>
      <c r="M44" s="254"/>
      <c r="N44" s="200">
        <v>2020000.0</v>
      </c>
      <c r="O44" s="241">
        <v>2500000.0</v>
      </c>
      <c r="P44" s="59"/>
      <c r="Q44" s="47"/>
      <c r="R44" s="60"/>
      <c r="S44" s="47"/>
      <c r="T44" s="47"/>
      <c r="U44" s="47"/>
      <c r="V44" s="47"/>
      <c r="W44" s="47"/>
      <c r="X44" s="47"/>
      <c r="Y44" s="47"/>
      <c r="Z44" s="47"/>
      <c r="AA44" s="47"/>
      <c r="AB44" s="241">
        <f t="shared" si="10"/>
        <v>2500000</v>
      </c>
      <c r="AC44" s="137"/>
      <c r="AD44" s="241">
        <f t="shared" si="2"/>
        <v>480000</v>
      </c>
      <c r="AE44" s="56"/>
      <c r="AF44" s="56"/>
    </row>
    <row r="45" ht="30.75" customHeight="1">
      <c r="A45" s="250"/>
      <c r="B45" s="177" t="s">
        <v>370</v>
      </c>
      <c r="C45" s="44">
        <v>46118.0</v>
      </c>
      <c r="D45" s="44">
        <v>46123.0</v>
      </c>
      <c r="E45" s="37"/>
      <c r="F45" s="37" t="s">
        <v>386</v>
      </c>
      <c r="G45" s="256" t="s">
        <v>499</v>
      </c>
      <c r="H45" s="161" t="s">
        <v>500</v>
      </c>
      <c r="I45" s="37" t="s">
        <v>501</v>
      </c>
      <c r="J45" s="37" t="s">
        <v>502</v>
      </c>
      <c r="K45" s="42" t="s">
        <v>379</v>
      </c>
      <c r="L45" s="37" t="s">
        <v>343</v>
      </c>
      <c r="M45" s="254">
        <v>1.0</v>
      </c>
      <c r="N45" s="43">
        <f>10600000+3387089+6000000</f>
        <v>19987089</v>
      </c>
      <c r="O45" s="241">
        <f>12600000/1.08</f>
        <v>11666666.67</v>
      </c>
      <c r="P45" s="241">
        <v>4.0</v>
      </c>
      <c r="Q45" s="241">
        <f>5940000/1.08</f>
        <v>5500000</v>
      </c>
      <c r="R45" s="241"/>
      <c r="S45" s="241">
        <v>800000.0</v>
      </c>
      <c r="T45" s="241">
        <v>400000.0</v>
      </c>
      <c r="U45" s="47"/>
      <c r="V45" s="47"/>
      <c r="W45" s="47">
        <v>2194362.0</v>
      </c>
      <c r="X45" s="47"/>
      <c r="Y45" s="47"/>
      <c r="Z45" s="47"/>
      <c r="AA45" s="47"/>
      <c r="AB45" s="241">
        <f>(SUM(O45,Q45:W45))</f>
        <v>20561028.67</v>
      </c>
      <c r="AC45" s="137"/>
      <c r="AD45" s="241">
        <f t="shared" si="2"/>
        <v>573939.6667</v>
      </c>
      <c r="AE45" s="259"/>
      <c r="AF45" s="56"/>
    </row>
    <row r="46" ht="30.0" customHeight="1">
      <c r="A46" s="247" t="s">
        <v>417</v>
      </c>
      <c r="B46" s="177" t="s">
        <v>370</v>
      </c>
      <c r="C46" s="44">
        <v>46121.0</v>
      </c>
      <c r="D46" s="44">
        <v>46121.0</v>
      </c>
      <c r="E46" s="37"/>
      <c r="F46" s="37" t="s">
        <v>176</v>
      </c>
      <c r="G46" s="256" t="s">
        <v>503</v>
      </c>
      <c r="H46" s="161" t="s">
        <v>504</v>
      </c>
      <c r="I46" s="145"/>
      <c r="J46" s="145"/>
      <c r="K46" s="42"/>
      <c r="L46" s="37" t="s">
        <v>291</v>
      </c>
      <c r="M46" s="254"/>
      <c r="N46" s="43">
        <v>1395727.0</v>
      </c>
      <c r="O46" s="241">
        <v>2314814.814814815</v>
      </c>
      <c r="P46" s="59"/>
      <c r="Q46" s="47"/>
      <c r="R46" s="60"/>
      <c r="S46" s="47"/>
      <c r="T46" s="47"/>
      <c r="U46" s="47"/>
      <c r="V46" s="47"/>
      <c r="W46" s="47"/>
      <c r="X46" s="47"/>
      <c r="Y46" s="47"/>
      <c r="Z46" s="47"/>
      <c r="AA46" s="47"/>
      <c r="AB46" s="241">
        <f t="shared" ref="AB46:AB47" si="11">O46</f>
        <v>2314814.815</v>
      </c>
      <c r="AC46" s="137"/>
      <c r="AD46" s="241">
        <f t="shared" si="2"/>
        <v>919087.8148</v>
      </c>
      <c r="AE46" s="56"/>
      <c r="AF46" s="56"/>
    </row>
    <row r="47" ht="30.75" customHeight="1">
      <c r="A47" s="249"/>
      <c r="B47" s="177" t="s">
        <v>370</v>
      </c>
      <c r="C47" s="44">
        <v>46121.0</v>
      </c>
      <c r="D47" s="44">
        <v>46121.0</v>
      </c>
      <c r="E47" s="37"/>
      <c r="F47" s="37" t="s">
        <v>176</v>
      </c>
      <c r="G47" s="256" t="s">
        <v>503</v>
      </c>
      <c r="H47" s="161" t="s">
        <v>504</v>
      </c>
      <c r="I47" s="37"/>
      <c r="J47" s="37"/>
      <c r="K47" s="42"/>
      <c r="L47" s="37" t="s">
        <v>189</v>
      </c>
      <c r="M47" s="254"/>
      <c r="N47" s="43">
        <v>2020000.0</v>
      </c>
      <c r="O47" s="241">
        <v>2500000.0</v>
      </c>
      <c r="P47" s="59"/>
      <c r="Q47" s="47"/>
      <c r="R47" s="60"/>
      <c r="S47" s="47"/>
      <c r="T47" s="47"/>
      <c r="U47" s="47"/>
      <c r="V47" s="47"/>
      <c r="W47" s="47"/>
      <c r="X47" s="47"/>
      <c r="Y47" s="47"/>
      <c r="Z47" s="47"/>
      <c r="AA47" s="47"/>
      <c r="AB47" s="241">
        <f t="shared" si="11"/>
        <v>2500000</v>
      </c>
      <c r="AC47" s="137"/>
      <c r="AD47" s="241">
        <f t="shared" si="2"/>
        <v>480000</v>
      </c>
      <c r="AE47" s="56"/>
      <c r="AF47" s="56"/>
    </row>
    <row r="48" ht="30.75" customHeight="1">
      <c r="A48" s="250"/>
      <c r="B48" s="177" t="s">
        <v>370</v>
      </c>
      <c r="C48" s="44">
        <v>46121.0</v>
      </c>
      <c r="D48" s="44">
        <v>46121.0</v>
      </c>
      <c r="E48" s="37"/>
      <c r="F48" s="37" t="s">
        <v>386</v>
      </c>
      <c r="G48" s="256" t="s">
        <v>503</v>
      </c>
      <c r="H48" s="161" t="s">
        <v>504</v>
      </c>
      <c r="I48" s="37" t="s">
        <v>506</v>
      </c>
      <c r="J48" s="37" t="s">
        <v>507</v>
      </c>
      <c r="K48" s="42" t="s">
        <v>411</v>
      </c>
      <c r="L48" s="37" t="s">
        <v>343</v>
      </c>
      <c r="M48" s="254">
        <v>1.0</v>
      </c>
      <c r="N48" s="43">
        <f>10600000+3927091</f>
        <v>14527091</v>
      </c>
      <c r="O48" s="241">
        <f>12600000/1.08</f>
        <v>11666666.67</v>
      </c>
      <c r="P48" s="59"/>
      <c r="Q48" s="47"/>
      <c r="R48" s="60"/>
      <c r="S48" s="241">
        <v>800000.0</v>
      </c>
      <c r="T48" s="241">
        <v>400000.0</v>
      </c>
      <c r="U48" s="47"/>
      <c r="V48" s="47"/>
      <c r="W48" s="47">
        <v>2734364.0</v>
      </c>
      <c r="X48" s="47"/>
      <c r="Y48" s="47"/>
      <c r="Z48" s="47"/>
      <c r="AA48" s="47"/>
      <c r="AB48" s="241">
        <f>(SUM(O48:W48))</f>
        <v>15601030.67</v>
      </c>
      <c r="AC48" s="137"/>
      <c r="AD48" s="241">
        <f t="shared" si="2"/>
        <v>1073939.667</v>
      </c>
      <c r="AE48" s="56"/>
      <c r="AF48" s="56"/>
    </row>
    <row r="49" ht="30.75" customHeight="1">
      <c r="A49" s="218" t="s">
        <v>421</v>
      </c>
      <c r="B49" s="177" t="s">
        <v>370</v>
      </c>
      <c r="C49" s="44">
        <v>46122.0</v>
      </c>
      <c r="D49" s="44">
        <v>46122.0</v>
      </c>
      <c r="E49" s="37"/>
      <c r="F49" s="37" t="s">
        <v>176</v>
      </c>
      <c r="G49" s="256" t="s">
        <v>508</v>
      </c>
      <c r="H49" s="49" t="s">
        <v>509</v>
      </c>
      <c r="I49" s="37"/>
      <c r="J49" s="37"/>
      <c r="K49" s="42"/>
      <c r="L49" s="37" t="s">
        <v>291</v>
      </c>
      <c r="M49" s="254"/>
      <c r="N49" s="43">
        <v>1295727.0</v>
      </c>
      <c r="O49" s="241">
        <v>2314814.814814815</v>
      </c>
      <c r="P49" s="59"/>
      <c r="Q49" s="47"/>
      <c r="R49" s="60"/>
      <c r="S49" s="47"/>
      <c r="T49" s="47"/>
      <c r="U49" s="47"/>
      <c r="V49" s="47"/>
      <c r="W49" s="47"/>
      <c r="X49" s="47"/>
      <c r="Y49" s="47"/>
      <c r="Z49" s="47"/>
      <c r="AA49" s="47"/>
      <c r="AB49" s="241">
        <f t="shared" ref="AB49:AB50" si="12">O49</f>
        <v>2314814.815</v>
      </c>
      <c r="AC49" s="137"/>
      <c r="AD49" s="241">
        <f t="shared" si="2"/>
        <v>1019087.815</v>
      </c>
      <c r="AE49" s="245"/>
      <c r="AF49" s="245"/>
    </row>
    <row r="50" ht="30.75" customHeight="1">
      <c r="A50" s="219"/>
      <c r="B50" s="177" t="s">
        <v>370</v>
      </c>
      <c r="C50" s="44">
        <v>46122.0</v>
      </c>
      <c r="D50" s="44">
        <v>46122.0</v>
      </c>
      <c r="E50" s="37"/>
      <c r="F50" s="37" t="s">
        <v>176</v>
      </c>
      <c r="G50" s="256" t="s">
        <v>508</v>
      </c>
      <c r="H50" s="49" t="s">
        <v>509</v>
      </c>
      <c r="I50" s="37"/>
      <c r="J50" s="37"/>
      <c r="K50" s="42"/>
      <c r="L50" s="37" t="s">
        <v>189</v>
      </c>
      <c r="M50" s="254"/>
      <c r="N50" s="43">
        <v>2020000.0</v>
      </c>
      <c r="O50" s="241">
        <v>2500000.0</v>
      </c>
      <c r="P50" s="59"/>
      <c r="Q50" s="47"/>
      <c r="R50" s="60"/>
      <c r="S50" s="47"/>
      <c r="T50" s="47"/>
      <c r="U50" s="47"/>
      <c r="V50" s="47"/>
      <c r="W50" s="47"/>
      <c r="X50" s="47"/>
      <c r="Y50" s="47"/>
      <c r="Z50" s="47"/>
      <c r="AA50" s="47"/>
      <c r="AB50" s="241">
        <f t="shared" si="12"/>
        <v>2500000</v>
      </c>
      <c r="AC50" s="137"/>
      <c r="AD50" s="235">
        <f t="shared" si="2"/>
        <v>480000</v>
      </c>
      <c r="AE50" s="260"/>
    </row>
    <row r="51" ht="30.75" customHeight="1">
      <c r="A51" s="30"/>
      <c r="B51" s="177" t="s">
        <v>370</v>
      </c>
      <c r="C51" s="44">
        <v>46122.0</v>
      </c>
      <c r="D51" s="44">
        <v>46123.0</v>
      </c>
      <c r="E51" s="37"/>
      <c r="F51" s="37" t="s">
        <v>414</v>
      </c>
      <c r="G51" s="256" t="s">
        <v>508</v>
      </c>
      <c r="H51" s="49" t="s">
        <v>509</v>
      </c>
      <c r="I51" s="37" t="s">
        <v>510</v>
      </c>
      <c r="J51" s="37" t="s">
        <v>478</v>
      </c>
      <c r="K51" s="42" t="s">
        <v>379</v>
      </c>
      <c r="L51" s="37" t="s">
        <v>343</v>
      </c>
      <c r="M51" s="254">
        <v>1.0</v>
      </c>
      <c r="N51" s="43">
        <f>8500000+3013997</f>
        <v>11513997</v>
      </c>
      <c r="O51" s="241">
        <f>12600000/1.08</f>
        <v>11666666.67</v>
      </c>
      <c r="P51" s="59"/>
      <c r="Q51" s="47"/>
      <c r="R51" s="60"/>
      <c r="S51" s="241">
        <v>800000.0</v>
      </c>
      <c r="T51" s="241">
        <v>400000.0</v>
      </c>
      <c r="U51" s="47"/>
      <c r="V51" s="47"/>
      <c r="W51" s="47">
        <v>1821270.0</v>
      </c>
      <c r="X51" s="47"/>
      <c r="Y51" s="47"/>
      <c r="Z51" s="47"/>
      <c r="AA51" s="47"/>
      <c r="AB51" s="241">
        <f>(SUM(O51:W51))</f>
        <v>14687936.67</v>
      </c>
      <c r="AC51" s="137"/>
      <c r="AD51" s="235">
        <f t="shared" si="2"/>
        <v>3173939.667</v>
      </c>
    </row>
    <row r="52" ht="30.75" customHeight="1">
      <c r="A52" s="218" t="s">
        <v>425</v>
      </c>
      <c r="B52" s="177" t="s">
        <v>370</v>
      </c>
      <c r="C52" s="44">
        <v>46122.0</v>
      </c>
      <c r="D52" s="44">
        <v>46122.0</v>
      </c>
      <c r="E52" s="37"/>
      <c r="F52" s="37" t="s">
        <v>176</v>
      </c>
      <c r="G52" s="37" t="s">
        <v>511</v>
      </c>
      <c r="H52" s="49" t="s">
        <v>512</v>
      </c>
      <c r="I52" s="37"/>
      <c r="J52" s="37"/>
      <c r="K52" s="42"/>
      <c r="L52" s="37" t="s">
        <v>291</v>
      </c>
      <c r="M52" s="254"/>
      <c r="N52" s="43">
        <v>759273.0</v>
      </c>
      <c r="O52" s="241">
        <v>1388888.8888888888</v>
      </c>
      <c r="P52" s="59"/>
      <c r="Q52" s="47"/>
      <c r="R52" s="60"/>
      <c r="S52" s="47"/>
      <c r="T52" s="47"/>
      <c r="U52" s="47"/>
      <c r="V52" s="47"/>
      <c r="W52" s="47"/>
      <c r="X52" s="47"/>
      <c r="Y52" s="47"/>
      <c r="Z52" s="47"/>
      <c r="AA52" s="47"/>
      <c r="AB52" s="241">
        <f t="shared" ref="AB52:AB53" si="13">O52</f>
        <v>1388888.889</v>
      </c>
      <c r="AC52" s="137"/>
      <c r="AD52" s="235">
        <f t="shared" si="2"/>
        <v>629615.8889</v>
      </c>
    </row>
    <row r="53" ht="30.75" customHeight="1">
      <c r="A53" s="219"/>
      <c r="B53" s="177" t="s">
        <v>370</v>
      </c>
      <c r="C53" s="44">
        <v>46122.0</v>
      </c>
      <c r="D53" s="44">
        <v>46122.0</v>
      </c>
      <c r="E53" s="37"/>
      <c r="F53" s="37" t="s">
        <v>176</v>
      </c>
      <c r="G53" s="37" t="s">
        <v>511</v>
      </c>
      <c r="H53" s="49" t="s">
        <v>512</v>
      </c>
      <c r="I53" s="37"/>
      <c r="J53" s="37"/>
      <c r="K53" s="42"/>
      <c r="L53" s="37" t="s">
        <v>189</v>
      </c>
      <c r="M53" s="254"/>
      <c r="N53" s="43">
        <v>1920000.0</v>
      </c>
      <c r="O53" s="241">
        <v>2500000.0</v>
      </c>
      <c r="P53" s="59"/>
      <c r="Q53" s="47"/>
      <c r="R53" s="60"/>
      <c r="S53" s="47"/>
      <c r="T53" s="47"/>
      <c r="U53" s="47"/>
      <c r="V53" s="47"/>
      <c r="W53" s="47"/>
      <c r="X53" s="47"/>
      <c r="Y53" s="47"/>
      <c r="Z53" s="47"/>
      <c r="AA53" s="47"/>
      <c r="AB53" s="241">
        <f t="shared" si="13"/>
        <v>2500000</v>
      </c>
      <c r="AC53" s="137"/>
      <c r="AD53" s="235">
        <f t="shared" si="2"/>
        <v>580000</v>
      </c>
    </row>
    <row r="54" ht="30.75" customHeight="1">
      <c r="A54" s="30"/>
      <c r="B54" s="177" t="s">
        <v>370</v>
      </c>
      <c r="C54" s="44">
        <v>46122.0</v>
      </c>
      <c r="D54" s="44">
        <v>46123.0</v>
      </c>
      <c r="E54" s="37"/>
      <c r="F54" s="37" t="s">
        <v>414</v>
      </c>
      <c r="G54" s="37" t="s">
        <v>511</v>
      </c>
      <c r="H54" s="49" t="s">
        <v>512</v>
      </c>
      <c r="I54" s="37" t="s">
        <v>513</v>
      </c>
      <c r="J54" s="37" t="s">
        <v>498</v>
      </c>
      <c r="K54" s="42" t="s">
        <v>270</v>
      </c>
      <c r="L54" s="37" t="s">
        <v>343</v>
      </c>
      <c r="M54" s="254">
        <v>1.0</v>
      </c>
      <c r="N54" s="43">
        <f>5600000+1051091</f>
        <v>6651091</v>
      </c>
      <c r="O54" s="214">
        <f>7080000/1.08</f>
        <v>6555555.556</v>
      </c>
      <c r="P54" s="59"/>
      <c r="Q54" s="47"/>
      <c r="R54" s="60"/>
      <c r="S54" s="241">
        <v>499999.99999999994</v>
      </c>
      <c r="T54" s="241">
        <v>229999.99999999997</v>
      </c>
      <c r="U54" s="47"/>
      <c r="V54" s="47"/>
      <c r="W54" s="47">
        <v>603818.0</v>
      </c>
      <c r="X54" s="47"/>
      <c r="Y54" s="47"/>
      <c r="Z54" s="47"/>
      <c r="AA54" s="47"/>
      <c r="AB54" s="241">
        <f>(SUM(O54:W54))</f>
        <v>7889373.556</v>
      </c>
      <c r="AC54" s="137"/>
      <c r="AD54" s="235">
        <f t="shared" si="2"/>
        <v>1238282.556</v>
      </c>
    </row>
    <row r="55">
      <c r="A55" s="218" t="s">
        <v>429</v>
      </c>
      <c r="B55" s="177" t="s">
        <v>370</v>
      </c>
      <c r="C55" s="44">
        <v>46122.0</v>
      </c>
      <c r="D55" s="44">
        <v>46122.0</v>
      </c>
      <c r="E55" s="37"/>
      <c r="F55" s="37" t="s">
        <v>176</v>
      </c>
      <c r="G55" s="37" t="s">
        <v>514</v>
      </c>
      <c r="H55" s="49" t="s">
        <v>515</v>
      </c>
      <c r="I55" s="37"/>
      <c r="J55" s="37"/>
      <c r="K55" s="42"/>
      <c r="L55" s="37" t="s">
        <v>291</v>
      </c>
      <c r="M55" s="254"/>
      <c r="N55" s="43">
        <v>1395727.0</v>
      </c>
      <c r="O55" s="241">
        <v>2314814.814814815</v>
      </c>
      <c r="P55" s="59"/>
      <c r="Q55" s="47"/>
      <c r="R55" s="60"/>
      <c r="S55" s="47"/>
      <c r="T55" s="47"/>
      <c r="U55" s="47"/>
      <c r="V55" s="47"/>
      <c r="W55" s="47"/>
      <c r="X55" s="47"/>
      <c r="Y55" s="47"/>
      <c r="Z55" s="47"/>
      <c r="AA55" s="47"/>
      <c r="AB55" s="241">
        <f t="shared" ref="AB55:AB56" si="14">O55</f>
        <v>2314814.815</v>
      </c>
      <c r="AC55" s="137"/>
      <c r="AD55" s="235">
        <f t="shared" si="2"/>
        <v>919087.8148</v>
      </c>
    </row>
    <row r="56">
      <c r="A56" s="219"/>
      <c r="B56" s="177" t="s">
        <v>370</v>
      </c>
      <c r="C56" s="44">
        <v>46122.0</v>
      </c>
      <c r="D56" s="44">
        <v>46122.0</v>
      </c>
      <c r="E56" s="37"/>
      <c r="F56" s="37" t="s">
        <v>176</v>
      </c>
      <c r="G56" s="37" t="s">
        <v>514</v>
      </c>
      <c r="H56" s="49" t="s">
        <v>515</v>
      </c>
      <c r="I56" s="37"/>
      <c r="J56" s="37"/>
      <c r="K56" s="42"/>
      <c r="L56" s="37" t="s">
        <v>189</v>
      </c>
      <c r="M56" s="254"/>
      <c r="N56" s="43">
        <v>2120000.0</v>
      </c>
      <c r="O56" s="241">
        <v>2500000.0</v>
      </c>
      <c r="P56" s="59"/>
      <c r="Q56" s="47"/>
      <c r="R56" s="60"/>
      <c r="S56" s="47"/>
      <c r="T56" s="47"/>
      <c r="U56" s="47"/>
      <c r="V56" s="47"/>
      <c r="W56" s="47"/>
      <c r="X56" s="47"/>
      <c r="Y56" s="47"/>
      <c r="Z56" s="47"/>
      <c r="AA56" s="47"/>
      <c r="AB56" s="241">
        <f t="shared" si="14"/>
        <v>2500000</v>
      </c>
      <c r="AC56" s="137"/>
      <c r="AD56" s="235">
        <f t="shared" si="2"/>
        <v>380000</v>
      </c>
    </row>
    <row r="57">
      <c r="A57" s="30"/>
      <c r="B57" s="177" t="s">
        <v>370</v>
      </c>
      <c r="C57" s="44">
        <v>46122.0</v>
      </c>
      <c r="D57" s="44">
        <v>46129.0</v>
      </c>
      <c r="E57" s="37"/>
      <c r="F57" s="37" t="s">
        <v>386</v>
      </c>
      <c r="G57" s="37" t="s">
        <v>514</v>
      </c>
      <c r="H57" s="49" t="s">
        <v>515</v>
      </c>
      <c r="I57" s="37" t="s">
        <v>516</v>
      </c>
      <c r="J57" s="37" t="s">
        <v>517</v>
      </c>
      <c r="K57" s="42" t="s">
        <v>379</v>
      </c>
      <c r="L57" s="37" t="s">
        <v>343</v>
      </c>
      <c r="M57" s="254">
        <v>1.0</v>
      </c>
      <c r="N57" s="43">
        <f>12300000+3205997+11500000</f>
        <v>27005997</v>
      </c>
      <c r="O57" s="214">
        <f>10580000/1.08</f>
        <v>9796296.296</v>
      </c>
      <c r="P57" s="59">
        <v>8.0</v>
      </c>
      <c r="Q57" s="47">
        <f>14580000/1.08</f>
        <v>13500000</v>
      </c>
      <c r="R57" s="60"/>
      <c r="S57" s="241">
        <v>800000.0</v>
      </c>
      <c r="T57" s="241">
        <v>400000.0</v>
      </c>
      <c r="U57" s="47"/>
      <c r="V57" s="47"/>
      <c r="W57" s="47">
        <v>1713270.0</v>
      </c>
      <c r="X57" s="47"/>
      <c r="Y57" s="47"/>
      <c r="Z57" s="47"/>
      <c r="AA57" s="47"/>
      <c r="AB57" s="241">
        <f>(SUM(O57:W57))</f>
        <v>26209574.3</v>
      </c>
      <c r="AC57" s="137"/>
      <c r="AD57" s="235">
        <f t="shared" si="2"/>
        <v>-796422.7037</v>
      </c>
    </row>
    <row r="58" ht="30.0" customHeight="1">
      <c r="A58" s="218" t="s">
        <v>433</v>
      </c>
      <c r="B58" s="177" t="s">
        <v>370</v>
      </c>
      <c r="C58" s="44">
        <v>46128.0</v>
      </c>
      <c r="D58" s="44">
        <v>46128.0</v>
      </c>
      <c r="E58" s="37"/>
      <c r="F58" s="37" t="s">
        <v>176</v>
      </c>
      <c r="G58" s="37" t="s">
        <v>518</v>
      </c>
      <c r="H58" s="49" t="s">
        <v>519</v>
      </c>
      <c r="I58" s="37"/>
      <c r="J58" s="37"/>
      <c r="K58" s="42"/>
      <c r="L58" s="37" t="s">
        <v>291</v>
      </c>
      <c r="M58" s="254"/>
      <c r="N58" s="241">
        <v>859273.0</v>
      </c>
      <c r="O58" s="241">
        <v>1388888.8888888888</v>
      </c>
      <c r="P58" s="59"/>
      <c r="Q58" s="47"/>
      <c r="R58" s="60"/>
      <c r="S58" s="47"/>
      <c r="T58" s="47"/>
      <c r="U58" s="47"/>
      <c r="V58" s="47"/>
      <c r="W58" s="47"/>
      <c r="X58" s="47"/>
      <c r="Y58" s="47"/>
      <c r="Z58" s="47"/>
      <c r="AA58" s="47"/>
      <c r="AB58" s="47">
        <f t="shared" ref="AB58:AB59" si="15">O58</f>
        <v>1388888.889</v>
      </c>
      <c r="AC58" s="137"/>
      <c r="AD58" s="235">
        <f t="shared" si="2"/>
        <v>529615.8889</v>
      </c>
    </row>
    <row r="59" ht="30.0" customHeight="1">
      <c r="A59" s="219"/>
      <c r="B59" s="177" t="s">
        <v>370</v>
      </c>
      <c r="C59" s="44">
        <v>46128.0</v>
      </c>
      <c r="D59" s="44">
        <v>46128.0</v>
      </c>
      <c r="E59" s="37"/>
      <c r="F59" s="37" t="s">
        <v>176</v>
      </c>
      <c r="G59" s="37" t="s">
        <v>518</v>
      </c>
      <c r="H59" s="49" t="s">
        <v>519</v>
      </c>
      <c r="I59" s="37"/>
      <c r="J59" s="37"/>
      <c r="K59" s="42"/>
      <c r="L59" s="37" t="s">
        <v>189</v>
      </c>
      <c r="M59" s="254"/>
      <c r="N59" s="43">
        <v>2020000.0</v>
      </c>
      <c r="O59" s="241">
        <v>2500000.0</v>
      </c>
      <c r="P59" s="59"/>
      <c r="Q59" s="47"/>
      <c r="R59" s="60"/>
      <c r="S59" s="47"/>
      <c r="T59" s="47"/>
      <c r="U59" s="47"/>
      <c r="V59" s="47"/>
      <c r="W59" s="47"/>
      <c r="X59" s="47"/>
      <c r="Y59" s="47"/>
      <c r="Z59" s="47"/>
      <c r="AA59" s="47"/>
      <c r="AB59" s="47">
        <f t="shared" si="15"/>
        <v>2500000</v>
      </c>
      <c r="AC59" s="137"/>
      <c r="AD59" s="235">
        <f t="shared" si="2"/>
        <v>480000</v>
      </c>
    </row>
    <row r="60" ht="30.0" customHeight="1">
      <c r="A60" s="30"/>
      <c r="B60" s="177" t="s">
        <v>370</v>
      </c>
      <c r="C60" s="44">
        <v>46128.0</v>
      </c>
      <c r="D60" s="44">
        <v>46128.0</v>
      </c>
      <c r="E60" s="37"/>
      <c r="F60" s="37" t="s">
        <v>414</v>
      </c>
      <c r="G60" s="37" t="s">
        <v>518</v>
      </c>
      <c r="H60" s="49" t="s">
        <v>519</v>
      </c>
      <c r="I60" s="37" t="s">
        <v>520</v>
      </c>
      <c r="J60" s="37" t="s">
        <v>521</v>
      </c>
      <c r="K60" s="42" t="s">
        <v>270</v>
      </c>
      <c r="L60" s="37" t="s">
        <v>343</v>
      </c>
      <c r="M60" s="254">
        <v>1.0</v>
      </c>
      <c r="N60" s="43">
        <f>6400000+2115089</f>
        <v>8515089</v>
      </c>
      <c r="O60" s="214">
        <f>7080000/1.08</f>
        <v>6555555.556</v>
      </c>
      <c r="P60" s="59">
        <v>1.0</v>
      </c>
      <c r="Q60" s="47">
        <v>1080000.0</v>
      </c>
      <c r="R60" s="60"/>
      <c r="S60" s="241">
        <v>499999.99999999994</v>
      </c>
      <c r="T60" s="241">
        <v>229999.99999999997</v>
      </c>
      <c r="U60" s="47"/>
      <c r="V60" s="47"/>
      <c r="W60" s="47">
        <v>1369634.0</v>
      </c>
      <c r="X60" s="47"/>
      <c r="Y60" s="47"/>
      <c r="Z60" s="47"/>
      <c r="AA60" s="47"/>
      <c r="AB60" s="47">
        <f>SUM(O60:W60)</f>
        <v>9735190.556</v>
      </c>
      <c r="AC60" s="137"/>
      <c r="AD60" s="235">
        <f t="shared" si="2"/>
        <v>1220101.556</v>
      </c>
    </row>
    <row r="61" ht="30.0" customHeight="1">
      <c r="A61" s="218" t="s">
        <v>439</v>
      </c>
      <c r="B61" s="177" t="s">
        <v>370</v>
      </c>
      <c r="C61" s="44">
        <v>46128.0</v>
      </c>
      <c r="D61" s="44">
        <v>46128.0</v>
      </c>
      <c r="E61" s="37"/>
      <c r="F61" s="37" t="s">
        <v>176</v>
      </c>
      <c r="G61" s="37" t="s">
        <v>522</v>
      </c>
      <c r="H61" s="37" t="s">
        <v>523</v>
      </c>
      <c r="I61" s="37"/>
      <c r="J61" s="37"/>
      <c r="K61" s="42"/>
      <c r="L61" s="37" t="s">
        <v>291</v>
      </c>
      <c r="M61" s="254"/>
      <c r="N61" s="43">
        <v>1295727.0</v>
      </c>
      <c r="O61" s="241">
        <v>2314814.814814815</v>
      </c>
      <c r="P61" s="59"/>
      <c r="Q61" s="47"/>
      <c r="R61" s="60"/>
      <c r="S61" s="47"/>
      <c r="T61" s="47"/>
      <c r="U61" s="47"/>
      <c r="V61" s="47"/>
      <c r="W61" s="47"/>
      <c r="X61" s="47"/>
      <c r="Y61" s="47"/>
      <c r="Z61" s="47"/>
      <c r="AA61" s="47"/>
      <c r="AB61" s="47">
        <f t="shared" ref="AB61:AB62" si="16">O61</f>
        <v>2314814.815</v>
      </c>
      <c r="AC61" s="137"/>
      <c r="AD61" s="235">
        <f t="shared" si="2"/>
        <v>1019087.815</v>
      </c>
    </row>
    <row r="62" ht="30.0" customHeight="1">
      <c r="A62" s="219"/>
      <c r="B62" s="177" t="s">
        <v>370</v>
      </c>
      <c r="C62" s="44">
        <v>46128.0</v>
      </c>
      <c r="D62" s="44">
        <v>46128.0</v>
      </c>
      <c r="E62" s="37"/>
      <c r="F62" s="37" t="s">
        <v>176</v>
      </c>
      <c r="G62" s="37" t="s">
        <v>522</v>
      </c>
      <c r="H62" s="37" t="s">
        <v>523</v>
      </c>
      <c r="I62" s="37"/>
      <c r="J62" s="37"/>
      <c r="K62" s="42"/>
      <c r="L62" s="37" t="s">
        <v>189</v>
      </c>
      <c r="M62" s="254"/>
      <c r="N62" s="43">
        <v>2020000.0</v>
      </c>
      <c r="O62" s="241">
        <v>2500000.0</v>
      </c>
      <c r="P62" s="59"/>
      <c r="Q62" s="47"/>
      <c r="R62" s="60"/>
      <c r="S62" s="47"/>
      <c r="T62" s="47"/>
      <c r="U62" s="47"/>
      <c r="V62" s="47"/>
      <c r="W62" s="47"/>
      <c r="X62" s="47"/>
      <c r="Y62" s="47"/>
      <c r="Z62" s="47"/>
      <c r="AA62" s="47"/>
      <c r="AB62" s="47">
        <f t="shared" si="16"/>
        <v>2500000</v>
      </c>
      <c r="AC62" s="137"/>
      <c r="AD62" s="235">
        <f t="shared" si="2"/>
        <v>480000</v>
      </c>
    </row>
    <row r="63" ht="30.0" customHeight="1">
      <c r="A63" s="30"/>
      <c r="B63" s="177" t="s">
        <v>370</v>
      </c>
      <c r="C63" s="44">
        <v>46128.0</v>
      </c>
      <c r="D63" s="44">
        <v>46135.0</v>
      </c>
      <c r="E63" s="37"/>
      <c r="F63" s="37" t="s">
        <v>386</v>
      </c>
      <c r="G63" s="37" t="s">
        <v>522</v>
      </c>
      <c r="H63" s="37" t="s">
        <v>523</v>
      </c>
      <c r="I63" s="37" t="s">
        <v>524</v>
      </c>
      <c r="J63" s="37" t="s">
        <v>525</v>
      </c>
      <c r="K63" s="42" t="s">
        <v>379</v>
      </c>
      <c r="L63" s="37" t="s">
        <v>343</v>
      </c>
      <c r="M63" s="254">
        <v>1.0</v>
      </c>
      <c r="N63" s="43">
        <f>8800000+3175997+11500000</f>
        <v>23475997</v>
      </c>
      <c r="O63" s="214">
        <f>10580000/1.08</f>
        <v>9796296.296</v>
      </c>
      <c r="P63" s="59">
        <v>7.0</v>
      </c>
      <c r="Q63" s="47">
        <f>12420000/1.08</f>
        <v>11500000</v>
      </c>
      <c r="R63" s="60"/>
      <c r="S63" s="241">
        <v>800000.0</v>
      </c>
      <c r="T63" s="241">
        <v>400000.0</v>
      </c>
      <c r="U63" s="47"/>
      <c r="V63" s="47"/>
      <c r="W63" s="47">
        <v>1983270.0</v>
      </c>
      <c r="X63" s="47"/>
      <c r="Y63" s="47"/>
      <c r="Z63" s="47"/>
      <c r="AA63" s="47"/>
      <c r="AB63" s="47">
        <f>SUM(O63,Q63:W63)</f>
        <v>24479566.3</v>
      </c>
      <c r="AC63" s="137"/>
      <c r="AD63" s="235">
        <f t="shared" si="2"/>
        <v>1003569.296</v>
      </c>
    </row>
    <row r="64" ht="30.0" customHeight="1">
      <c r="A64" s="265" t="s">
        <v>444</v>
      </c>
      <c r="B64" s="177" t="s">
        <v>528</v>
      </c>
      <c r="C64" s="44">
        <v>46140.0</v>
      </c>
      <c r="D64" s="44"/>
      <c r="E64" s="37"/>
      <c r="F64" s="37"/>
      <c r="G64" s="37"/>
      <c r="H64" s="37"/>
      <c r="I64" s="37"/>
      <c r="J64" s="37" t="s">
        <v>529</v>
      </c>
      <c r="K64" s="42" t="s">
        <v>530</v>
      </c>
      <c r="L64" s="37" t="s">
        <v>531</v>
      </c>
      <c r="M64" s="254">
        <v>1.0</v>
      </c>
      <c r="N64" s="194">
        <v>3.888E7</v>
      </c>
      <c r="O64" s="109">
        <f>58100000/1.08</f>
        <v>53796296.3</v>
      </c>
      <c r="P64" s="59"/>
      <c r="Q64" s="47"/>
      <c r="R64" s="60"/>
      <c r="S64" s="47"/>
      <c r="T64" s="47"/>
      <c r="U64" s="47"/>
      <c r="V64" s="47"/>
      <c r="W64" s="47">
        <f>3114400/1.08</f>
        <v>2883703.704</v>
      </c>
      <c r="X64" s="47"/>
      <c r="Y64" s="47"/>
      <c r="Z64" s="47"/>
      <c r="AA64" s="47"/>
      <c r="AB64" s="47">
        <f>O64+W64</f>
        <v>56680000</v>
      </c>
      <c r="AC64" s="137"/>
      <c r="AD64" s="40"/>
    </row>
    <row r="65">
      <c r="A65" s="79" t="s">
        <v>73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1"/>
      <c r="M65" s="270">
        <f>SUM(M13:M64)</f>
        <v>18</v>
      </c>
      <c r="N65" s="43"/>
      <c r="O65" s="214"/>
      <c r="P65" s="59"/>
      <c r="Q65" s="47"/>
      <c r="R65" s="60"/>
      <c r="S65" s="47"/>
      <c r="T65" s="47"/>
      <c r="U65" s="47"/>
      <c r="V65" s="47"/>
      <c r="W65" s="47"/>
      <c r="X65" s="47"/>
      <c r="Y65" s="47"/>
      <c r="Z65" s="47"/>
      <c r="AA65" s="47"/>
      <c r="AB65" s="91">
        <f>SUM(AB13:AB64)</f>
        <v>405341441.5</v>
      </c>
      <c r="AC65" s="272" t="s">
        <v>533</v>
      </c>
      <c r="AD65" s="273">
        <f>SUM(AD13:AD64)</f>
        <v>49337056.48</v>
      </c>
    </row>
    <row r="66" ht="17.25" customHeight="1">
      <c r="A66" s="79" t="s">
        <v>76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1"/>
      <c r="M66" s="83"/>
      <c r="N66" s="83"/>
      <c r="O66" s="83"/>
      <c r="P66" s="83"/>
      <c r="Q66" s="83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91">
        <f>AB65</f>
        <v>405341441.5</v>
      </c>
      <c r="AC66" s="85"/>
      <c r="AD66" s="85"/>
      <c r="AE66" s="275"/>
      <c r="AF66" s="276"/>
    </row>
    <row r="67">
      <c r="A67" s="79" t="s">
        <v>86</v>
      </c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1"/>
      <c r="M67" s="83"/>
      <c r="N67" s="83"/>
      <c r="O67" s="83"/>
      <c r="P67" s="83"/>
      <c r="Q67" s="83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91">
        <f>AB66*8%</f>
        <v>32427315.32</v>
      </c>
      <c r="AC67" s="85"/>
      <c r="AD67" s="85"/>
      <c r="AE67" s="276"/>
      <c r="AF67" s="276"/>
    </row>
    <row r="68" ht="17.25" customHeight="1">
      <c r="A68" s="79" t="s">
        <v>88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1"/>
      <c r="M68" s="83"/>
      <c r="N68" s="83"/>
      <c r="O68" s="83"/>
      <c r="P68" s="83"/>
      <c r="Q68" s="83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91">
        <f>AB66+AB67</f>
        <v>437768756.8</v>
      </c>
      <c r="AC68" s="85"/>
      <c r="AD68" s="85"/>
      <c r="AE68" s="279"/>
      <c r="AF68" s="276"/>
    </row>
    <row r="69">
      <c r="A69" s="93" t="s">
        <v>89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280"/>
      <c r="AD69" s="40"/>
    </row>
    <row r="70">
      <c r="F70" s="119"/>
      <c r="G70" s="119"/>
      <c r="H70" s="120"/>
      <c r="I70" s="119"/>
      <c r="J70" s="119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4"/>
      <c r="AD70" s="237"/>
    </row>
    <row r="71">
      <c r="F71" s="119"/>
      <c r="G71" s="119"/>
      <c r="H71" s="120"/>
      <c r="I71" s="119"/>
      <c r="J71" s="119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4"/>
      <c r="AD71" s="237"/>
    </row>
    <row r="72">
      <c r="F72" s="119"/>
      <c r="G72" s="119"/>
      <c r="H72" s="120"/>
      <c r="I72" s="119"/>
      <c r="J72" s="119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4"/>
      <c r="AD72" s="237"/>
    </row>
    <row r="73">
      <c r="F73" s="119"/>
      <c r="G73" s="119"/>
      <c r="H73" s="120"/>
      <c r="I73" s="119"/>
      <c r="J73" s="119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4"/>
      <c r="AD73" s="237"/>
    </row>
    <row r="74">
      <c r="F74" s="119"/>
      <c r="G74" s="119"/>
      <c r="H74" s="120"/>
      <c r="I74" s="119"/>
      <c r="J74" s="119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4"/>
      <c r="AD74" s="237"/>
    </row>
    <row r="75">
      <c r="F75" s="119"/>
      <c r="G75" s="119"/>
      <c r="H75" s="120"/>
      <c r="I75" s="119"/>
      <c r="J75" s="119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4">
        <v>7.5119E7</v>
      </c>
      <c r="AD75" s="237"/>
    </row>
    <row r="76">
      <c r="F76" s="119"/>
      <c r="G76" s="119"/>
      <c r="H76" s="120"/>
      <c r="I76" s="119"/>
      <c r="J76" s="119"/>
      <c r="M76" s="2"/>
      <c r="N76" s="2"/>
      <c r="O76" s="28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4"/>
      <c r="AD76" s="237"/>
    </row>
    <row r="77">
      <c r="F77" s="119"/>
      <c r="G77" s="119"/>
      <c r="H77" s="120"/>
      <c r="I77" s="119"/>
      <c r="J77" s="119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4"/>
      <c r="AD77" s="237"/>
    </row>
    <row r="78">
      <c r="F78" s="119"/>
      <c r="G78" s="119"/>
      <c r="H78" s="120"/>
      <c r="I78" s="119"/>
      <c r="J78" s="119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4"/>
      <c r="AD78" s="237"/>
    </row>
    <row r="79">
      <c r="F79" s="119"/>
      <c r="G79" s="119"/>
      <c r="H79" s="120"/>
      <c r="I79" s="119"/>
      <c r="J79" s="119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4"/>
      <c r="AD79" s="237"/>
    </row>
    <row r="80">
      <c r="F80" s="119"/>
      <c r="G80" s="119"/>
      <c r="H80" s="120"/>
      <c r="I80" s="119"/>
      <c r="J80" s="119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4"/>
      <c r="AD80" s="237"/>
    </row>
    <row r="81">
      <c r="F81" s="119"/>
      <c r="G81" s="119"/>
      <c r="H81" s="120"/>
      <c r="I81" s="119"/>
      <c r="J81" s="119"/>
      <c r="M81" s="2"/>
      <c r="N81" s="2"/>
      <c r="O81" s="2"/>
      <c r="P81" s="3"/>
      <c r="Q81" s="3"/>
      <c r="R81" s="3"/>
      <c r="S81" s="3"/>
      <c r="T81" s="3"/>
      <c r="U81" s="3"/>
      <c r="V81" s="3"/>
      <c r="W81" s="3">
        <f>298223281*1.08</f>
        <v>322081143.5</v>
      </c>
      <c r="X81" s="3"/>
      <c r="Y81" s="3"/>
      <c r="Z81" s="3"/>
      <c r="AA81" s="3"/>
      <c r="AB81" s="3"/>
      <c r="AC81" s="4"/>
      <c r="AD81" s="237"/>
    </row>
    <row r="82">
      <c r="F82" s="119"/>
      <c r="G82" s="119"/>
      <c r="H82" s="120"/>
      <c r="I82" s="119"/>
      <c r="J82" s="119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4"/>
      <c r="AD82" s="237"/>
    </row>
    <row r="83">
      <c r="F83" s="119"/>
      <c r="G83" s="119"/>
      <c r="H83" s="120"/>
      <c r="I83" s="119"/>
      <c r="J83" s="119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4"/>
      <c r="AD83" s="237"/>
    </row>
    <row r="84">
      <c r="F84" s="119"/>
      <c r="G84" s="119"/>
      <c r="H84" s="120"/>
      <c r="I84" s="119"/>
      <c r="J84" s="119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4"/>
      <c r="AD84" s="237"/>
    </row>
    <row r="85">
      <c r="F85" s="119"/>
      <c r="G85" s="119"/>
      <c r="H85" s="120"/>
      <c r="I85" s="119"/>
      <c r="J85" s="119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4"/>
      <c r="AD85" s="237"/>
    </row>
    <row r="86">
      <c r="F86" s="119"/>
      <c r="G86" s="119"/>
      <c r="H86" s="120"/>
      <c r="I86" s="119"/>
      <c r="J86" s="119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4"/>
      <c r="AD86" s="237"/>
    </row>
    <row r="87">
      <c r="F87" s="119"/>
      <c r="G87" s="119"/>
      <c r="H87" s="120"/>
      <c r="I87" s="119"/>
      <c r="J87" s="119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4"/>
      <c r="AD87" s="237"/>
    </row>
    <row r="88">
      <c r="F88" s="119"/>
      <c r="G88" s="119"/>
      <c r="H88" s="120"/>
      <c r="I88" s="119"/>
      <c r="J88" s="119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4"/>
      <c r="AD88" s="237"/>
    </row>
    <row r="89">
      <c r="F89" s="119"/>
      <c r="G89" s="119"/>
      <c r="H89" s="120"/>
      <c r="I89" s="119"/>
      <c r="J89" s="119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4"/>
      <c r="AD89" s="237"/>
    </row>
    <row r="90">
      <c r="F90" s="119"/>
      <c r="G90" s="119"/>
      <c r="H90" s="120"/>
      <c r="I90" s="119"/>
      <c r="J90" s="119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4"/>
      <c r="AD90" s="237"/>
    </row>
    <row r="91">
      <c r="F91" s="119"/>
      <c r="G91" s="119"/>
      <c r="H91" s="120"/>
      <c r="I91" s="119"/>
      <c r="J91" s="119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4"/>
      <c r="AD91" s="237"/>
    </row>
    <row r="92">
      <c r="F92" s="119"/>
      <c r="G92" s="119"/>
      <c r="H92" s="120"/>
      <c r="I92" s="119"/>
      <c r="J92" s="119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4"/>
      <c r="AD92" s="237"/>
    </row>
    <row r="93">
      <c r="F93" s="119"/>
      <c r="G93" s="119"/>
      <c r="H93" s="120"/>
      <c r="I93" s="119"/>
      <c r="J93" s="119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4"/>
      <c r="AD93" s="237"/>
    </row>
    <row r="94">
      <c r="F94" s="119"/>
      <c r="G94" s="119"/>
      <c r="H94" s="120"/>
      <c r="I94" s="119"/>
      <c r="J94" s="119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4"/>
      <c r="AD94" s="237"/>
    </row>
    <row r="95">
      <c r="F95" s="119"/>
      <c r="G95" s="119"/>
      <c r="H95" s="120"/>
      <c r="I95" s="119"/>
      <c r="J95" s="119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4"/>
      <c r="AD95" s="237"/>
    </row>
    <row r="96">
      <c r="F96" s="119"/>
      <c r="G96" s="119"/>
      <c r="H96" s="120"/>
      <c r="I96" s="119"/>
      <c r="J96" s="119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4"/>
      <c r="AD96" s="237"/>
    </row>
    <row r="97">
      <c r="F97" s="119"/>
      <c r="G97" s="119"/>
      <c r="H97" s="120"/>
      <c r="I97" s="119"/>
      <c r="J97" s="119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4"/>
      <c r="AD97" s="237"/>
    </row>
    <row r="98">
      <c r="F98" s="119"/>
      <c r="G98" s="119"/>
      <c r="H98" s="120"/>
      <c r="I98" s="119"/>
      <c r="J98" s="119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4"/>
      <c r="AD98" s="237"/>
    </row>
    <row r="99">
      <c r="F99" s="119"/>
      <c r="G99" s="119"/>
      <c r="H99" s="120"/>
      <c r="I99" s="119"/>
      <c r="J99" s="119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4"/>
      <c r="AD99" s="237"/>
    </row>
    <row r="100">
      <c r="F100" s="119"/>
      <c r="G100" s="119"/>
      <c r="H100" s="120"/>
      <c r="I100" s="119"/>
      <c r="J100" s="119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4"/>
      <c r="AD100" s="237"/>
    </row>
    <row r="101">
      <c r="F101" s="119"/>
      <c r="G101" s="119"/>
      <c r="H101" s="120"/>
      <c r="I101" s="119"/>
      <c r="J101" s="119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4"/>
      <c r="AD101" s="237"/>
    </row>
    <row r="102">
      <c r="F102" s="119"/>
      <c r="G102" s="119"/>
      <c r="H102" s="120"/>
      <c r="I102" s="119"/>
      <c r="J102" s="119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4"/>
      <c r="AD102" s="237"/>
    </row>
    <row r="103">
      <c r="F103" s="119"/>
      <c r="G103" s="119"/>
      <c r="H103" s="120"/>
      <c r="I103" s="119"/>
      <c r="J103" s="119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4"/>
      <c r="AD103" s="237"/>
    </row>
    <row r="104">
      <c r="F104" s="119"/>
      <c r="G104" s="119"/>
      <c r="H104" s="120"/>
      <c r="I104" s="119"/>
      <c r="J104" s="119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4"/>
      <c r="AD104" s="237"/>
    </row>
    <row r="105">
      <c r="F105" s="119"/>
      <c r="G105" s="119"/>
      <c r="H105" s="120"/>
      <c r="I105" s="119"/>
      <c r="J105" s="119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4"/>
      <c r="AD105" s="237"/>
    </row>
    <row r="106">
      <c r="F106" s="119"/>
      <c r="G106" s="119"/>
      <c r="H106" s="120"/>
      <c r="I106" s="119"/>
      <c r="J106" s="119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4"/>
      <c r="AD106" s="237"/>
    </row>
    <row r="107">
      <c r="F107" s="119"/>
      <c r="G107" s="119"/>
      <c r="H107" s="120"/>
      <c r="I107" s="119"/>
      <c r="J107" s="119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4"/>
      <c r="AD107" s="237"/>
    </row>
    <row r="108">
      <c r="F108" s="119"/>
      <c r="G108" s="119"/>
      <c r="H108" s="120"/>
      <c r="I108" s="119"/>
      <c r="J108" s="119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4"/>
      <c r="AD108" s="237"/>
    </row>
    <row r="109">
      <c r="F109" s="119"/>
      <c r="G109" s="119"/>
      <c r="H109" s="120"/>
      <c r="I109" s="119"/>
      <c r="J109" s="119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4"/>
      <c r="AD109" s="237"/>
    </row>
    <row r="110">
      <c r="F110" s="119"/>
      <c r="G110" s="119"/>
      <c r="H110" s="120"/>
      <c r="I110" s="119"/>
      <c r="J110" s="119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4"/>
      <c r="AD110" s="237"/>
    </row>
    <row r="111">
      <c r="F111" s="119"/>
      <c r="G111" s="119"/>
      <c r="H111" s="120"/>
      <c r="I111" s="119"/>
      <c r="J111" s="119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4"/>
      <c r="AD111" s="237"/>
    </row>
    <row r="112">
      <c r="F112" s="119"/>
      <c r="G112" s="119"/>
      <c r="H112" s="120"/>
      <c r="I112" s="119"/>
      <c r="J112" s="119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4"/>
      <c r="AD112" s="237"/>
    </row>
    <row r="113">
      <c r="F113" s="119"/>
      <c r="G113" s="119"/>
      <c r="H113" s="120"/>
      <c r="I113" s="119"/>
      <c r="J113" s="119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4"/>
      <c r="AD113" s="237"/>
    </row>
    <row r="114">
      <c r="F114" s="119"/>
      <c r="G114" s="119"/>
      <c r="H114" s="120"/>
      <c r="I114" s="119"/>
      <c r="J114" s="119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4"/>
      <c r="AD114" s="237"/>
    </row>
    <row r="115">
      <c r="F115" s="119"/>
      <c r="G115" s="119"/>
      <c r="H115" s="120"/>
      <c r="I115" s="119"/>
      <c r="J115" s="119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4"/>
      <c r="AD115" s="237"/>
    </row>
    <row r="116">
      <c r="F116" s="119"/>
      <c r="G116" s="119"/>
      <c r="H116" s="120"/>
      <c r="I116" s="119"/>
      <c r="J116" s="119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4"/>
      <c r="AD116" s="237"/>
    </row>
    <row r="117">
      <c r="F117" s="119"/>
      <c r="G117" s="119"/>
      <c r="H117" s="120"/>
      <c r="I117" s="119"/>
      <c r="J117" s="119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4"/>
      <c r="AD117" s="237"/>
    </row>
    <row r="118">
      <c r="F118" s="119"/>
      <c r="G118" s="119"/>
      <c r="H118" s="120"/>
      <c r="I118" s="119"/>
      <c r="J118" s="119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4"/>
      <c r="AD118" s="237"/>
    </row>
    <row r="119">
      <c r="F119" s="119"/>
      <c r="G119" s="119"/>
      <c r="H119" s="120"/>
      <c r="I119" s="119"/>
      <c r="J119" s="119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4"/>
      <c r="AD119" s="237"/>
    </row>
    <row r="120">
      <c r="F120" s="119"/>
      <c r="G120" s="119"/>
      <c r="H120" s="120"/>
      <c r="I120" s="119"/>
      <c r="J120" s="119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4"/>
      <c r="AD120" s="237"/>
    </row>
    <row r="121">
      <c r="F121" s="119"/>
      <c r="G121" s="119"/>
      <c r="H121" s="120"/>
      <c r="I121" s="119"/>
      <c r="J121" s="119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4"/>
      <c r="AD121" s="237"/>
    </row>
    <row r="122">
      <c r="F122" s="119"/>
      <c r="G122" s="119"/>
      <c r="H122" s="120"/>
      <c r="I122" s="119"/>
      <c r="J122" s="119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4"/>
      <c r="AD122" s="237"/>
    </row>
    <row r="123">
      <c r="F123" s="119"/>
      <c r="G123" s="119"/>
      <c r="H123" s="120"/>
      <c r="I123" s="119"/>
      <c r="J123" s="119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4"/>
      <c r="AD123" s="237"/>
    </row>
    <row r="124">
      <c r="F124" s="119"/>
      <c r="G124" s="119"/>
      <c r="H124" s="120"/>
      <c r="I124" s="119"/>
      <c r="J124" s="119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4"/>
      <c r="AD124" s="237"/>
    </row>
    <row r="125">
      <c r="F125" s="119"/>
      <c r="G125" s="119"/>
      <c r="H125" s="120"/>
      <c r="I125" s="119"/>
      <c r="J125" s="119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4"/>
      <c r="AD125" s="237"/>
    </row>
    <row r="126">
      <c r="F126" s="119"/>
      <c r="G126" s="119"/>
      <c r="H126" s="120"/>
      <c r="I126" s="119"/>
      <c r="J126" s="119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4"/>
      <c r="AD126" s="237"/>
    </row>
    <row r="127">
      <c r="F127" s="119"/>
      <c r="G127" s="119"/>
      <c r="H127" s="120"/>
      <c r="I127" s="119"/>
      <c r="J127" s="119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4"/>
      <c r="AD127" s="237"/>
    </row>
    <row r="128">
      <c r="F128" s="119"/>
      <c r="G128" s="119"/>
      <c r="H128" s="120"/>
      <c r="I128" s="119"/>
      <c r="J128" s="119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4"/>
      <c r="AD128" s="237"/>
    </row>
    <row r="129">
      <c r="F129" s="119"/>
      <c r="G129" s="119"/>
      <c r="H129" s="120"/>
      <c r="I129" s="119"/>
      <c r="J129" s="119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4"/>
      <c r="AD129" s="237"/>
    </row>
    <row r="130">
      <c r="F130" s="119"/>
      <c r="G130" s="119"/>
      <c r="H130" s="120"/>
      <c r="I130" s="119"/>
      <c r="J130" s="119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4"/>
      <c r="AD130" s="237"/>
    </row>
    <row r="131">
      <c r="F131" s="119"/>
      <c r="G131" s="119"/>
      <c r="H131" s="120"/>
      <c r="I131" s="119"/>
      <c r="J131" s="119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4"/>
      <c r="AD131" s="237"/>
    </row>
    <row r="132">
      <c r="F132" s="119"/>
      <c r="G132" s="119"/>
      <c r="H132" s="120"/>
      <c r="I132" s="119"/>
      <c r="J132" s="119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4"/>
      <c r="AD132" s="237"/>
    </row>
    <row r="133">
      <c r="F133" s="119"/>
      <c r="G133" s="119"/>
      <c r="H133" s="120"/>
      <c r="I133" s="119"/>
      <c r="J133" s="119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4"/>
      <c r="AD133" s="237"/>
    </row>
    <row r="134">
      <c r="F134" s="119"/>
      <c r="G134" s="119"/>
      <c r="H134" s="120"/>
      <c r="I134" s="119"/>
      <c r="J134" s="119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4"/>
      <c r="AD134" s="237"/>
    </row>
    <row r="135">
      <c r="F135" s="119"/>
      <c r="G135" s="119"/>
      <c r="H135" s="120"/>
      <c r="I135" s="119"/>
      <c r="J135" s="119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4"/>
      <c r="AD135" s="237"/>
    </row>
    <row r="136">
      <c r="F136" s="119"/>
      <c r="G136" s="119"/>
      <c r="H136" s="120"/>
      <c r="I136" s="119"/>
      <c r="J136" s="119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4"/>
      <c r="AD136" s="237"/>
    </row>
    <row r="137">
      <c r="F137" s="119"/>
      <c r="G137" s="119"/>
      <c r="H137" s="120"/>
      <c r="I137" s="119"/>
      <c r="J137" s="119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4"/>
      <c r="AD137" s="237"/>
    </row>
    <row r="138">
      <c r="F138" s="119"/>
      <c r="G138" s="119"/>
      <c r="H138" s="120"/>
      <c r="I138" s="119"/>
      <c r="J138" s="119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4"/>
      <c r="AD138" s="237"/>
    </row>
    <row r="139">
      <c r="F139" s="119"/>
      <c r="G139" s="119"/>
      <c r="H139" s="120"/>
      <c r="I139" s="119"/>
      <c r="J139" s="119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4"/>
      <c r="AD139" s="237"/>
    </row>
    <row r="140">
      <c r="F140" s="119"/>
      <c r="G140" s="119"/>
      <c r="H140" s="120"/>
      <c r="I140" s="119"/>
      <c r="J140" s="119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4"/>
      <c r="AD140" s="237"/>
    </row>
    <row r="141">
      <c r="F141" s="119"/>
      <c r="G141" s="119"/>
      <c r="H141" s="120"/>
      <c r="I141" s="119"/>
      <c r="J141" s="119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4"/>
      <c r="AD141" s="237"/>
    </row>
    <row r="142">
      <c r="F142" s="119"/>
      <c r="G142" s="119"/>
      <c r="H142" s="120"/>
      <c r="I142" s="119"/>
      <c r="J142" s="119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4"/>
      <c r="AD142" s="237"/>
    </row>
    <row r="143">
      <c r="F143" s="119"/>
      <c r="G143" s="119"/>
      <c r="H143" s="120"/>
      <c r="I143" s="119"/>
      <c r="J143" s="119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4"/>
      <c r="AD143" s="237"/>
    </row>
    <row r="144">
      <c r="F144" s="119"/>
      <c r="G144" s="119"/>
      <c r="H144" s="120"/>
      <c r="I144" s="119"/>
      <c r="J144" s="119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4"/>
      <c r="AD144" s="237"/>
    </row>
    <row r="145">
      <c r="F145" s="119"/>
      <c r="G145" s="119"/>
      <c r="H145" s="120"/>
      <c r="I145" s="119"/>
      <c r="J145" s="119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4"/>
      <c r="AD145" s="237"/>
    </row>
    <row r="146">
      <c r="F146" s="119"/>
      <c r="G146" s="119"/>
      <c r="H146" s="120"/>
      <c r="I146" s="119"/>
      <c r="J146" s="119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4"/>
      <c r="AD146" s="237"/>
    </row>
    <row r="147">
      <c r="F147" s="119"/>
      <c r="G147" s="119"/>
      <c r="H147" s="120"/>
      <c r="I147" s="119"/>
      <c r="J147" s="119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4"/>
      <c r="AD147" s="237"/>
    </row>
    <row r="148">
      <c r="F148" s="119"/>
      <c r="G148" s="119"/>
      <c r="H148" s="120"/>
      <c r="I148" s="119"/>
      <c r="J148" s="119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4"/>
      <c r="AD148" s="237"/>
    </row>
    <row r="149">
      <c r="F149" s="119"/>
      <c r="G149" s="119"/>
      <c r="H149" s="120"/>
      <c r="I149" s="119"/>
      <c r="J149" s="119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4"/>
      <c r="AD149" s="237"/>
    </row>
    <row r="150">
      <c r="F150" s="119"/>
      <c r="G150" s="119"/>
      <c r="H150" s="120"/>
      <c r="I150" s="119"/>
      <c r="J150" s="119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4"/>
      <c r="AD150" s="237"/>
    </row>
    <row r="151">
      <c r="F151" s="119"/>
      <c r="G151" s="119"/>
      <c r="H151" s="120"/>
      <c r="I151" s="119"/>
      <c r="J151" s="119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4"/>
      <c r="AD151" s="237"/>
    </row>
    <row r="152">
      <c r="F152" s="119"/>
      <c r="G152" s="119"/>
      <c r="H152" s="120"/>
      <c r="I152" s="119"/>
      <c r="J152" s="119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4"/>
      <c r="AD152" s="237"/>
    </row>
    <row r="153">
      <c r="F153" s="119"/>
      <c r="G153" s="119"/>
      <c r="H153" s="120"/>
      <c r="I153" s="119"/>
      <c r="J153" s="119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4"/>
      <c r="AD153" s="237"/>
    </row>
    <row r="154">
      <c r="F154" s="119"/>
      <c r="G154" s="119"/>
      <c r="H154" s="120"/>
      <c r="I154" s="119"/>
      <c r="J154" s="119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4"/>
      <c r="AD154" s="237"/>
    </row>
    <row r="155">
      <c r="F155" s="119"/>
      <c r="G155" s="119"/>
      <c r="H155" s="120"/>
      <c r="I155" s="119"/>
      <c r="J155" s="119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4"/>
      <c r="AD155" s="237"/>
    </row>
    <row r="156">
      <c r="F156" s="119"/>
      <c r="G156" s="119"/>
      <c r="H156" s="120"/>
      <c r="I156" s="119"/>
      <c r="J156" s="119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4"/>
      <c r="AD156" s="237"/>
    </row>
    <row r="157">
      <c r="F157" s="119"/>
      <c r="G157" s="119"/>
      <c r="H157" s="120"/>
      <c r="I157" s="119"/>
      <c r="J157" s="119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4"/>
      <c r="AD157" s="237"/>
    </row>
    <row r="158">
      <c r="F158" s="119"/>
      <c r="G158" s="119"/>
      <c r="H158" s="120"/>
      <c r="I158" s="119"/>
      <c r="J158" s="119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4"/>
      <c r="AD158" s="237"/>
    </row>
    <row r="159">
      <c r="F159" s="119"/>
      <c r="G159" s="119"/>
      <c r="H159" s="120"/>
      <c r="I159" s="119"/>
      <c r="J159" s="119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4"/>
      <c r="AD159" s="237"/>
    </row>
    <row r="160">
      <c r="F160" s="119"/>
      <c r="G160" s="119"/>
      <c r="H160" s="120"/>
      <c r="I160" s="119"/>
      <c r="J160" s="119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4"/>
      <c r="AD160" s="237"/>
    </row>
    <row r="161">
      <c r="F161" s="119"/>
      <c r="G161" s="119"/>
      <c r="H161" s="120"/>
      <c r="I161" s="119"/>
      <c r="J161" s="119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4"/>
      <c r="AD161" s="237"/>
    </row>
    <row r="162">
      <c r="F162" s="119"/>
      <c r="G162" s="119"/>
      <c r="H162" s="120"/>
      <c r="I162" s="119"/>
      <c r="J162" s="119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4"/>
      <c r="AD162" s="237"/>
    </row>
    <row r="163">
      <c r="F163" s="119"/>
      <c r="G163" s="119"/>
      <c r="H163" s="120"/>
      <c r="I163" s="119"/>
      <c r="J163" s="119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4"/>
      <c r="AD163" s="237"/>
    </row>
    <row r="164">
      <c r="F164" s="119"/>
      <c r="G164" s="119"/>
      <c r="H164" s="120"/>
      <c r="I164" s="119"/>
      <c r="J164" s="119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4"/>
      <c r="AD164" s="237"/>
    </row>
    <row r="165">
      <c r="F165" s="119"/>
      <c r="G165" s="119"/>
      <c r="H165" s="120"/>
      <c r="I165" s="119"/>
      <c r="J165" s="119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4"/>
      <c r="AD165" s="237"/>
    </row>
    <row r="166">
      <c r="F166" s="119"/>
      <c r="G166" s="119"/>
      <c r="H166" s="120"/>
      <c r="I166" s="119"/>
      <c r="J166" s="119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4"/>
      <c r="AD166" s="237"/>
    </row>
    <row r="167">
      <c r="F167" s="119"/>
      <c r="G167" s="119"/>
      <c r="H167" s="120"/>
      <c r="I167" s="119"/>
      <c r="J167" s="119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4"/>
      <c r="AD167" s="237"/>
    </row>
    <row r="168">
      <c r="F168" s="119"/>
      <c r="G168" s="119"/>
      <c r="H168" s="120"/>
      <c r="I168" s="119"/>
      <c r="J168" s="119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4"/>
      <c r="AD168" s="237"/>
    </row>
    <row r="169">
      <c r="F169" s="119"/>
      <c r="G169" s="119"/>
      <c r="H169" s="120"/>
      <c r="I169" s="119"/>
      <c r="J169" s="119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4"/>
      <c r="AD169" s="237"/>
    </row>
    <row r="170">
      <c r="F170" s="119"/>
      <c r="G170" s="119"/>
      <c r="H170" s="120"/>
      <c r="I170" s="119"/>
      <c r="J170" s="119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4"/>
      <c r="AD170" s="237"/>
    </row>
    <row r="171">
      <c r="F171" s="119"/>
      <c r="G171" s="119"/>
      <c r="H171" s="120"/>
      <c r="I171" s="119"/>
      <c r="J171" s="119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4"/>
      <c r="AD171" s="237"/>
    </row>
    <row r="172">
      <c r="F172" s="119"/>
      <c r="G172" s="119"/>
      <c r="H172" s="120"/>
      <c r="I172" s="119"/>
      <c r="J172" s="119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4"/>
      <c r="AD172" s="237"/>
    </row>
    <row r="173">
      <c r="F173" s="119"/>
      <c r="G173" s="119"/>
      <c r="H173" s="120"/>
      <c r="I173" s="119"/>
      <c r="J173" s="119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4"/>
      <c r="AD173" s="237"/>
    </row>
    <row r="174">
      <c r="F174" s="119"/>
      <c r="G174" s="119"/>
      <c r="H174" s="120"/>
      <c r="I174" s="119"/>
      <c r="J174" s="119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4"/>
      <c r="AD174" s="237"/>
    </row>
    <row r="175">
      <c r="F175" s="119"/>
      <c r="G175" s="119"/>
      <c r="H175" s="120"/>
      <c r="I175" s="119"/>
      <c r="J175" s="119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4"/>
      <c r="AD175" s="237"/>
    </row>
    <row r="176">
      <c r="F176" s="119"/>
      <c r="G176" s="119"/>
      <c r="H176" s="120"/>
      <c r="I176" s="119"/>
      <c r="J176" s="119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4"/>
      <c r="AD176" s="237"/>
    </row>
    <row r="177">
      <c r="F177" s="119"/>
      <c r="G177" s="119"/>
      <c r="H177" s="120"/>
      <c r="I177" s="119"/>
      <c r="J177" s="119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4"/>
      <c r="AD177" s="237"/>
    </row>
    <row r="178">
      <c r="F178" s="119"/>
      <c r="G178" s="119"/>
      <c r="H178" s="120"/>
      <c r="I178" s="119"/>
      <c r="J178" s="119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4"/>
      <c r="AD178" s="237"/>
    </row>
    <row r="179">
      <c r="F179" s="119"/>
      <c r="G179" s="119"/>
      <c r="H179" s="120"/>
      <c r="I179" s="119"/>
      <c r="J179" s="119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4"/>
      <c r="AD179" s="237"/>
    </row>
    <row r="180">
      <c r="F180" s="119"/>
      <c r="G180" s="119"/>
      <c r="H180" s="120"/>
      <c r="I180" s="119"/>
      <c r="J180" s="119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4"/>
      <c r="AD180" s="237"/>
    </row>
    <row r="181">
      <c r="F181" s="119"/>
      <c r="G181" s="119"/>
      <c r="H181" s="120"/>
      <c r="I181" s="119"/>
      <c r="J181" s="119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4"/>
      <c r="AD181" s="237"/>
    </row>
    <row r="182">
      <c r="F182" s="119"/>
      <c r="G182" s="119"/>
      <c r="H182" s="120"/>
      <c r="I182" s="119"/>
      <c r="J182" s="119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4"/>
      <c r="AD182" s="237"/>
    </row>
    <row r="183">
      <c r="F183" s="119"/>
      <c r="G183" s="119"/>
      <c r="H183" s="120"/>
      <c r="I183" s="119"/>
      <c r="J183" s="119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4"/>
      <c r="AD183" s="237"/>
    </row>
    <row r="184">
      <c r="F184" s="119"/>
      <c r="G184" s="119"/>
      <c r="H184" s="120"/>
      <c r="I184" s="119"/>
      <c r="J184" s="119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4"/>
      <c r="AD184" s="237"/>
    </row>
    <row r="185">
      <c r="F185" s="119"/>
      <c r="G185" s="119"/>
      <c r="H185" s="120"/>
      <c r="I185" s="119"/>
      <c r="J185" s="119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4"/>
      <c r="AD185" s="237"/>
    </row>
    <row r="186">
      <c r="F186" s="119"/>
      <c r="G186" s="119"/>
      <c r="H186" s="120"/>
      <c r="I186" s="119"/>
      <c r="J186" s="119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4"/>
      <c r="AD186" s="237"/>
    </row>
    <row r="187">
      <c r="F187" s="119"/>
      <c r="G187" s="119"/>
      <c r="H187" s="120"/>
      <c r="I187" s="119"/>
      <c r="J187" s="119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4"/>
      <c r="AD187" s="237"/>
    </row>
    <row r="188">
      <c r="F188" s="119"/>
      <c r="G188" s="119"/>
      <c r="H188" s="120"/>
      <c r="I188" s="119"/>
      <c r="J188" s="119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4"/>
      <c r="AD188" s="237"/>
    </row>
    <row r="189">
      <c r="F189" s="119"/>
      <c r="G189" s="119"/>
      <c r="H189" s="120"/>
      <c r="I189" s="119"/>
      <c r="J189" s="119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4"/>
      <c r="AD189" s="237"/>
    </row>
    <row r="190">
      <c r="F190" s="119"/>
      <c r="G190" s="119"/>
      <c r="H190" s="120"/>
      <c r="I190" s="119"/>
      <c r="J190" s="119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4"/>
      <c r="AD190" s="237"/>
    </row>
    <row r="191">
      <c r="F191" s="119"/>
      <c r="G191" s="119"/>
      <c r="H191" s="120"/>
      <c r="I191" s="119"/>
      <c r="J191" s="119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4"/>
      <c r="AD191" s="237"/>
    </row>
    <row r="192">
      <c r="F192" s="119"/>
      <c r="G192" s="119"/>
      <c r="H192" s="120"/>
      <c r="I192" s="119"/>
      <c r="J192" s="119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4"/>
      <c r="AD192" s="237"/>
    </row>
    <row r="193">
      <c r="F193" s="119"/>
      <c r="G193" s="119"/>
      <c r="H193" s="120"/>
      <c r="I193" s="119"/>
      <c r="J193" s="119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4"/>
      <c r="AD193" s="237"/>
    </row>
    <row r="194">
      <c r="F194" s="119"/>
      <c r="G194" s="119"/>
      <c r="H194" s="120"/>
      <c r="I194" s="119"/>
      <c r="J194" s="119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4"/>
      <c r="AD194" s="237"/>
    </row>
    <row r="195">
      <c r="F195" s="119"/>
      <c r="G195" s="119"/>
      <c r="H195" s="120"/>
      <c r="I195" s="119"/>
      <c r="J195" s="119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4"/>
      <c r="AD195" s="237"/>
    </row>
    <row r="196">
      <c r="F196" s="119"/>
      <c r="G196" s="119"/>
      <c r="H196" s="120"/>
      <c r="I196" s="119"/>
      <c r="J196" s="119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4"/>
      <c r="AD196" s="237"/>
    </row>
    <row r="197">
      <c r="F197" s="119"/>
      <c r="G197" s="119"/>
      <c r="H197" s="120"/>
      <c r="I197" s="119"/>
      <c r="J197" s="119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4"/>
      <c r="AD197" s="237"/>
    </row>
    <row r="198">
      <c r="F198" s="119"/>
      <c r="G198" s="119"/>
      <c r="H198" s="120"/>
      <c r="I198" s="119"/>
      <c r="J198" s="119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4"/>
      <c r="AD198" s="237"/>
    </row>
    <row r="199">
      <c r="F199" s="119"/>
      <c r="G199" s="119"/>
      <c r="H199" s="120"/>
      <c r="I199" s="119"/>
      <c r="J199" s="119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4"/>
      <c r="AD199" s="237"/>
    </row>
    <row r="200">
      <c r="F200" s="119"/>
      <c r="G200" s="119"/>
      <c r="H200" s="120"/>
      <c r="I200" s="119"/>
      <c r="J200" s="119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4"/>
      <c r="AD200" s="237"/>
    </row>
    <row r="201">
      <c r="F201" s="119"/>
      <c r="G201" s="119"/>
      <c r="H201" s="120"/>
      <c r="I201" s="119"/>
      <c r="J201" s="119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4"/>
      <c r="AD201" s="237"/>
    </row>
    <row r="202">
      <c r="F202" s="119"/>
      <c r="G202" s="119"/>
      <c r="H202" s="120"/>
      <c r="I202" s="119"/>
      <c r="J202" s="119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4"/>
      <c r="AD202" s="237"/>
    </row>
    <row r="203">
      <c r="F203" s="119"/>
      <c r="G203" s="119"/>
      <c r="H203" s="120"/>
      <c r="I203" s="119"/>
      <c r="J203" s="119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4"/>
      <c r="AD203" s="237"/>
    </row>
    <row r="204">
      <c r="F204" s="119"/>
      <c r="G204" s="119"/>
      <c r="H204" s="120"/>
      <c r="I204" s="119"/>
      <c r="J204" s="119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4"/>
      <c r="AD204" s="237"/>
    </row>
    <row r="205">
      <c r="F205" s="119"/>
      <c r="G205" s="119"/>
      <c r="H205" s="120"/>
      <c r="I205" s="119"/>
      <c r="J205" s="119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4"/>
      <c r="AD205" s="237"/>
    </row>
    <row r="206">
      <c r="F206" s="119"/>
      <c r="G206" s="119"/>
      <c r="H206" s="120"/>
      <c r="I206" s="119"/>
      <c r="J206" s="119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4"/>
      <c r="AD206" s="237"/>
    </row>
    <row r="207">
      <c r="F207" s="119"/>
      <c r="G207" s="119"/>
      <c r="H207" s="120"/>
      <c r="I207" s="119"/>
      <c r="J207" s="119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4"/>
      <c r="AD207" s="237"/>
    </row>
    <row r="208">
      <c r="F208" s="119"/>
      <c r="G208" s="119"/>
      <c r="H208" s="120"/>
      <c r="I208" s="119"/>
      <c r="J208" s="119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4"/>
      <c r="AD208" s="237"/>
    </row>
    <row r="209">
      <c r="F209" s="119"/>
      <c r="G209" s="119"/>
      <c r="H209" s="120"/>
      <c r="I209" s="119"/>
      <c r="J209" s="119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4"/>
      <c r="AD209" s="237"/>
    </row>
    <row r="210">
      <c r="F210" s="119"/>
      <c r="G210" s="119"/>
      <c r="H210" s="120"/>
      <c r="I210" s="119"/>
      <c r="J210" s="119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4"/>
      <c r="AD210" s="237"/>
    </row>
    <row r="211">
      <c r="F211" s="119"/>
      <c r="G211" s="119"/>
      <c r="H211" s="120"/>
      <c r="I211" s="119"/>
      <c r="J211" s="119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4"/>
      <c r="AD211" s="237"/>
    </row>
    <row r="212">
      <c r="F212" s="119"/>
      <c r="G212" s="119"/>
      <c r="H212" s="120"/>
      <c r="I212" s="119"/>
      <c r="J212" s="119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4"/>
      <c r="AD212" s="237"/>
    </row>
    <row r="213">
      <c r="F213" s="119"/>
      <c r="G213" s="119"/>
      <c r="H213" s="120"/>
      <c r="I213" s="119"/>
      <c r="J213" s="119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4"/>
      <c r="AD213" s="237"/>
    </row>
    <row r="214">
      <c r="F214" s="119"/>
      <c r="G214" s="119"/>
      <c r="H214" s="120"/>
      <c r="I214" s="119"/>
      <c r="J214" s="119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4"/>
      <c r="AD214" s="237"/>
    </row>
    <row r="215">
      <c r="F215" s="119"/>
      <c r="G215" s="119"/>
      <c r="H215" s="120"/>
      <c r="I215" s="119"/>
      <c r="J215" s="119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4"/>
      <c r="AD215" s="237"/>
    </row>
    <row r="216">
      <c r="F216" s="119"/>
      <c r="G216" s="119"/>
      <c r="H216" s="120"/>
      <c r="I216" s="119"/>
      <c r="J216" s="119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4"/>
      <c r="AD216" s="237"/>
    </row>
    <row r="217">
      <c r="F217" s="119"/>
      <c r="G217" s="119"/>
      <c r="H217" s="120"/>
      <c r="I217" s="119"/>
      <c r="J217" s="119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4"/>
      <c r="AD217" s="237"/>
    </row>
    <row r="218">
      <c r="F218" s="119"/>
      <c r="G218" s="119"/>
      <c r="H218" s="120"/>
      <c r="I218" s="119"/>
      <c r="J218" s="119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4"/>
      <c r="AD218" s="237"/>
    </row>
    <row r="219">
      <c r="F219" s="119"/>
      <c r="G219" s="119"/>
      <c r="H219" s="120"/>
      <c r="I219" s="119"/>
      <c r="J219" s="119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4"/>
      <c r="AD219" s="237"/>
    </row>
    <row r="220">
      <c r="F220" s="119"/>
      <c r="G220" s="119"/>
      <c r="H220" s="120"/>
      <c r="I220" s="119"/>
      <c r="J220" s="119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4"/>
      <c r="AD220" s="237"/>
    </row>
    <row r="221">
      <c r="F221" s="119"/>
      <c r="G221" s="119"/>
      <c r="H221" s="120"/>
      <c r="I221" s="119"/>
      <c r="J221" s="119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4"/>
      <c r="AD221" s="237"/>
    </row>
    <row r="222">
      <c r="F222" s="119"/>
      <c r="G222" s="119"/>
      <c r="H222" s="120"/>
      <c r="I222" s="119"/>
      <c r="J222" s="119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4"/>
      <c r="AD222" s="237"/>
    </row>
    <row r="223">
      <c r="F223" s="119"/>
      <c r="G223" s="119"/>
      <c r="H223" s="120"/>
      <c r="I223" s="119"/>
      <c r="J223" s="119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4"/>
      <c r="AD223" s="237"/>
    </row>
    <row r="224">
      <c r="F224" s="119"/>
      <c r="G224" s="119"/>
      <c r="H224" s="120"/>
      <c r="I224" s="119"/>
      <c r="J224" s="119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4"/>
      <c r="AD224" s="237"/>
    </row>
    <row r="225">
      <c r="F225" s="119"/>
      <c r="G225" s="119"/>
      <c r="H225" s="120"/>
      <c r="I225" s="119"/>
      <c r="J225" s="119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4"/>
      <c r="AD225" s="237"/>
    </row>
    <row r="226">
      <c r="F226" s="119"/>
      <c r="G226" s="119"/>
      <c r="H226" s="120"/>
      <c r="I226" s="119"/>
      <c r="J226" s="119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4"/>
      <c r="AD226" s="237"/>
    </row>
    <row r="227">
      <c r="F227" s="119"/>
      <c r="G227" s="119"/>
      <c r="H227" s="120"/>
      <c r="I227" s="119"/>
      <c r="J227" s="119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4"/>
      <c r="AD227" s="237"/>
    </row>
    <row r="228">
      <c r="F228" s="119"/>
      <c r="G228" s="119"/>
      <c r="H228" s="120"/>
      <c r="I228" s="119"/>
      <c r="J228" s="119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4"/>
      <c r="AD228" s="237"/>
    </row>
    <row r="229">
      <c r="F229" s="119"/>
      <c r="G229" s="119"/>
      <c r="H229" s="120"/>
      <c r="I229" s="119"/>
      <c r="J229" s="119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4"/>
      <c r="AD229" s="237"/>
    </row>
    <row r="230">
      <c r="F230" s="119"/>
      <c r="G230" s="119"/>
      <c r="H230" s="120"/>
      <c r="I230" s="119"/>
      <c r="J230" s="119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4"/>
      <c r="AD230" s="237"/>
    </row>
    <row r="231">
      <c r="F231" s="119"/>
      <c r="G231" s="119"/>
      <c r="H231" s="120"/>
      <c r="I231" s="119"/>
      <c r="J231" s="119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4"/>
      <c r="AD231" s="237"/>
    </row>
    <row r="232">
      <c r="F232" s="119"/>
      <c r="G232" s="119"/>
      <c r="H232" s="120"/>
      <c r="I232" s="119"/>
      <c r="J232" s="119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4"/>
      <c r="AD232" s="237"/>
    </row>
    <row r="233">
      <c r="F233" s="119"/>
      <c r="G233" s="119"/>
      <c r="H233" s="120"/>
      <c r="I233" s="119"/>
      <c r="J233" s="119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4"/>
      <c r="AD233" s="237"/>
    </row>
    <row r="234">
      <c r="F234" s="119"/>
      <c r="G234" s="119"/>
      <c r="H234" s="120"/>
      <c r="I234" s="119"/>
      <c r="J234" s="119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4"/>
      <c r="AD234" s="237"/>
    </row>
    <row r="235">
      <c r="F235" s="119"/>
      <c r="G235" s="119"/>
      <c r="H235" s="120"/>
      <c r="I235" s="119"/>
      <c r="J235" s="119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4"/>
      <c r="AD235" s="237"/>
    </row>
    <row r="236">
      <c r="F236" s="119"/>
      <c r="G236" s="119"/>
      <c r="H236" s="120"/>
      <c r="I236" s="119"/>
      <c r="J236" s="119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4"/>
      <c r="AD236" s="237"/>
    </row>
    <row r="237">
      <c r="F237" s="119"/>
      <c r="G237" s="119"/>
      <c r="H237" s="120"/>
      <c r="I237" s="119"/>
      <c r="J237" s="119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4"/>
      <c r="AD237" s="237"/>
    </row>
    <row r="238">
      <c r="F238" s="119"/>
      <c r="G238" s="119"/>
      <c r="H238" s="120"/>
      <c r="I238" s="119"/>
      <c r="J238" s="119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4"/>
      <c r="AD238" s="237"/>
    </row>
    <row r="239">
      <c r="F239" s="119"/>
      <c r="G239" s="119"/>
      <c r="H239" s="120"/>
      <c r="I239" s="119"/>
      <c r="J239" s="119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4"/>
      <c r="AD239" s="237"/>
    </row>
    <row r="240">
      <c r="F240" s="119"/>
      <c r="G240" s="119"/>
      <c r="H240" s="120"/>
      <c r="I240" s="119"/>
      <c r="J240" s="119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4"/>
      <c r="AD240" s="237"/>
    </row>
    <row r="241">
      <c r="F241" s="119"/>
      <c r="G241" s="119"/>
      <c r="H241" s="120"/>
      <c r="I241" s="119"/>
      <c r="J241" s="119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4"/>
      <c r="AD241" s="237"/>
    </row>
    <row r="242">
      <c r="F242" s="119"/>
      <c r="G242" s="119"/>
      <c r="H242" s="120"/>
      <c r="I242" s="119"/>
      <c r="J242" s="119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4"/>
      <c r="AD242" s="237"/>
    </row>
    <row r="243">
      <c r="F243" s="119"/>
      <c r="G243" s="119"/>
      <c r="H243" s="120"/>
      <c r="I243" s="119"/>
      <c r="J243" s="119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4"/>
      <c r="AD243" s="237"/>
    </row>
    <row r="244">
      <c r="F244" s="119"/>
      <c r="G244" s="119"/>
      <c r="H244" s="120"/>
      <c r="I244" s="119"/>
      <c r="J244" s="119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4"/>
      <c r="AD244" s="237"/>
    </row>
    <row r="245">
      <c r="F245" s="119"/>
      <c r="G245" s="119"/>
      <c r="H245" s="120"/>
      <c r="I245" s="119"/>
      <c r="J245" s="119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4"/>
      <c r="AD245" s="237"/>
    </row>
    <row r="246">
      <c r="F246" s="119"/>
      <c r="G246" s="119"/>
      <c r="H246" s="120"/>
      <c r="I246" s="119"/>
      <c r="J246" s="119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4"/>
      <c r="AD246" s="237"/>
    </row>
    <row r="247">
      <c r="F247" s="119"/>
      <c r="G247" s="119"/>
      <c r="H247" s="120"/>
      <c r="I247" s="119"/>
      <c r="J247" s="119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4"/>
      <c r="AD247" s="237"/>
    </row>
    <row r="248">
      <c r="F248" s="119"/>
      <c r="G248" s="119"/>
      <c r="H248" s="120"/>
      <c r="I248" s="119"/>
      <c r="J248" s="119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4"/>
      <c r="AD248" s="237"/>
    </row>
    <row r="249">
      <c r="F249" s="119"/>
      <c r="G249" s="119"/>
      <c r="H249" s="120"/>
      <c r="I249" s="119"/>
      <c r="J249" s="119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4"/>
      <c r="AD249" s="237"/>
    </row>
    <row r="250">
      <c r="F250" s="119"/>
      <c r="G250" s="119"/>
      <c r="H250" s="120"/>
      <c r="I250" s="119"/>
      <c r="J250" s="119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4"/>
      <c r="AD250" s="237"/>
    </row>
    <row r="251">
      <c r="F251" s="119"/>
      <c r="G251" s="119"/>
      <c r="H251" s="120"/>
      <c r="I251" s="119"/>
      <c r="J251" s="119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4"/>
      <c r="AD251" s="237"/>
    </row>
    <row r="252">
      <c r="F252" s="119"/>
      <c r="G252" s="119"/>
      <c r="H252" s="120"/>
      <c r="I252" s="119"/>
      <c r="J252" s="119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4"/>
      <c r="AD252" s="237"/>
    </row>
    <row r="253">
      <c r="F253" s="119"/>
      <c r="G253" s="119"/>
      <c r="H253" s="120"/>
      <c r="I253" s="119"/>
      <c r="J253" s="119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4"/>
      <c r="AD253" s="237"/>
    </row>
    <row r="254">
      <c r="F254" s="119"/>
      <c r="G254" s="119"/>
      <c r="H254" s="120"/>
      <c r="I254" s="119"/>
      <c r="J254" s="119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4"/>
      <c r="AD254" s="237"/>
    </row>
    <row r="255">
      <c r="F255" s="119"/>
      <c r="G255" s="119"/>
      <c r="H255" s="120"/>
      <c r="I255" s="119"/>
      <c r="J255" s="119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4"/>
      <c r="AD255" s="237"/>
    </row>
    <row r="256">
      <c r="F256" s="119"/>
      <c r="G256" s="119"/>
      <c r="H256" s="120"/>
      <c r="I256" s="119"/>
      <c r="J256" s="119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4"/>
      <c r="AD256" s="237"/>
    </row>
    <row r="257">
      <c r="F257" s="119"/>
      <c r="G257" s="119"/>
      <c r="H257" s="120"/>
      <c r="I257" s="119"/>
      <c r="J257" s="119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4"/>
      <c r="AD257" s="237"/>
    </row>
    <row r="258">
      <c r="F258" s="119"/>
      <c r="G258" s="119"/>
      <c r="H258" s="120"/>
      <c r="I258" s="119"/>
      <c r="J258" s="119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4"/>
      <c r="AD258" s="237"/>
    </row>
    <row r="259">
      <c r="F259" s="119"/>
      <c r="G259" s="119"/>
      <c r="H259" s="120"/>
      <c r="I259" s="119"/>
      <c r="J259" s="119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4"/>
      <c r="AD259" s="237"/>
    </row>
    <row r="260">
      <c r="F260" s="119"/>
      <c r="G260" s="119"/>
      <c r="H260" s="120"/>
      <c r="I260" s="119"/>
      <c r="J260" s="119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4"/>
      <c r="AD260" s="237"/>
    </row>
    <row r="261">
      <c r="F261" s="119"/>
      <c r="G261" s="119"/>
      <c r="H261" s="120"/>
      <c r="I261" s="119"/>
      <c r="J261" s="119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4"/>
      <c r="AD261" s="237"/>
    </row>
    <row r="262">
      <c r="F262" s="119"/>
      <c r="G262" s="119"/>
      <c r="H262" s="120"/>
      <c r="I262" s="119"/>
      <c r="J262" s="119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4"/>
      <c r="AD262" s="237"/>
    </row>
    <row r="263">
      <c r="F263" s="119"/>
      <c r="G263" s="119"/>
      <c r="H263" s="120"/>
      <c r="I263" s="119"/>
      <c r="J263" s="119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4"/>
      <c r="AD263" s="237"/>
    </row>
    <row r="264">
      <c r="F264" s="119"/>
      <c r="G264" s="119"/>
      <c r="H264" s="120"/>
      <c r="I264" s="119"/>
      <c r="J264" s="119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4"/>
      <c r="AD264" s="237"/>
    </row>
    <row r="265">
      <c r="F265" s="119"/>
      <c r="G265" s="119"/>
      <c r="H265" s="120"/>
      <c r="I265" s="119"/>
      <c r="J265" s="119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4"/>
      <c r="AD265" s="237"/>
    </row>
    <row r="266">
      <c r="F266" s="119"/>
      <c r="G266" s="119"/>
      <c r="H266" s="120"/>
      <c r="I266" s="119"/>
      <c r="J266" s="119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4"/>
      <c r="AD266" s="237"/>
    </row>
    <row r="267">
      <c r="F267" s="119"/>
      <c r="G267" s="119"/>
      <c r="H267" s="120"/>
      <c r="I267" s="119"/>
      <c r="J267" s="119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4"/>
      <c r="AD267" s="237"/>
    </row>
    <row r="268">
      <c r="F268" s="119"/>
      <c r="G268" s="119"/>
      <c r="H268" s="120"/>
      <c r="I268" s="119"/>
      <c r="J268" s="119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4"/>
      <c r="AD268" s="237"/>
    </row>
    <row r="269">
      <c r="F269" s="119"/>
      <c r="G269" s="119"/>
      <c r="H269" s="120"/>
      <c r="I269" s="119"/>
      <c r="J269" s="119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4"/>
      <c r="AD269" s="237"/>
    </row>
    <row r="270">
      <c r="F270" s="119"/>
      <c r="G270" s="119"/>
      <c r="H270" s="120"/>
      <c r="I270" s="119"/>
      <c r="J270" s="119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4"/>
      <c r="AD270" s="237"/>
    </row>
    <row r="271">
      <c r="F271" s="119"/>
      <c r="G271" s="119"/>
      <c r="H271" s="120"/>
      <c r="I271" s="119"/>
      <c r="J271" s="119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4"/>
      <c r="AD271" s="237"/>
    </row>
    <row r="272">
      <c r="F272" s="119"/>
      <c r="G272" s="119"/>
      <c r="H272" s="120"/>
      <c r="I272" s="119"/>
      <c r="J272" s="119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4"/>
      <c r="AD272" s="237"/>
    </row>
    <row r="273">
      <c r="F273" s="119"/>
      <c r="G273" s="119"/>
      <c r="H273" s="120"/>
      <c r="I273" s="119"/>
      <c r="J273" s="119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4"/>
      <c r="AD273" s="237"/>
    </row>
    <row r="274">
      <c r="F274" s="119"/>
      <c r="G274" s="119"/>
      <c r="H274" s="120"/>
      <c r="I274" s="119"/>
      <c r="J274" s="119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4"/>
      <c r="AD274" s="237"/>
    </row>
    <row r="275">
      <c r="F275" s="119"/>
      <c r="G275" s="119"/>
      <c r="H275" s="120"/>
      <c r="I275" s="119"/>
      <c r="J275" s="119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4"/>
      <c r="AD275" s="237"/>
    </row>
    <row r="276">
      <c r="F276" s="119"/>
      <c r="G276" s="119"/>
      <c r="H276" s="120"/>
      <c r="I276" s="119"/>
      <c r="J276" s="119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4"/>
      <c r="AD276" s="237"/>
    </row>
    <row r="277">
      <c r="F277" s="119"/>
      <c r="G277" s="119"/>
      <c r="H277" s="120"/>
      <c r="I277" s="119"/>
      <c r="J277" s="119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4"/>
      <c r="AD277" s="237"/>
    </row>
    <row r="278">
      <c r="F278" s="119"/>
      <c r="G278" s="119"/>
      <c r="H278" s="120"/>
      <c r="I278" s="119"/>
      <c r="J278" s="119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4"/>
      <c r="AD278" s="237"/>
    </row>
    <row r="279">
      <c r="F279" s="119"/>
      <c r="G279" s="119"/>
      <c r="H279" s="120"/>
      <c r="I279" s="119"/>
      <c r="J279" s="119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4"/>
      <c r="AD279" s="237"/>
    </row>
    <row r="280">
      <c r="F280" s="119"/>
      <c r="G280" s="119"/>
      <c r="H280" s="120"/>
      <c r="I280" s="119"/>
      <c r="J280" s="119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4"/>
      <c r="AD280" s="237"/>
    </row>
    <row r="281">
      <c r="F281" s="119"/>
      <c r="G281" s="119"/>
      <c r="H281" s="120"/>
      <c r="I281" s="119"/>
      <c r="J281" s="119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4"/>
      <c r="AD281" s="237"/>
    </row>
    <row r="282">
      <c r="F282" s="119"/>
      <c r="G282" s="119"/>
      <c r="H282" s="120"/>
      <c r="I282" s="119"/>
      <c r="J282" s="119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4"/>
      <c r="AD282" s="237"/>
    </row>
    <row r="283">
      <c r="F283" s="119"/>
      <c r="G283" s="119"/>
      <c r="H283" s="120"/>
      <c r="I283" s="119"/>
      <c r="J283" s="119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4"/>
      <c r="AD283" s="237"/>
    </row>
    <row r="284">
      <c r="F284" s="119"/>
      <c r="G284" s="119"/>
      <c r="H284" s="120"/>
      <c r="I284" s="119"/>
      <c r="J284" s="119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4"/>
      <c r="AD284" s="237"/>
    </row>
    <row r="285">
      <c r="F285" s="119"/>
      <c r="G285" s="119"/>
      <c r="H285" s="120"/>
      <c r="I285" s="119"/>
      <c r="J285" s="119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4"/>
      <c r="AD285" s="237"/>
    </row>
    <row r="286">
      <c r="F286" s="119"/>
      <c r="G286" s="119"/>
      <c r="H286" s="120"/>
      <c r="I286" s="119"/>
      <c r="J286" s="119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4"/>
      <c r="AD286" s="237"/>
    </row>
    <row r="287">
      <c r="F287" s="119"/>
      <c r="G287" s="119"/>
      <c r="H287" s="120"/>
      <c r="I287" s="119"/>
      <c r="J287" s="119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4"/>
      <c r="AD287" s="237"/>
    </row>
    <row r="288">
      <c r="F288" s="119"/>
      <c r="G288" s="119"/>
      <c r="H288" s="120"/>
      <c r="I288" s="119"/>
      <c r="J288" s="119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4"/>
      <c r="AD288" s="237"/>
    </row>
    <row r="289">
      <c r="F289" s="119"/>
      <c r="G289" s="119"/>
      <c r="H289" s="120"/>
      <c r="I289" s="119"/>
      <c r="J289" s="119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4"/>
      <c r="AD289" s="237"/>
    </row>
    <row r="290">
      <c r="F290" s="119"/>
      <c r="G290" s="119"/>
      <c r="H290" s="120"/>
      <c r="I290" s="119"/>
      <c r="J290" s="119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4"/>
      <c r="AD290" s="237"/>
    </row>
    <row r="291">
      <c r="F291" s="119"/>
      <c r="G291" s="119"/>
      <c r="H291" s="120"/>
      <c r="I291" s="119"/>
      <c r="J291" s="119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4"/>
      <c r="AD291" s="237"/>
    </row>
    <row r="292">
      <c r="F292" s="119"/>
      <c r="G292" s="119"/>
      <c r="H292" s="120"/>
      <c r="I292" s="119"/>
      <c r="J292" s="119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4"/>
      <c r="AD292" s="237"/>
    </row>
    <row r="293">
      <c r="F293" s="119"/>
      <c r="G293" s="119"/>
      <c r="H293" s="120"/>
      <c r="I293" s="119"/>
      <c r="J293" s="119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4"/>
      <c r="AD293" s="237"/>
    </row>
    <row r="294">
      <c r="F294" s="119"/>
      <c r="G294" s="119"/>
      <c r="H294" s="120"/>
      <c r="I294" s="119"/>
      <c r="J294" s="119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4"/>
      <c r="AD294" s="237"/>
    </row>
    <row r="295">
      <c r="F295" s="119"/>
      <c r="G295" s="119"/>
      <c r="H295" s="120"/>
      <c r="I295" s="119"/>
      <c r="J295" s="119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4"/>
      <c r="AD295" s="237"/>
    </row>
    <row r="296">
      <c r="F296" s="119"/>
      <c r="G296" s="119"/>
      <c r="H296" s="120"/>
      <c r="I296" s="119"/>
      <c r="J296" s="119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4"/>
      <c r="AD296" s="237"/>
    </row>
    <row r="297">
      <c r="F297" s="119"/>
      <c r="G297" s="119"/>
      <c r="H297" s="120"/>
      <c r="I297" s="119"/>
      <c r="J297" s="119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4"/>
      <c r="AD297" s="237"/>
    </row>
    <row r="298">
      <c r="F298" s="119"/>
      <c r="G298" s="119"/>
      <c r="H298" s="120"/>
      <c r="I298" s="119"/>
      <c r="J298" s="119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4"/>
      <c r="AD298" s="237"/>
    </row>
    <row r="299">
      <c r="F299" s="119"/>
      <c r="G299" s="119"/>
      <c r="H299" s="120"/>
      <c r="I299" s="119"/>
      <c r="J299" s="119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4"/>
      <c r="AD299" s="237"/>
    </row>
    <row r="300">
      <c r="F300" s="119"/>
      <c r="G300" s="119"/>
      <c r="H300" s="120"/>
      <c r="I300" s="119"/>
      <c r="J300" s="119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4"/>
      <c r="AD300" s="237"/>
    </row>
    <row r="301">
      <c r="F301" s="119"/>
      <c r="G301" s="119"/>
      <c r="H301" s="120"/>
      <c r="I301" s="119"/>
      <c r="J301" s="119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4"/>
      <c r="AD301" s="237"/>
    </row>
    <row r="302">
      <c r="F302" s="119"/>
      <c r="G302" s="119"/>
      <c r="H302" s="120"/>
      <c r="I302" s="119"/>
      <c r="J302" s="119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4"/>
      <c r="AD302" s="237"/>
    </row>
    <row r="303">
      <c r="F303" s="119"/>
      <c r="G303" s="119"/>
      <c r="H303" s="120"/>
      <c r="I303" s="119"/>
      <c r="J303" s="119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4"/>
      <c r="AD303" s="237"/>
    </row>
    <row r="304">
      <c r="F304" s="119"/>
      <c r="G304" s="119"/>
      <c r="H304" s="120"/>
      <c r="I304" s="119"/>
      <c r="J304" s="119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4"/>
      <c r="AD304" s="237"/>
    </row>
    <row r="305">
      <c r="F305" s="119"/>
      <c r="G305" s="119"/>
      <c r="H305" s="120"/>
      <c r="I305" s="119"/>
      <c r="J305" s="119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4"/>
      <c r="AD305" s="237"/>
    </row>
    <row r="306">
      <c r="F306" s="119"/>
      <c r="G306" s="119"/>
      <c r="H306" s="120"/>
      <c r="I306" s="119"/>
      <c r="J306" s="119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4"/>
      <c r="AD306" s="237"/>
    </row>
    <row r="307">
      <c r="F307" s="119"/>
      <c r="G307" s="119"/>
      <c r="H307" s="120"/>
      <c r="I307" s="119"/>
      <c r="J307" s="119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4"/>
      <c r="AD307" s="237"/>
    </row>
    <row r="308">
      <c r="F308" s="119"/>
      <c r="G308" s="119"/>
      <c r="H308" s="120"/>
      <c r="I308" s="119"/>
      <c r="J308" s="119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4"/>
      <c r="AD308" s="237"/>
    </row>
    <row r="309">
      <c r="F309" s="119"/>
      <c r="G309" s="119"/>
      <c r="H309" s="120"/>
      <c r="I309" s="119"/>
      <c r="J309" s="119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4"/>
      <c r="AD309" s="237"/>
    </row>
    <row r="310">
      <c r="F310" s="119"/>
      <c r="G310" s="119"/>
      <c r="H310" s="120"/>
      <c r="I310" s="119"/>
      <c r="J310" s="119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4"/>
      <c r="AD310" s="237"/>
    </row>
    <row r="311">
      <c r="F311" s="119"/>
      <c r="G311" s="119"/>
      <c r="H311" s="120"/>
      <c r="I311" s="119"/>
      <c r="J311" s="119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4"/>
      <c r="AD311" s="237"/>
    </row>
    <row r="312">
      <c r="F312" s="119"/>
      <c r="G312" s="119"/>
      <c r="H312" s="120"/>
      <c r="I312" s="119"/>
      <c r="J312" s="119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4"/>
      <c r="AD312" s="237"/>
    </row>
    <row r="313">
      <c r="F313" s="119"/>
      <c r="G313" s="119"/>
      <c r="H313" s="120"/>
      <c r="I313" s="119"/>
      <c r="J313" s="119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4"/>
      <c r="AD313" s="237"/>
    </row>
    <row r="314">
      <c r="F314" s="119"/>
      <c r="G314" s="119"/>
      <c r="H314" s="120"/>
      <c r="I314" s="119"/>
      <c r="J314" s="119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4"/>
      <c r="AD314" s="237"/>
    </row>
    <row r="315">
      <c r="F315" s="119"/>
      <c r="G315" s="119"/>
      <c r="H315" s="120"/>
      <c r="I315" s="119"/>
      <c r="J315" s="119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4"/>
      <c r="AD315" s="237"/>
    </row>
    <row r="316">
      <c r="F316" s="119"/>
      <c r="G316" s="119"/>
      <c r="H316" s="120"/>
      <c r="I316" s="119"/>
      <c r="J316" s="119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4"/>
      <c r="AD316" s="237"/>
    </row>
    <row r="317">
      <c r="F317" s="119"/>
      <c r="G317" s="119"/>
      <c r="H317" s="120"/>
      <c r="I317" s="119"/>
      <c r="J317" s="119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4"/>
      <c r="AD317" s="237"/>
    </row>
    <row r="318">
      <c r="F318" s="119"/>
      <c r="G318" s="119"/>
      <c r="H318" s="120"/>
      <c r="I318" s="119"/>
      <c r="J318" s="119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4"/>
      <c r="AD318" s="237"/>
    </row>
    <row r="319">
      <c r="F319" s="119"/>
      <c r="G319" s="119"/>
      <c r="H319" s="120"/>
      <c r="I319" s="119"/>
      <c r="J319" s="119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4"/>
      <c r="AD319" s="237"/>
    </row>
    <row r="320">
      <c r="F320" s="119"/>
      <c r="G320" s="119"/>
      <c r="H320" s="120"/>
      <c r="I320" s="119"/>
      <c r="J320" s="119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4"/>
      <c r="AD320" s="237"/>
    </row>
    <row r="321">
      <c r="F321" s="119"/>
      <c r="G321" s="119"/>
      <c r="H321" s="120"/>
      <c r="I321" s="119"/>
      <c r="J321" s="119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4"/>
      <c r="AD321" s="237"/>
    </row>
    <row r="322">
      <c r="F322" s="119"/>
      <c r="G322" s="119"/>
      <c r="H322" s="120"/>
      <c r="I322" s="119"/>
      <c r="J322" s="119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4"/>
      <c r="AD322" s="237"/>
    </row>
    <row r="323">
      <c r="F323" s="119"/>
      <c r="G323" s="119"/>
      <c r="H323" s="120"/>
      <c r="I323" s="119"/>
      <c r="J323" s="119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4"/>
      <c r="AD323" s="237"/>
    </row>
    <row r="324">
      <c r="F324" s="119"/>
      <c r="G324" s="119"/>
      <c r="H324" s="120"/>
      <c r="I324" s="119"/>
      <c r="J324" s="119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4"/>
      <c r="AD324" s="237"/>
    </row>
    <row r="325">
      <c r="F325" s="119"/>
      <c r="G325" s="119"/>
      <c r="H325" s="120"/>
      <c r="I325" s="119"/>
      <c r="J325" s="119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4"/>
      <c r="AD325" s="237"/>
    </row>
    <row r="326">
      <c r="F326" s="119"/>
      <c r="G326" s="119"/>
      <c r="H326" s="120"/>
      <c r="I326" s="119"/>
      <c r="J326" s="119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4"/>
      <c r="AD326" s="237"/>
    </row>
    <row r="327">
      <c r="F327" s="119"/>
      <c r="G327" s="119"/>
      <c r="H327" s="120"/>
      <c r="I327" s="119"/>
      <c r="J327" s="119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4"/>
      <c r="AD327" s="237"/>
    </row>
    <row r="328">
      <c r="F328" s="119"/>
      <c r="G328" s="119"/>
      <c r="H328" s="120"/>
      <c r="I328" s="119"/>
      <c r="J328" s="119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4"/>
      <c r="AD328" s="237"/>
    </row>
    <row r="329">
      <c r="F329" s="119"/>
      <c r="G329" s="119"/>
      <c r="H329" s="120"/>
      <c r="I329" s="119"/>
      <c r="J329" s="119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4"/>
      <c r="AD329" s="237"/>
    </row>
    <row r="330">
      <c r="F330" s="119"/>
      <c r="G330" s="119"/>
      <c r="H330" s="120"/>
      <c r="I330" s="119"/>
      <c r="J330" s="119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4"/>
      <c r="AD330" s="237"/>
    </row>
    <row r="331">
      <c r="F331" s="119"/>
      <c r="G331" s="119"/>
      <c r="H331" s="120"/>
      <c r="I331" s="119"/>
      <c r="J331" s="119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4"/>
      <c r="AD331" s="237"/>
    </row>
    <row r="332">
      <c r="F332" s="119"/>
      <c r="G332" s="119"/>
      <c r="H332" s="120"/>
      <c r="I332" s="119"/>
      <c r="J332" s="119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4"/>
      <c r="AD332" s="237"/>
    </row>
    <row r="333">
      <c r="F333" s="119"/>
      <c r="G333" s="119"/>
      <c r="H333" s="120"/>
      <c r="I333" s="119"/>
      <c r="J333" s="119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4"/>
      <c r="AD333" s="237"/>
    </row>
    <row r="334">
      <c r="F334" s="119"/>
      <c r="G334" s="119"/>
      <c r="H334" s="120"/>
      <c r="I334" s="119"/>
      <c r="J334" s="119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4"/>
      <c r="AD334" s="237"/>
    </row>
    <row r="335">
      <c r="F335" s="119"/>
      <c r="G335" s="119"/>
      <c r="H335" s="120"/>
      <c r="I335" s="119"/>
      <c r="J335" s="119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4"/>
      <c r="AD335" s="237"/>
    </row>
    <row r="336">
      <c r="F336" s="119"/>
      <c r="G336" s="119"/>
      <c r="H336" s="120"/>
      <c r="I336" s="119"/>
      <c r="J336" s="119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4"/>
      <c r="AD336" s="237"/>
    </row>
    <row r="337">
      <c r="F337" s="119"/>
      <c r="G337" s="119"/>
      <c r="H337" s="120"/>
      <c r="I337" s="119"/>
      <c r="J337" s="119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4"/>
      <c r="AD337" s="237"/>
    </row>
    <row r="338">
      <c r="F338" s="119"/>
      <c r="G338" s="119"/>
      <c r="H338" s="120"/>
      <c r="I338" s="119"/>
      <c r="J338" s="119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4"/>
      <c r="AD338" s="237"/>
    </row>
    <row r="339">
      <c r="F339" s="119"/>
      <c r="G339" s="119"/>
      <c r="H339" s="120"/>
      <c r="I339" s="119"/>
      <c r="J339" s="119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4"/>
      <c r="AD339" s="237"/>
    </row>
    <row r="340">
      <c r="F340" s="119"/>
      <c r="G340" s="119"/>
      <c r="H340" s="120"/>
      <c r="I340" s="119"/>
      <c r="J340" s="119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4"/>
      <c r="AD340" s="237"/>
    </row>
    <row r="341">
      <c r="F341" s="119"/>
      <c r="G341" s="119"/>
      <c r="H341" s="120"/>
      <c r="I341" s="119"/>
      <c r="J341" s="119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4"/>
      <c r="AD341" s="237"/>
    </row>
    <row r="342">
      <c r="F342" s="119"/>
      <c r="G342" s="119"/>
      <c r="H342" s="120"/>
      <c r="I342" s="119"/>
      <c r="J342" s="119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4"/>
      <c r="AD342" s="237"/>
    </row>
    <row r="343">
      <c r="F343" s="119"/>
      <c r="G343" s="119"/>
      <c r="H343" s="120"/>
      <c r="I343" s="119"/>
      <c r="J343" s="119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4"/>
      <c r="AD343" s="237"/>
    </row>
    <row r="344">
      <c r="F344" s="119"/>
      <c r="G344" s="119"/>
      <c r="H344" s="120"/>
      <c r="I344" s="119"/>
      <c r="J344" s="119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4"/>
      <c r="AD344" s="237"/>
    </row>
    <row r="345">
      <c r="F345" s="119"/>
      <c r="G345" s="119"/>
      <c r="H345" s="120"/>
      <c r="I345" s="119"/>
      <c r="J345" s="119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4"/>
      <c r="AD345" s="237"/>
    </row>
    <row r="346">
      <c r="F346" s="119"/>
      <c r="G346" s="119"/>
      <c r="H346" s="120"/>
      <c r="I346" s="119"/>
      <c r="J346" s="119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4"/>
      <c r="AD346" s="237"/>
    </row>
    <row r="347">
      <c r="F347" s="119"/>
      <c r="G347" s="119"/>
      <c r="H347" s="120"/>
      <c r="I347" s="119"/>
      <c r="J347" s="119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4"/>
      <c r="AD347" s="237"/>
    </row>
    <row r="348">
      <c r="F348" s="119"/>
      <c r="G348" s="119"/>
      <c r="H348" s="120"/>
      <c r="I348" s="119"/>
      <c r="J348" s="119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4"/>
      <c r="AD348" s="237"/>
    </row>
    <row r="349">
      <c r="F349" s="119"/>
      <c r="G349" s="119"/>
      <c r="H349" s="120"/>
      <c r="I349" s="119"/>
      <c r="J349" s="119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4"/>
      <c r="AD349" s="237"/>
    </row>
    <row r="350">
      <c r="F350" s="119"/>
      <c r="G350" s="119"/>
      <c r="H350" s="120"/>
      <c r="I350" s="119"/>
      <c r="J350" s="119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4"/>
      <c r="AD350" s="237"/>
    </row>
    <row r="351">
      <c r="F351" s="119"/>
      <c r="G351" s="119"/>
      <c r="H351" s="120"/>
      <c r="I351" s="119"/>
      <c r="J351" s="119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4"/>
      <c r="AD351" s="237"/>
    </row>
    <row r="352">
      <c r="F352" s="119"/>
      <c r="G352" s="119"/>
      <c r="H352" s="120"/>
      <c r="I352" s="119"/>
      <c r="J352" s="119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4"/>
      <c r="AD352" s="237"/>
    </row>
    <row r="353">
      <c r="F353" s="119"/>
      <c r="G353" s="119"/>
      <c r="H353" s="120"/>
      <c r="I353" s="119"/>
      <c r="J353" s="119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4"/>
      <c r="AD353" s="237"/>
    </row>
    <row r="354">
      <c r="F354" s="119"/>
      <c r="G354" s="119"/>
      <c r="H354" s="120"/>
      <c r="I354" s="119"/>
      <c r="J354" s="119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4"/>
      <c r="AD354" s="237"/>
    </row>
    <row r="355">
      <c r="F355" s="119"/>
      <c r="G355" s="119"/>
      <c r="H355" s="120"/>
      <c r="I355" s="119"/>
      <c r="J355" s="119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4"/>
      <c r="AD355" s="237"/>
    </row>
    <row r="356">
      <c r="F356" s="119"/>
      <c r="G356" s="119"/>
      <c r="H356" s="120"/>
      <c r="I356" s="119"/>
      <c r="J356" s="119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4"/>
      <c r="AD356" s="237"/>
    </row>
    <row r="357">
      <c r="F357" s="119"/>
      <c r="G357" s="119"/>
      <c r="H357" s="120"/>
      <c r="I357" s="119"/>
      <c r="J357" s="119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4"/>
      <c r="AD357" s="237"/>
    </row>
    <row r="358">
      <c r="F358" s="119"/>
      <c r="G358" s="119"/>
      <c r="H358" s="120"/>
      <c r="I358" s="119"/>
      <c r="J358" s="119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4"/>
      <c r="AD358" s="237"/>
    </row>
    <row r="359">
      <c r="F359" s="119"/>
      <c r="G359" s="119"/>
      <c r="H359" s="120"/>
      <c r="I359" s="119"/>
      <c r="J359" s="119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4"/>
      <c r="AD359" s="237"/>
    </row>
    <row r="360">
      <c r="F360" s="119"/>
      <c r="G360" s="119"/>
      <c r="H360" s="120"/>
      <c r="I360" s="119"/>
      <c r="J360" s="119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4"/>
      <c r="AD360" s="237"/>
    </row>
    <row r="361">
      <c r="F361" s="119"/>
      <c r="G361" s="119"/>
      <c r="H361" s="120"/>
      <c r="I361" s="119"/>
      <c r="J361" s="119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4"/>
      <c r="AD361" s="237"/>
    </row>
    <row r="362">
      <c r="F362" s="119"/>
      <c r="G362" s="119"/>
      <c r="H362" s="120"/>
      <c r="I362" s="119"/>
      <c r="J362" s="119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4"/>
      <c r="AD362" s="237"/>
    </row>
    <row r="363">
      <c r="F363" s="119"/>
      <c r="G363" s="119"/>
      <c r="H363" s="120"/>
      <c r="I363" s="119"/>
      <c r="J363" s="119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4"/>
      <c r="AD363" s="237"/>
    </row>
    <row r="364">
      <c r="F364" s="119"/>
      <c r="G364" s="119"/>
      <c r="H364" s="120"/>
      <c r="I364" s="119"/>
      <c r="J364" s="119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4"/>
      <c r="AD364" s="237"/>
    </row>
    <row r="365">
      <c r="F365" s="119"/>
      <c r="G365" s="119"/>
      <c r="H365" s="120"/>
      <c r="I365" s="119"/>
      <c r="J365" s="119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4"/>
      <c r="AD365" s="237"/>
    </row>
    <row r="366">
      <c r="F366" s="119"/>
      <c r="G366" s="119"/>
      <c r="H366" s="120"/>
      <c r="I366" s="119"/>
      <c r="J366" s="119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4"/>
      <c r="AD366" s="237"/>
    </row>
    <row r="367">
      <c r="F367" s="119"/>
      <c r="G367" s="119"/>
      <c r="H367" s="120"/>
      <c r="I367" s="119"/>
      <c r="J367" s="119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4"/>
      <c r="AD367" s="237"/>
    </row>
    <row r="368">
      <c r="F368" s="119"/>
      <c r="G368" s="119"/>
      <c r="H368" s="120"/>
      <c r="I368" s="119"/>
      <c r="J368" s="119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4"/>
      <c r="AD368" s="237"/>
    </row>
    <row r="369">
      <c r="F369" s="119"/>
      <c r="G369" s="119"/>
      <c r="H369" s="120"/>
      <c r="I369" s="119"/>
      <c r="J369" s="119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4"/>
      <c r="AD369" s="237"/>
    </row>
    <row r="370">
      <c r="F370" s="119"/>
      <c r="G370" s="119"/>
      <c r="H370" s="120"/>
      <c r="I370" s="119"/>
      <c r="J370" s="119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4"/>
      <c r="AD370" s="237"/>
    </row>
    <row r="371">
      <c r="F371" s="119"/>
      <c r="G371" s="119"/>
      <c r="H371" s="120"/>
      <c r="I371" s="119"/>
      <c r="J371" s="119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4"/>
      <c r="AD371" s="237"/>
    </row>
    <row r="372">
      <c r="F372" s="119"/>
      <c r="G372" s="119"/>
      <c r="H372" s="120"/>
      <c r="I372" s="119"/>
      <c r="J372" s="119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4"/>
      <c r="AD372" s="237"/>
    </row>
    <row r="373">
      <c r="F373" s="119"/>
      <c r="G373" s="119"/>
      <c r="H373" s="120"/>
      <c r="I373" s="119"/>
      <c r="J373" s="119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4"/>
      <c r="AD373" s="237"/>
    </row>
    <row r="374">
      <c r="F374" s="119"/>
      <c r="G374" s="119"/>
      <c r="H374" s="120"/>
      <c r="I374" s="119"/>
      <c r="J374" s="119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4"/>
      <c r="AD374" s="237"/>
    </row>
    <row r="375">
      <c r="F375" s="119"/>
      <c r="G375" s="119"/>
      <c r="H375" s="120"/>
      <c r="I375" s="119"/>
      <c r="J375" s="119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4"/>
      <c r="AD375" s="237"/>
    </row>
    <row r="376">
      <c r="F376" s="119"/>
      <c r="G376" s="119"/>
      <c r="H376" s="120"/>
      <c r="I376" s="119"/>
      <c r="J376" s="119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4"/>
      <c r="AD376" s="237"/>
    </row>
    <row r="377">
      <c r="F377" s="119"/>
      <c r="G377" s="119"/>
      <c r="H377" s="120"/>
      <c r="I377" s="119"/>
      <c r="J377" s="119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4"/>
      <c r="AD377" s="237"/>
    </row>
    <row r="378">
      <c r="F378" s="119"/>
      <c r="G378" s="119"/>
      <c r="H378" s="120"/>
      <c r="I378" s="119"/>
      <c r="J378" s="119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4"/>
      <c r="AD378" s="237"/>
    </row>
    <row r="379">
      <c r="F379" s="119"/>
      <c r="G379" s="119"/>
      <c r="H379" s="120"/>
      <c r="I379" s="119"/>
      <c r="J379" s="119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4"/>
      <c r="AD379" s="237"/>
    </row>
    <row r="380">
      <c r="F380" s="119"/>
      <c r="G380" s="119"/>
      <c r="H380" s="120"/>
      <c r="I380" s="119"/>
      <c r="J380" s="119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4"/>
      <c r="AD380" s="237"/>
    </row>
    <row r="381">
      <c r="F381" s="119"/>
      <c r="G381" s="119"/>
      <c r="H381" s="120"/>
      <c r="I381" s="119"/>
      <c r="J381" s="119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4"/>
      <c r="AD381" s="237"/>
    </row>
    <row r="382">
      <c r="F382" s="119"/>
      <c r="G382" s="119"/>
      <c r="H382" s="120"/>
      <c r="I382" s="119"/>
      <c r="J382" s="119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4"/>
      <c r="AD382" s="237"/>
    </row>
    <row r="383">
      <c r="F383" s="119"/>
      <c r="G383" s="119"/>
      <c r="H383" s="120"/>
      <c r="I383" s="119"/>
      <c r="J383" s="119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4"/>
      <c r="AD383" s="237"/>
    </row>
    <row r="384">
      <c r="F384" s="119"/>
      <c r="G384" s="119"/>
      <c r="H384" s="120"/>
      <c r="I384" s="119"/>
      <c r="J384" s="119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4"/>
      <c r="AD384" s="237"/>
    </row>
    <row r="385">
      <c r="F385" s="119"/>
      <c r="G385" s="119"/>
      <c r="H385" s="120"/>
      <c r="I385" s="119"/>
      <c r="J385" s="119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4"/>
      <c r="AD385" s="237"/>
    </row>
    <row r="386">
      <c r="F386" s="119"/>
      <c r="G386" s="119"/>
      <c r="H386" s="120"/>
      <c r="I386" s="119"/>
      <c r="J386" s="119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4"/>
      <c r="AD386" s="237"/>
    </row>
    <row r="387">
      <c r="F387" s="119"/>
      <c r="G387" s="119"/>
      <c r="H387" s="120"/>
      <c r="I387" s="119"/>
      <c r="J387" s="119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4"/>
      <c r="AD387" s="237"/>
    </row>
    <row r="388">
      <c r="F388" s="119"/>
      <c r="G388" s="119"/>
      <c r="H388" s="120"/>
      <c r="I388" s="119"/>
      <c r="J388" s="119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4"/>
      <c r="AD388" s="237"/>
    </row>
    <row r="389">
      <c r="F389" s="119"/>
      <c r="G389" s="119"/>
      <c r="H389" s="120"/>
      <c r="I389" s="119"/>
      <c r="J389" s="119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4"/>
      <c r="AD389" s="237"/>
    </row>
    <row r="390">
      <c r="F390" s="119"/>
      <c r="G390" s="119"/>
      <c r="H390" s="120"/>
      <c r="I390" s="119"/>
      <c r="J390" s="119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4"/>
      <c r="AD390" s="237"/>
    </row>
    <row r="391">
      <c r="F391" s="119"/>
      <c r="G391" s="119"/>
      <c r="H391" s="120"/>
      <c r="I391" s="119"/>
      <c r="J391" s="119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4"/>
      <c r="AD391" s="237"/>
    </row>
    <row r="392">
      <c r="F392" s="119"/>
      <c r="G392" s="119"/>
      <c r="H392" s="120"/>
      <c r="I392" s="119"/>
      <c r="J392" s="119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4"/>
      <c r="AD392" s="237"/>
    </row>
    <row r="393">
      <c r="F393" s="119"/>
      <c r="G393" s="119"/>
      <c r="H393" s="120"/>
      <c r="I393" s="119"/>
      <c r="J393" s="119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4"/>
      <c r="AD393" s="237"/>
    </row>
    <row r="394">
      <c r="F394" s="119"/>
      <c r="G394" s="119"/>
      <c r="H394" s="120"/>
      <c r="I394" s="119"/>
      <c r="J394" s="119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4"/>
      <c r="AD394" s="237"/>
    </row>
    <row r="395">
      <c r="F395" s="119"/>
      <c r="G395" s="119"/>
      <c r="H395" s="120"/>
      <c r="I395" s="119"/>
      <c r="J395" s="119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4"/>
      <c r="AD395" s="237"/>
    </row>
    <row r="396">
      <c r="F396" s="119"/>
      <c r="G396" s="119"/>
      <c r="H396" s="120"/>
      <c r="I396" s="119"/>
      <c r="J396" s="119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4"/>
      <c r="AD396" s="237"/>
    </row>
    <row r="397">
      <c r="F397" s="119"/>
      <c r="G397" s="119"/>
      <c r="H397" s="120"/>
      <c r="I397" s="119"/>
      <c r="J397" s="119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4"/>
      <c r="AD397" s="237"/>
    </row>
    <row r="398">
      <c r="F398" s="119"/>
      <c r="G398" s="119"/>
      <c r="H398" s="120"/>
      <c r="I398" s="119"/>
      <c r="J398" s="119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4"/>
      <c r="AD398" s="237"/>
    </row>
    <row r="399">
      <c r="F399" s="119"/>
      <c r="G399" s="119"/>
      <c r="H399" s="120"/>
      <c r="I399" s="119"/>
      <c r="J399" s="119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4"/>
      <c r="AD399" s="237"/>
    </row>
    <row r="400">
      <c r="F400" s="119"/>
      <c r="G400" s="119"/>
      <c r="H400" s="120"/>
      <c r="I400" s="119"/>
      <c r="J400" s="119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4"/>
      <c r="AD400" s="237"/>
    </row>
    <row r="401">
      <c r="F401" s="119"/>
      <c r="G401" s="119"/>
      <c r="H401" s="120"/>
      <c r="I401" s="119"/>
      <c r="J401" s="119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4"/>
      <c r="AD401" s="237"/>
    </row>
    <row r="402">
      <c r="F402" s="119"/>
      <c r="G402" s="119"/>
      <c r="H402" s="120"/>
      <c r="I402" s="119"/>
      <c r="J402" s="119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4"/>
      <c r="AD402" s="237"/>
    </row>
    <row r="403">
      <c r="F403" s="119"/>
      <c r="G403" s="119"/>
      <c r="H403" s="120"/>
      <c r="I403" s="119"/>
      <c r="J403" s="119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4"/>
      <c r="AD403" s="237"/>
    </row>
    <row r="404">
      <c r="F404" s="119"/>
      <c r="G404" s="119"/>
      <c r="H404" s="120"/>
      <c r="I404" s="119"/>
      <c r="J404" s="119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4"/>
      <c r="AD404" s="237"/>
    </row>
    <row r="405">
      <c r="F405" s="119"/>
      <c r="G405" s="119"/>
      <c r="H405" s="120"/>
      <c r="I405" s="119"/>
      <c r="J405" s="119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4"/>
      <c r="AD405" s="237"/>
    </row>
    <row r="406">
      <c r="F406" s="119"/>
      <c r="G406" s="119"/>
      <c r="H406" s="120"/>
      <c r="I406" s="119"/>
      <c r="J406" s="119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4"/>
      <c r="AD406" s="237"/>
    </row>
    <row r="407">
      <c r="F407" s="119"/>
      <c r="G407" s="119"/>
      <c r="H407" s="120"/>
      <c r="I407" s="119"/>
      <c r="J407" s="119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4"/>
      <c r="AD407" s="237"/>
    </row>
    <row r="408">
      <c r="F408" s="119"/>
      <c r="G408" s="119"/>
      <c r="H408" s="120"/>
      <c r="I408" s="119"/>
      <c r="J408" s="119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4"/>
      <c r="AD408" s="237"/>
    </row>
    <row r="409">
      <c r="F409" s="119"/>
      <c r="G409" s="119"/>
      <c r="H409" s="120"/>
      <c r="I409" s="119"/>
      <c r="J409" s="119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4"/>
      <c r="AD409" s="237"/>
    </row>
    <row r="410">
      <c r="F410" s="119"/>
      <c r="G410" s="119"/>
      <c r="H410" s="120"/>
      <c r="I410" s="119"/>
      <c r="J410" s="119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4"/>
      <c r="AD410" s="237"/>
    </row>
    <row r="411">
      <c r="F411" s="119"/>
      <c r="G411" s="119"/>
      <c r="H411" s="120"/>
      <c r="I411" s="119"/>
      <c r="J411" s="119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4"/>
      <c r="AD411" s="237"/>
    </row>
    <row r="412">
      <c r="F412" s="119"/>
      <c r="G412" s="119"/>
      <c r="H412" s="120"/>
      <c r="I412" s="119"/>
      <c r="J412" s="119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4"/>
      <c r="AD412" s="237"/>
    </row>
    <row r="413">
      <c r="F413" s="119"/>
      <c r="G413" s="119"/>
      <c r="H413" s="120"/>
      <c r="I413" s="119"/>
      <c r="J413" s="119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4"/>
      <c r="AD413" s="237"/>
    </row>
    <row r="414">
      <c r="F414" s="119"/>
      <c r="G414" s="119"/>
      <c r="H414" s="120"/>
      <c r="I414" s="119"/>
      <c r="J414" s="119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4"/>
      <c r="AD414" s="237"/>
    </row>
    <row r="415">
      <c r="F415" s="119"/>
      <c r="G415" s="119"/>
      <c r="H415" s="120"/>
      <c r="I415" s="119"/>
      <c r="J415" s="119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4"/>
      <c r="AD415" s="237"/>
    </row>
    <row r="416">
      <c r="F416" s="119"/>
      <c r="G416" s="119"/>
      <c r="H416" s="120"/>
      <c r="I416" s="119"/>
      <c r="J416" s="119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4"/>
      <c r="AD416" s="237"/>
    </row>
    <row r="417">
      <c r="F417" s="119"/>
      <c r="G417" s="119"/>
      <c r="H417" s="120"/>
      <c r="I417" s="119"/>
      <c r="J417" s="119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4"/>
      <c r="AD417" s="237"/>
    </row>
    <row r="418">
      <c r="F418" s="119"/>
      <c r="G418" s="119"/>
      <c r="H418" s="120"/>
      <c r="I418" s="119"/>
      <c r="J418" s="119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4"/>
      <c r="AD418" s="237"/>
    </row>
    <row r="419">
      <c r="F419" s="119"/>
      <c r="G419" s="119"/>
      <c r="H419" s="120"/>
      <c r="I419" s="119"/>
      <c r="J419" s="119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4"/>
      <c r="AD419" s="237"/>
    </row>
    <row r="420">
      <c r="F420" s="119"/>
      <c r="G420" s="119"/>
      <c r="H420" s="120"/>
      <c r="I420" s="119"/>
      <c r="J420" s="119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4"/>
      <c r="AD420" s="237"/>
    </row>
    <row r="421">
      <c r="F421" s="119"/>
      <c r="G421" s="119"/>
      <c r="H421" s="120"/>
      <c r="I421" s="119"/>
      <c r="J421" s="119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4"/>
      <c r="AD421" s="237"/>
    </row>
    <row r="422">
      <c r="F422" s="119"/>
      <c r="G422" s="119"/>
      <c r="H422" s="120"/>
      <c r="I422" s="119"/>
      <c r="J422" s="119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4"/>
      <c r="AD422" s="237"/>
    </row>
    <row r="423">
      <c r="F423" s="119"/>
      <c r="G423" s="119"/>
      <c r="H423" s="120"/>
      <c r="I423" s="119"/>
      <c r="J423" s="119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4"/>
      <c r="AD423" s="237"/>
    </row>
    <row r="424">
      <c r="F424" s="119"/>
      <c r="G424" s="119"/>
      <c r="H424" s="120"/>
      <c r="I424" s="119"/>
      <c r="J424" s="119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4"/>
      <c r="AD424" s="237"/>
    </row>
    <row r="425">
      <c r="F425" s="119"/>
      <c r="G425" s="119"/>
      <c r="H425" s="120"/>
      <c r="I425" s="119"/>
      <c r="J425" s="119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4"/>
      <c r="AD425" s="237"/>
    </row>
    <row r="426">
      <c r="F426" s="119"/>
      <c r="G426" s="119"/>
      <c r="H426" s="120"/>
      <c r="I426" s="119"/>
      <c r="J426" s="119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4"/>
      <c r="AD426" s="237"/>
    </row>
    <row r="427">
      <c r="F427" s="119"/>
      <c r="G427" s="119"/>
      <c r="H427" s="120"/>
      <c r="I427" s="119"/>
      <c r="J427" s="119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4"/>
      <c r="AD427" s="237"/>
    </row>
    <row r="428">
      <c r="F428" s="119"/>
      <c r="G428" s="119"/>
      <c r="H428" s="120"/>
      <c r="I428" s="119"/>
      <c r="J428" s="119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4"/>
      <c r="AD428" s="237"/>
    </row>
    <row r="429">
      <c r="F429" s="119"/>
      <c r="G429" s="119"/>
      <c r="H429" s="120"/>
      <c r="I429" s="119"/>
      <c r="J429" s="119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4"/>
      <c r="AD429" s="237"/>
    </row>
    <row r="430">
      <c r="F430" s="119"/>
      <c r="G430" s="119"/>
      <c r="H430" s="120"/>
      <c r="I430" s="119"/>
      <c r="J430" s="119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4"/>
      <c r="AD430" s="237"/>
    </row>
    <row r="431">
      <c r="F431" s="119"/>
      <c r="G431" s="119"/>
      <c r="H431" s="120"/>
      <c r="I431" s="119"/>
      <c r="J431" s="119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4"/>
      <c r="AD431" s="237"/>
    </row>
    <row r="432">
      <c r="F432" s="119"/>
      <c r="G432" s="119"/>
      <c r="H432" s="120"/>
      <c r="I432" s="119"/>
      <c r="J432" s="119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4"/>
      <c r="AD432" s="237"/>
    </row>
    <row r="433">
      <c r="F433" s="119"/>
      <c r="G433" s="119"/>
      <c r="H433" s="120"/>
      <c r="I433" s="119"/>
      <c r="J433" s="119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4"/>
      <c r="AD433" s="237"/>
    </row>
    <row r="434">
      <c r="F434" s="119"/>
      <c r="G434" s="119"/>
      <c r="H434" s="120"/>
      <c r="I434" s="119"/>
      <c r="J434" s="119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4"/>
      <c r="AD434" s="237"/>
    </row>
    <row r="435">
      <c r="F435" s="119"/>
      <c r="G435" s="119"/>
      <c r="H435" s="120"/>
      <c r="I435" s="119"/>
      <c r="J435" s="119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4"/>
      <c r="AD435" s="237"/>
    </row>
    <row r="436">
      <c r="F436" s="119"/>
      <c r="G436" s="119"/>
      <c r="H436" s="120"/>
      <c r="I436" s="119"/>
      <c r="J436" s="119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4"/>
      <c r="AD436" s="237"/>
    </row>
    <row r="437">
      <c r="F437" s="119"/>
      <c r="G437" s="119"/>
      <c r="H437" s="120"/>
      <c r="I437" s="119"/>
      <c r="J437" s="119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4"/>
      <c r="AD437" s="237"/>
    </row>
    <row r="438">
      <c r="F438" s="119"/>
      <c r="G438" s="119"/>
      <c r="H438" s="120"/>
      <c r="I438" s="119"/>
      <c r="J438" s="119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4"/>
      <c r="AD438" s="237"/>
    </row>
    <row r="439">
      <c r="F439" s="119"/>
      <c r="G439" s="119"/>
      <c r="H439" s="120"/>
      <c r="I439" s="119"/>
      <c r="J439" s="119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4"/>
      <c r="AD439" s="237"/>
    </row>
    <row r="440">
      <c r="F440" s="119"/>
      <c r="G440" s="119"/>
      <c r="H440" s="120"/>
      <c r="I440" s="119"/>
      <c r="J440" s="119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4"/>
      <c r="AD440" s="237"/>
    </row>
    <row r="441">
      <c r="F441" s="119"/>
      <c r="G441" s="119"/>
      <c r="H441" s="120"/>
      <c r="I441" s="119"/>
      <c r="J441" s="119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4"/>
      <c r="AD441" s="237"/>
    </row>
    <row r="442">
      <c r="F442" s="119"/>
      <c r="G442" s="119"/>
      <c r="H442" s="120"/>
      <c r="I442" s="119"/>
      <c r="J442" s="119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4"/>
      <c r="AD442" s="237"/>
    </row>
    <row r="443">
      <c r="F443" s="119"/>
      <c r="G443" s="119"/>
      <c r="H443" s="120"/>
      <c r="I443" s="119"/>
      <c r="J443" s="119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4"/>
      <c r="AD443" s="237"/>
    </row>
    <row r="444">
      <c r="F444" s="119"/>
      <c r="G444" s="119"/>
      <c r="H444" s="120"/>
      <c r="I444" s="119"/>
      <c r="J444" s="119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4"/>
      <c r="AD444" s="237"/>
    </row>
    <row r="445">
      <c r="F445" s="119"/>
      <c r="G445" s="119"/>
      <c r="H445" s="120"/>
      <c r="I445" s="119"/>
      <c r="J445" s="119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4"/>
      <c r="AD445" s="237"/>
    </row>
    <row r="446">
      <c r="F446" s="119"/>
      <c r="G446" s="119"/>
      <c r="H446" s="120"/>
      <c r="I446" s="119"/>
      <c r="J446" s="119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4"/>
      <c r="AD446" s="237"/>
    </row>
    <row r="447">
      <c r="F447" s="119"/>
      <c r="G447" s="119"/>
      <c r="H447" s="120"/>
      <c r="I447" s="119"/>
      <c r="J447" s="119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4"/>
      <c r="AD447" s="237"/>
    </row>
    <row r="448">
      <c r="F448" s="119"/>
      <c r="G448" s="119"/>
      <c r="H448" s="120"/>
      <c r="I448" s="119"/>
      <c r="J448" s="119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4"/>
      <c r="AD448" s="237"/>
    </row>
    <row r="449">
      <c r="F449" s="119"/>
      <c r="G449" s="119"/>
      <c r="H449" s="120"/>
      <c r="I449" s="119"/>
      <c r="J449" s="119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4"/>
      <c r="AD449" s="237"/>
    </row>
    <row r="450">
      <c r="F450" s="119"/>
      <c r="G450" s="119"/>
      <c r="H450" s="120"/>
      <c r="I450" s="119"/>
      <c r="J450" s="119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4"/>
      <c r="AD450" s="237"/>
    </row>
    <row r="451">
      <c r="F451" s="119"/>
      <c r="G451" s="119"/>
      <c r="H451" s="120"/>
      <c r="I451" s="119"/>
      <c r="J451" s="119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4"/>
      <c r="AD451" s="237"/>
    </row>
    <row r="452">
      <c r="F452" s="119"/>
      <c r="G452" s="119"/>
      <c r="H452" s="120"/>
      <c r="I452" s="119"/>
      <c r="J452" s="119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4"/>
      <c r="AD452" s="237"/>
    </row>
    <row r="453">
      <c r="F453" s="119"/>
      <c r="G453" s="119"/>
      <c r="H453" s="120"/>
      <c r="I453" s="119"/>
      <c r="J453" s="119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4"/>
      <c r="AD453" s="237"/>
    </row>
    <row r="454">
      <c r="F454" s="119"/>
      <c r="G454" s="119"/>
      <c r="H454" s="120"/>
      <c r="I454" s="119"/>
      <c r="J454" s="119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4"/>
      <c r="AD454" s="237"/>
    </row>
    <row r="455">
      <c r="F455" s="119"/>
      <c r="G455" s="119"/>
      <c r="H455" s="120"/>
      <c r="I455" s="119"/>
      <c r="J455" s="119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4"/>
      <c r="AD455" s="237"/>
    </row>
    <row r="456">
      <c r="F456" s="119"/>
      <c r="G456" s="119"/>
      <c r="H456" s="120"/>
      <c r="I456" s="119"/>
      <c r="J456" s="119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4"/>
      <c r="AD456" s="237"/>
    </row>
    <row r="457">
      <c r="F457" s="119"/>
      <c r="G457" s="119"/>
      <c r="H457" s="120"/>
      <c r="I457" s="119"/>
      <c r="J457" s="119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4"/>
      <c r="AD457" s="237"/>
    </row>
    <row r="458">
      <c r="F458" s="119"/>
      <c r="G458" s="119"/>
      <c r="H458" s="120"/>
      <c r="I458" s="119"/>
      <c r="J458" s="119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4"/>
      <c r="AD458" s="237"/>
    </row>
    <row r="459">
      <c r="F459" s="119"/>
      <c r="G459" s="119"/>
      <c r="H459" s="120"/>
      <c r="I459" s="119"/>
      <c r="J459" s="119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4"/>
      <c r="AD459" s="237"/>
    </row>
    <row r="460">
      <c r="F460" s="119"/>
      <c r="G460" s="119"/>
      <c r="H460" s="120"/>
      <c r="I460" s="119"/>
      <c r="J460" s="119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4"/>
      <c r="AD460" s="237"/>
    </row>
    <row r="461">
      <c r="F461" s="119"/>
      <c r="G461" s="119"/>
      <c r="H461" s="120"/>
      <c r="I461" s="119"/>
      <c r="J461" s="119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4"/>
      <c r="AD461" s="237"/>
    </row>
    <row r="462">
      <c r="F462" s="119"/>
      <c r="G462" s="119"/>
      <c r="H462" s="120"/>
      <c r="I462" s="119"/>
      <c r="J462" s="119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4"/>
      <c r="AD462" s="237"/>
    </row>
    <row r="463">
      <c r="F463" s="119"/>
      <c r="G463" s="119"/>
      <c r="H463" s="120"/>
      <c r="I463" s="119"/>
      <c r="J463" s="119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4"/>
      <c r="AD463" s="237"/>
    </row>
    <row r="464">
      <c r="F464" s="119"/>
      <c r="G464" s="119"/>
      <c r="H464" s="120"/>
      <c r="I464" s="119"/>
      <c r="J464" s="119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4"/>
      <c r="AD464" s="237"/>
    </row>
    <row r="465">
      <c r="F465" s="119"/>
      <c r="G465" s="119"/>
      <c r="H465" s="120"/>
      <c r="I465" s="119"/>
      <c r="J465" s="119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4"/>
      <c r="AD465" s="237"/>
    </row>
    <row r="466">
      <c r="F466" s="119"/>
      <c r="G466" s="119"/>
      <c r="H466" s="120"/>
      <c r="I466" s="119"/>
      <c r="J466" s="119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4"/>
      <c r="AD466" s="237"/>
    </row>
    <row r="467">
      <c r="F467" s="119"/>
      <c r="G467" s="119"/>
      <c r="H467" s="120"/>
      <c r="I467" s="119"/>
      <c r="J467" s="119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4"/>
      <c r="AD467" s="237"/>
    </row>
    <row r="468">
      <c r="F468" s="119"/>
      <c r="G468" s="119"/>
      <c r="H468" s="120"/>
      <c r="I468" s="119"/>
      <c r="J468" s="119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4"/>
      <c r="AD468" s="237"/>
    </row>
    <row r="469">
      <c r="F469" s="119"/>
      <c r="G469" s="119"/>
      <c r="H469" s="120"/>
      <c r="I469" s="119"/>
      <c r="J469" s="119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4"/>
      <c r="AD469" s="237"/>
    </row>
    <row r="470">
      <c r="F470" s="119"/>
      <c r="G470" s="119"/>
      <c r="H470" s="120"/>
      <c r="I470" s="119"/>
      <c r="J470" s="119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4"/>
      <c r="AD470" s="237"/>
    </row>
    <row r="471">
      <c r="F471" s="119"/>
      <c r="G471" s="119"/>
      <c r="H471" s="120"/>
      <c r="I471" s="119"/>
      <c r="J471" s="119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4"/>
      <c r="AD471" s="237"/>
    </row>
    <row r="472">
      <c r="F472" s="119"/>
      <c r="G472" s="119"/>
      <c r="H472" s="120"/>
      <c r="I472" s="119"/>
      <c r="J472" s="119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4"/>
      <c r="AD472" s="237"/>
    </row>
    <row r="473">
      <c r="F473" s="119"/>
      <c r="G473" s="119"/>
      <c r="H473" s="120"/>
      <c r="I473" s="119"/>
      <c r="J473" s="119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4"/>
      <c r="AD473" s="237"/>
    </row>
    <row r="474">
      <c r="F474" s="119"/>
      <c r="G474" s="119"/>
      <c r="H474" s="120"/>
      <c r="I474" s="119"/>
      <c r="J474" s="119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4"/>
      <c r="AD474" s="237"/>
    </row>
    <row r="475">
      <c r="F475" s="119"/>
      <c r="G475" s="119"/>
      <c r="H475" s="120"/>
      <c r="I475" s="119"/>
      <c r="J475" s="119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4"/>
      <c r="AD475" s="237"/>
    </row>
    <row r="476">
      <c r="F476" s="119"/>
      <c r="G476" s="119"/>
      <c r="H476" s="120"/>
      <c r="I476" s="119"/>
      <c r="J476" s="119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4"/>
      <c r="AD476" s="237"/>
    </row>
    <row r="477">
      <c r="F477" s="119"/>
      <c r="G477" s="119"/>
      <c r="H477" s="120"/>
      <c r="I477" s="119"/>
      <c r="J477" s="119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4"/>
      <c r="AD477" s="237"/>
    </row>
    <row r="478">
      <c r="F478" s="119"/>
      <c r="G478" s="119"/>
      <c r="H478" s="120"/>
      <c r="I478" s="119"/>
      <c r="J478" s="119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4"/>
      <c r="AD478" s="237"/>
    </row>
    <row r="479">
      <c r="F479" s="119"/>
      <c r="G479" s="119"/>
      <c r="H479" s="120"/>
      <c r="I479" s="119"/>
      <c r="J479" s="119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4"/>
      <c r="AD479" s="237"/>
    </row>
    <row r="480">
      <c r="F480" s="119"/>
      <c r="G480" s="119"/>
      <c r="H480" s="120"/>
      <c r="I480" s="119"/>
      <c r="J480" s="119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4"/>
      <c r="AD480" s="237"/>
    </row>
    <row r="481">
      <c r="F481" s="119"/>
      <c r="G481" s="119"/>
      <c r="H481" s="120"/>
      <c r="I481" s="119"/>
      <c r="J481" s="119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4"/>
      <c r="AD481" s="237"/>
    </row>
    <row r="482">
      <c r="F482" s="119"/>
      <c r="G482" s="119"/>
      <c r="H482" s="120"/>
      <c r="I482" s="119"/>
      <c r="J482" s="119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4"/>
      <c r="AD482" s="237"/>
    </row>
    <row r="483">
      <c r="F483" s="119"/>
      <c r="G483" s="119"/>
      <c r="H483" s="120"/>
      <c r="I483" s="119"/>
      <c r="J483" s="119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4"/>
      <c r="AD483" s="237"/>
    </row>
    <row r="484">
      <c r="F484" s="119"/>
      <c r="G484" s="119"/>
      <c r="H484" s="120"/>
      <c r="I484" s="119"/>
      <c r="J484" s="119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4"/>
      <c r="AD484" s="237"/>
    </row>
    <row r="485">
      <c r="F485" s="119"/>
      <c r="G485" s="119"/>
      <c r="H485" s="120"/>
      <c r="I485" s="119"/>
      <c r="J485" s="119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4"/>
      <c r="AD485" s="237"/>
    </row>
    <row r="486">
      <c r="F486" s="119"/>
      <c r="G486" s="119"/>
      <c r="H486" s="120"/>
      <c r="I486" s="119"/>
      <c r="J486" s="119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4"/>
      <c r="AD486" s="237"/>
    </row>
    <row r="487">
      <c r="F487" s="119"/>
      <c r="G487" s="119"/>
      <c r="H487" s="120"/>
      <c r="I487" s="119"/>
      <c r="J487" s="119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4"/>
      <c r="AD487" s="237"/>
    </row>
    <row r="488">
      <c r="F488" s="119"/>
      <c r="G488" s="119"/>
      <c r="H488" s="120"/>
      <c r="I488" s="119"/>
      <c r="J488" s="119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4"/>
      <c r="AD488" s="237"/>
    </row>
    <row r="489">
      <c r="F489" s="119"/>
      <c r="G489" s="119"/>
      <c r="H489" s="120"/>
      <c r="I489" s="119"/>
      <c r="J489" s="119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4"/>
      <c r="AD489" s="237"/>
    </row>
    <row r="490">
      <c r="F490" s="119"/>
      <c r="G490" s="119"/>
      <c r="H490" s="120"/>
      <c r="I490" s="119"/>
      <c r="J490" s="119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4"/>
      <c r="AD490" s="237"/>
    </row>
    <row r="491">
      <c r="F491" s="119"/>
      <c r="G491" s="119"/>
      <c r="H491" s="120"/>
      <c r="I491" s="119"/>
      <c r="J491" s="119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4"/>
      <c r="AD491" s="237"/>
    </row>
    <row r="492">
      <c r="F492" s="119"/>
      <c r="G492" s="119"/>
      <c r="H492" s="120"/>
      <c r="I492" s="119"/>
      <c r="J492" s="119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4"/>
      <c r="AD492" s="237"/>
    </row>
    <row r="493">
      <c r="F493" s="119"/>
      <c r="G493" s="119"/>
      <c r="H493" s="120"/>
      <c r="I493" s="119"/>
      <c r="J493" s="119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4"/>
      <c r="AD493" s="237"/>
    </row>
    <row r="494">
      <c r="F494" s="119"/>
      <c r="G494" s="119"/>
      <c r="H494" s="120"/>
      <c r="I494" s="119"/>
      <c r="J494" s="119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4"/>
      <c r="AD494" s="237"/>
    </row>
    <row r="495">
      <c r="F495" s="119"/>
      <c r="G495" s="119"/>
      <c r="H495" s="120"/>
      <c r="I495" s="119"/>
      <c r="J495" s="119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4"/>
      <c r="AD495" s="237"/>
    </row>
    <row r="496">
      <c r="F496" s="119"/>
      <c r="G496" s="119"/>
      <c r="H496" s="120"/>
      <c r="I496" s="119"/>
      <c r="J496" s="119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4"/>
      <c r="AD496" s="237"/>
    </row>
    <row r="497">
      <c r="F497" s="119"/>
      <c r="G497" s="119"/>
      <c r="H497" s="120"/>
      <c r="I497" s="119"/>
      <c r="J497" s="119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4"/>
      <c r="AD497" s="237"/>
    </row>
    <row r="498">
      <c r="F498" s="119"/>
      <c r="G498" s="119"/>
      <c r="H498" s="120"/>
      <c r="I498" s="119"/>
      <c r="J498" s="119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4"/>
      <c r="AD498" s="237"/>
    </row>
    <row r="499">
      <c r="F499" s="119"/>
      <c r="G499" s="119"/>
      <c r="H499" s="120"/>
      <c r="I499" s="119"/>
      <c r="J499" s="119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4"/>
      <c r="AD499" s="237"/>
    </row>
    <row r="500">
      <c r="F500" s="119"/>
      <c r="G500" s="119"/>
      <c r="H500" s="120"/>
      <c r="I500" s="119"/>
      <c r="J500" s="119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4"/>
      <c r="AD500" s="237"/>
    </row>
    <row r="501">
      <c r="F501" s="119"/>
      <c r="G501" s="119"/>
      <c r="H501" s="120"/>
      <c r="I501" s="119"/>
      <c r="J501" s="119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4"/>
      <c r="AD501" s="237"/>
    </row>
    <row r="502">
      <c r="F502" s="119"/>
      <c r="G502" s="119"/>
      <c r="H502" s="120"/>
      <c r="I502" s="119"/>
      <c r="J502" s="119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4"/>
      <c r="AD502" s="237"/>
    </row>
    <row r="503">
      <c r="F503" s="119"/>
      <c r="G503" s="119"/>
      <c r="H503" s="120"/>
      <c r="I503" s="119"/>
      <c r="J503" s="119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4"/>
      <c r="AD503" s="237"/>
    </row>
    <row r="504">
      <c r="F504" s="119"/>
      <c r="G504" s="119"/>
      <c r="H504" s="120"/>
      <c r="I504" s="119"/>
      <c r="J504" s="119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4"/>
      <c r="AD504" s="237"/>
    </row>
    <row r="505">
      <c r="F505" s="119"/>
      <c r="G505" s="119"/>
      <c r="H505" s="120"/>
      <c r="I505" s="119"/>
      <c r="J505" s="119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4"/>
      <c r="AD505" s="237"/>
    </row>
    <row r="506">
      <c r="F506" s="119"/>
      <c r="G506" s="119"/>
      <c r="H506" s="120"/>
      <c r="I506" s="119"/>
      <c r="J506" s="119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4"/>
      <c r="AD506" s="237"/>
    </row>
    <row r="507">
      <c r="F507" s="119"/>
      <c r="G507" s="119"/>
      <c r="H507" s="120"/>
      <c r="I507" s="119"/>
      <c r="J507" s="119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4"/>
      <c r="AD507" s="237"/>
    </row>
    <row r="508">
      <c r="F508" s="119"/>
      <c r="G508" s="119"/>
      <c r="H508" s="120"/>
      <c r="I508" s="119"/>
      <c r="J508" s="119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4"/>
      <c r="AD508" s="237"/>
    </row>
    <row r="509">
      <c r="F509" s="119"/>
      <c r="G509" s="119"/>
      <c r="H509" s="120"/>
      <c r="I509" s="119"/>
      <c r="J509" s="119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4"/>
      <c r="AD509" s="237"/>
    </row>
    <row r="510">
      <c r="F510" s="119"/>
      <c r="G510" s="119"/>
      <c r="H510" s="120"/>
      <c r="I510" s="119"/>
      <c r="J510" s="119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4"/>
      <c r="AD510" s="237"/>
    </row>
    <row r="511">
      <c r="F511" s="119"/>
      <c r="G511" s="119"/>
      <c r="H511" s="120"/>
      <c r="I511" s="119"/>
      <c r="J511" s="119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4"/>
      <c r="AD511" s="237"/>
    </row>
    <row r="512">
      <c r="F512" s="119"/>
      <c r="G512" s="119"/>
      <c r="H512" s="120"/>
      <c r="I512" s="119"/>
      <c r="J512" s="119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4"/>
      <c r="AD512" s="237"/>
    </row>
    <row r="513">
      <c r="F513" s="119"/>
      <c r="G513" s="119"/>
      <c r="H513" s="120"/>
      <c r="I513" s="119"/>
      <c r="J513" s="119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4"/>
      <c r="AD513" s="237"/>
    </row>
    <row r="514">
      <c r="F514" s="119"/>
      <c r="G514" s="119"/>
      <c r="H514" s="120"/>
      <c r="I514" s="119"/>
      <c r="J514" s="119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4"/>
      <c r="AD514" s="237"/>
    </row>
    <row r="515">
      <c r="F515" s="119"/>
      <c r="G515" s="119"/>
      <c r="H515" s="120"/>
      <c r="I515" s="119"/>
      <c r="J515" s="119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4"/>
      <c r="AD515" s="237"/>
    </row>
    <row r="516">
      <c r="F516" s="119"/>
      <c r="G516" s="119"/>
      <c r="H516" s="120"/>
      <c r="I516" s="119"/>
      <c r="J516" s="119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4"/>
      <c r="AD516" s="237"/>
    </row>
    <row r="517">
      <c r="F517" s="119"/>
      <c r="G517" s="119"/>
      <c r="H517" s="120"/>
      <c r="I517" s="119"/>
      <c r="J517" s="119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4"/>
      <c r="AD517" s="237"/>
    </row>
    <row r="518">
      <c r="F518" s="119"/>
      <c r="G518" s="119"/>
      <c r="H518" s="120"/>
      <c r="I518" s="119"/>
      <c r="J518" s="119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4"/>
      <c r="AD518" s="237"/>
    </row>
    <row r="519">
      <c r="F519" s="119"/>
      <c r="G519" s="119"/>
      <c r="H519" s="120"/>
      <c r="I519" s="119"/>
      <c r="J519" s="119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4"/>
      <c r="AD519" s="237"/>
    </row>
    <row r="520">
      <c r="F520" s="119"/>
      <c r="G520" s="119"/>
      <c r="H520" s="120"/>
      <c r="I520" s="119"/>
      <c r="J520" s="119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4"/>
      <c r="AD520" s="237"/>
    </row>
    <row r="521">
      <c r="F521" s="119"/>
      <c r="G521" s="119"/>
      <c r="H521" s="120"/>
      <c r="I521" s="119"/>
      <c r="J521" s="119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4"/>
      <c r="AD521" s="237"/>
    </row>
    <row r="522">
      <c r="F522" s="119"/>
      <c r="G522" s="119"/>
      <c r="H522" s="120"/>
      <c r="I522" s="119"/>
      <c r="J522" s="119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4"/>
      <c r="AD522" s="237"/>
    </row>
    <row r="523">
      <c r="F523" s="119"/>
      <c r="G523" s="119"/>
      <c r="H523" s="120"/>
      <c r="I523" s="119"/>
      <c r="J523" s="119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4"/>
      <c r="AD523" s="237"/>
    </row>
    <row r="524">
      <c r="F524" s="119"/>
      <c r="G524" s="119"/>
      <c r="H524" s="120"/>
      <c r="I524" s="119"/>
      <c r="J524" s="119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4"/>
      <c r="AD524" s="237"/>
    </row>
    <row r="525">
      <c r="F525" s="119"/>
      <c r="G525" s="119"/>
      <c r="H525" s="120"/>
      <c r="I525" s="119"/>
      <c r="J525" s="119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4"/>
      <c r="AD525" s="237"/>
    </row>
    <row r="526">
      <c r="F526" s="119"/>
      <c r="G526" s="119"/>
      <c r="H526" s="120"/>
      <c r="I526" s="119"/>
      <c r="J526" s="119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4"/>
      <c r="AD526" s="237"/>
    </row>
    <row r="527">
      <c r="F527" s="119"/>
      <c r="G527" s="119"/>
      <c r="H527" s="120"/>
      <c r="I527" s="119"/>
      <c r="J527" s="119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4"/>
      <c r="AD527" s="237"/>
    </row>
    <row r="528">
      <c r="F528" s="119"/>
      <c r="G528" s="119"/>
      <c r="H528" s="120"/>
      <c r="I528" s="119"/>
      <c r="J528" s="119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4"/>
      <c r="AD528" s="237"/>
    </row>
    <row r="529">
      <c r="F529" s="119"/>
      <c r="G529" s="119"/>
      <c r="H529" s="120"/>
      <c r="I529" s="119"/>
      <c r="J529" s="119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4"/>
      <c r="AD529" s="237"/>
    </row>
    <row r="530">
      <c r="F530" s="119"/>
      <c r="G530" s="119"/>
      <c r="H530" s="120"/>
      <c r="I530" s="119"/>
      <c r="J530" s="119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4"/>
      <c r="AD530" s="237"/>
    </row>
    <row r="531">
      <c r="F531" s="119"/>
      <c r="G531" s="119"/>
      <c r="H531" s="120"/>
      <c r="I531" s="119"/>
      <c r="J531" s="119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4"/>
      <c r="AD531" s="237"/>
    </row>
    <row r="532">
      <c r="F532" s="119"/>
      <c r="G532" s="119"/>
      <c r="H532" s="120"/>
      <c r="I532" s="119"/>
      <c r="J532" s="119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4"/>
      <c r="AD532" s="237"/>
    </row>
    <row r="533">
      <c r="F533" s="119"/>
      <c r="G533" s="119"/>
      <c r="H533" s="120"/>
      <c r="I533" s="119"/>
      <c r="J533" s="119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4"/>
      <c r="AD533" s="237"/>
    </row>
    <row r="534">
      <c r="F534" s="119"/>
      <c r="G534" s="119"/>
      <c r="H534" s="120"/>
      <c r="I534" s="119"/>
      <c r="J534" s="119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4"/>
      <c r="AD534" s="237"/>
    </row>
    <row r="535">
      <c r="F535" s="119"/>
      <c r="G535" s="119"/>
      <c r="H535" s="120"/>
      <c r="I535" s="119"/>
      <c r="J535" s="119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4"/>
      <c r="AD535" s="237"/>
    </row>
    <row r="536">
      <c r="F536" s="119"/>
      <c r="G536" s="119"/>
      <c r="H536" s="120"/>
      <c r="I536" s="119"/>
      <c r="J536" s="119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4"/>
      <c r="AD536" s="237"/>
    </row>
    <row r="537">
      <c r="F537" s="119"/>
      <c r="G537" s="119"/>
      <c r="H537" s="120"/>
      <c r="I537" s="119"/>
      <c r="J537" s="119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4"/>
      <c r="AD537" s="237"/>
    </row>
    <row r="538">
      <c r="F538" s="119"/>
      <c r="G538" s="119"/>
      <c r="H538" s="120"/>
      <c r="I538" s="119"/>
      <c r="J538" s="119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4"/>
      <c r="AD538" s="237"/>
    </row>
    <row r="539">
      <c r="F539" s="119"/>
      <c r="G539" s="119"/>
      <c r="H539" s="120"/>
      <c r="I539" s="119"/>
      <c r="J539" s="119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4"/>
      <c r="AD539" s="237"/>
    </row>
    <row r="540">
      <c r="F540" s="119"/>
      <c r="G540" s="119"/>
      <c r="H540" s="120"/>
      <c r="I540" s="119"/>
      <c r="J540" s="119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4"/>
      <c r="AD540" s="237"/>
    </row>
    <row r="541">
      <c r="F541" s="119"/>
      <c r="G541" s="119"/>
      <c r="H541" s="120"/>
      <c r="I541" s="119"/>
      <c r="J541" s="119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4"/>
      <c r="AD541" s="237"/>
    </row>
    <row r="542">
      <c r="F542" s="119"/>
      <c r="G542" s="119"/>
      <c r="H542" s="120"/>
      <c r="I542" s="119"/>
      <c r="J542" s="119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4"/>
      <c r="AD542" s="237"/>
    </row>
    <row r="543">
      <c r="F543" s="119"/>
      <c r="G543" s="119"/>
      <c r="H543" s="120"/>
      <c r="I543" s="119"/>
      <c r="J543" s="119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4"/>
      <c r="AD543" s="237"/>
    </row>
    <row r="544">
      <c r="F544" s="119"/>
      <c r="G544" s="119"/>
      <c r="H544" s="120"/>
      <c r="I544" s="119"/>
      <c r="J544" s="119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4"/>
      <c r="AD544" s="237"/>
    </row>
    <row r="545">
      <c r="F545" s="119"/>
      <c r="G545" s="119"/>
      <c r="H545" s="120"/>
      <c r="I545" s="119"/>
      <c r="J545" s="119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4"/>
      <c r="AD545" s="237"/>
    </row>
    <row r="546">
      <c r="F546" s="119"/>
      <c r="G546" s="119"/>
      <c r="H546" s="120"/>
      <c r="I546" s="119"/>
      <c r="J546" s="119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4"/>
      <c r="AD546" s="237"/>
    </row>
    <row r="547">
      <c r="F547" s="119"/>
      <c r="G547" s="119"/>
      <c r="H547" s="120"/>
      <c r="I547" s="119"/>
      <c r="J547" s="119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4"/>
      <c r="AD547" s="237"/>
    </row>
    <row r="548">
      <c r="F548" s="119"/>
      <c r="G548" s="119"/>
      <c r="H548" s="120"/>
      <c r="I548" s="119"/>
      <c r="J548" s="119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4"/>
      <c r="AD548" s="237"/>
    </row>
    <row r="549">
      <c r="F549" s="119"/>
      <c r="G549" s="119"/>
      <c r="H549" s="120"/>
      <c r="I549" s="119"/>
      <c r="J549" s="119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4"/>
      <c r="AD549" s="237"/>
    </row>
    <row r="550">
      <c r="F550" s="119"/>
      <c r="G550" s="119"/>
      <c r="H550" s="120"/>
      <c r="I550" s="119"/>
      <c r="J550" s="119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4"/>
      <c r="AD550" s="237"/>
    </row>
    <row r="551">
      <c r="F551" s="119"/>
      <c r="G551" s="119"/>
      <c r="H551" s="120"/>
      <c r="I551" s="119"/>
      <c r="J551" s="119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4"/>
      <c r="AD551" s="237"/>
    </row>
    <row r="552">
      <c r="F552" s="119"/>
      <c r="G552" s="119"/>
      <c r="H552" s="120"/>
      <c r="I552" s="119"/>
      <c r="J552" s="119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4"/>
      <c r="AD552" s="237"/>
    </row>
    <row r="553">
      <c r="F553" s="119"/>
      <c r="G553" s="119"/>
      <c r="H553" s="120"/>
      <c r="I553" s="119"/>
      <c r="J553" s="119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4"/>
      <c r="AD553" s="237"/>
    </row>
    <row r="554">
      <c r="F554" s="119"/>
      <c r="G554" s="119"/>
      <c r="H554" s="120"/>
      <c r="I554" s="119"/>
      <c r="J554" s="119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4"/>
      <c r="AD554" s="237"/>
    </row>
    <row r="555">
      <c r="F555" s="119"/>
      <c r="G555" s="119"/>
      <c r="H555" s="120"/>
      <c r="I555" s="119"/>
      <c r="J555" s="119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4"/>
      <c r="AD555" s="237"/>
    </row>
    <row r="556">
      <c r="F556" s="119"/>
      <c r="G556" s="119"/>
      <c r="H556" s="120"/>
      <c r="I556" s="119"/>
      <c r="J556" s="119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4"/>
      <c r="AD556" s="237"/>
    </row>
    <row r="557">
      <c r="F557" s="119"/>
      <c r="G557" s="119"/>
      <c r="H557" s="120"/>
      <c r="I557" s="119"/>
      <c r="J557" s="119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4"/>
      <c r="AD557" s="237"/>
    </row>
    <row r="558">
      <c r="F558" s="119"/>
      <c r="G558" s="119"/>
      <c r="H558" s="120"/>
      <c r="I558" s="119"/>
      <c r="J558" s="119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4"/>
      <c r="AD558" s="237"/>
    </row>
    <row r="559">
      <c r="F559" s="119"/>
      <c r="G559" s="119"/>
      <c r="H559" s="120"/>
      <c r="I559" s="119"/>
      <c r="J559" s="119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4"/>
      <c r="AD559" s="237"/>
    </row>
    <row r="560">
      <c r="F560" s="119"/>
      <c r="G560" s="119"/>
      <c r="H560" s="120"/>
      <c r="I560" s="119"/>
      <c r="J560" s="119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4"/>
      <c r="AD560" s="237"/>
    </row>
    <row r="561">
      <c r="F561" s="119"/>
      <c r="G561" s="119"/>
      <c r="H561" s="120"/>
      <c r="I561" s="119"/>
      <c r="J561" s="119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4"/>
      <c r="AD561" s="237"/>
    </row>
    <row r="562">
      <c r="F562" s="119"/>
      <c r="G562" s="119"/>
      <c r="H562" s="120"/>
      <c r="I562" s="119"/>
      <c r="J562" s="119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4"/>
      <c r="AD562" s="237"/>
    </row>
    <row r="563">
      <c r="F563" s="119"/>
      <c r="G563" s="119"/>
      <c r="H563" s="120"/>
      <c r="I563" s="119"/>
      <c r="J563" s="119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4"/>
      <c r="AD563" s="237"/>
    </row>
    <row r="564">
      <c r="F564" s="119"/>
      <c r="G564" s="119"/>
      <c r="H564" s="120"/>
      <c r="I564" s="119"/>
      <c r="J564" s="119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4"/>
      <c r="AD564" s="237"/>
    </row>
    <row r="565">
      <c r="F565" s="119"/>
      <c r="G565" s="119"/>
      <c r="H565" s="120"/>
      <c r="I565" s="119"/>
      <c r="J565" s="119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4"/>
      <c r="AD565" s="237"/>
    </row>
    <row r="566">
      <c r="F566" s="119"/>
      <c r="G566" s="119"/>
      <c r="H566" s="120"/>
      <c r="I566" s="119"/>
      <c r="J566" s="119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4"/>
      <c r="AD566" s="237"/>
    </row>
    <row r="567">
      <c r="F567" s="119"/>
      <c r="G567" s="119"/>
      <c r="H567" s="120"/>
      <c r="I567" s="119"/>
      <c r="J567" s="119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4"/>
      <c r="AD567" s="237"/>
    </row>
    <row r="568">
      <c r="F568" s="119"/>
      <c r="G568" s="119"/>
      <c r="H568" s="120"/>
      <c r="I568" s="119"/>
      <c r="J568" s="119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4"/>
      <c r="AD568" s="237"/>
    </row>
    <row r="569">
      <c r="F569" s="119"/>
      <c r="G569" s="119"/>
      <c r="H569" s="120"/>
      <c r="I569" s="119"/>
      <c r="J569" s="119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4"/>
      <c r="AD569" s="237"/>
    </row>
    <row r="570">
      <c r="F570" s="119"/>
      <c r="G570" s="119"/>
      <c r="H570" s="120"/>
      <c r="I570" s="119"/>
      <c r="J570" s="119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4"/>
      <c r="AD570" s="237"/>
    </row>
    <row r="571">
      <c r="F571" s="119"/>
      <c r="G571" s="119"/>
      <c r="H571" s="120"/>
      <c r="I571" s="119"/>
      <c r="J571" s="119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4"/>
      <c r="AD571" s="237"/>
    </row>
    <row r="572">
      <c r="F572" s="119"/>
      <c r="G572" s="119"/>
      <c r="H572" s="120"/>
      <c r="I572" s="119"/>
      <c r="J572" s="119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4"/>
      <c r="AD572" s="237"/>
    </row>
    <row r="573">
      <c r="F573" s="119"/>
      <c r="G573" s="119"/>
      <c r="H573" s="120"/>
      <c r="I573" s="119"/>
      <c r="J573" s="119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4"/>
      <c r="AD573" s="237"/>
    </row>
    <row r="574">
      <c r="F574" s="119"/>
      <c r="G574" s="119"/>
      <c r="H574" s="120"/>
      <c r="I574" s="119"/>
      <c r="J574" s="119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4"/>
      <c r="AD574" s="237"/>
    </row>
    <row r="575">
      <c r="F575" s="119"/>
      <c r="G575" s="119"/>
      <c r="H575" s="120"/>
      <c r="I575" s="119"/>
      <c r="J575" s="119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4"/>
      <c r="AD575" s="237"/>
    </row>
    <row r="576">
      <c r="F576" s="119"/>
      <c r="G576" s="119"/>
      <c r="H576" s="120"/>
      <c r="I576" s="119"/>
      <c r="J576" s="119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4"/>
      <c r="AD576" s="237"/>
    </row>
    <row r="577">
      <c r="F577" s="119"/>
      <c r="G577" s="119"/>
      <c r="H577" s="120"/>
      <c r="I577" s="119"/>
      <c r="J577" s="119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4"/>
      <c r="AD577" s="237"/>
    </row>
    <row r="578">
      <c r="F578" s="119"/>
      <c r="G578" s="119"/>
      <c r="H578" s="120"/>
      <c r="I578" s="119"/>
      <c r="J578" s="119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4"/>
      <c r="AD578" s="237"/>
    </row>
    <row r="579">
      <c r="F579" s="119"/>
      <c r="G579" s="119"/>
      <c r="H579" s="120"/>
      <c r="I579" s="119"/>
      <c r="J579" s="119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4"/>
      <c r="AD579" s="237"/>
    </row>
    <row r="580">
      <c r="F580" s="119"/>
      <c r="G580" s="119"/>
      <c r="H580" s="120"/>
      <c r="I580" s="119"/>
      <c r="J580" s="119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4"/>
      <c r="AD580" s="237"/>
    </row>
    <row r="581">
      <c r="F581" s="119"/>
      <c r="G581" s="119"/>
      <c r="H581" s="120"/>
      <c r="I581" s="119"/>
      <c r="J581" s="119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4"/>
      <c r="AD581" s="237"/>
    </row>
    <row r="582">
      <c r="F582" s="119"/>
      <c r="G582" s="119"/>
      <c r="H582" s="120"/>
      <c r="I582" s="119"/>
      <c r="J582" s="119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4"/>
      <c r="AD582" s="237"/>
    </row>
    <row r="583">
      <c r="F583" s="119"/>
      <c r="G583" s="119"/>
      <c r="H583" s="120"/>
      <c r="I583" s="119"/>
      <c r="J583" s="119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4"/>
      <c r="AD583" s="237"/>
    </row>
    <row r="584">
      <c r="F584" s="119"/>
      <c r="G584" s="119"/>
      <c r="H584" s="120"/>
      <c r="I584" s="119"/>
      <c r="J584" s="119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4"/>
      <c r="AD584" s="237"/>
    </row>
    <row r="585">
      <c r="F585" s="119"/>
      <c r="G585" s="119"/>
      <c r="H585" s="120"/>
      <c r="I585" s="119"/>
      <c r="J585" s="119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4"/>
      <c r="AD585" s="237"/>
    </row>
    <row r="586">
      <c r="F586" s="119"/>
      <c r="G586" s="119"/>
      <c r="H586" s="120"/>
      <c r="I586" s="119"/>
      <c r="J586" s="119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4"/>
      <c r="AD586" s="237"/>
    </row>
    <row r="587">
      <c r="F587" s="119"/>
      <c r="G587" s="119"/>
      <c r="H587" s="120"/>
      <c r="I587" s="119"/>
      <c r="J587" s="119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4"/>
      <c r="AD587" s="237"/>
    </row>
    <row r="588">
      <c r="F588" s="119"/>
      <c r="G588" s="119"/>
      <c r="H588" s="120"/>
      <c r="I588" s="119"/>
      <c r="J588" s="119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4"/>
      <c r="AD588" s="237"/>
    </row>
    <row r="589">
      <c r="F589" s="119"/>
      <c r="G589" s="119"/>
      <c r="H589" s="120"/>
      <c r="I589" s="119"/>
      <c r="J589" s="119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4"/>
      <c r="AD589" s="237"/>
    </row>
    <row r="590">
      <c r="F590" s="119"/>
      <c r="G590" s="119"/>
      <c r="H590" s="120"/>
      <c r="I590" s="119"/>
      <c r="J590" s="119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4"/>
      <c r="AD590" s="237"/>
    </row>
    <row r="591">
      <c r="F591" s="119"/>
      <c r="G591" s="119"/>
      <c r="H591" s="120"/>
      <c r="I591" s="119"/>
      <c r="J591" s="119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4"/>
      <c r="AD591" s="237"/>
    </row>
    <row r="592">
      <c r="F592" s="119"/>
      <c r="G592" s="119"/>
      <c r="H592" s="120"/>
      <c r="I592" s="119"/>
      <c r="J592" s="119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4"/>
      <c r="AD592" s="237"/>
    </row>
    <row r="593">
      <c r="F593" s="119"/>
      <c r="G593" s="119"/>
      <c r="H593" s="120"/>
      <c r="I593" s="119"/>
      <c r="J593" s="119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4"/>
      <c r="AD593" s="237"/>
    </row>
    <row r="594">
      <c r="F594" s="119"/>
      <c r="G594" s="119"/>
      <c r="H594" s="120"/>
      <c r="I594" s="119"/>
      <c r="J594" s="119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4"/>
      <c r="AD594" s="237"/>
    </row>
    <row r="595">
      <c r="F595" s="119"/>
      <c r="G595" s="119"/>
      <c r="H595" s="120"/>
      <c r="I595" s="119"/>
      <c r="J595" s="119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4"/>
      <c r="AD595" s="237"/>
    </row>
    <row r="596">
      <c r="F596" s="119"/>
      <c r="G596" s="119"/>
      <c r="H596" s="120"/>
      <c r="I596" s="119"/>
      <c r="J596" s="119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4"/>
      <c r="AD596" s="237"/>
    </row>
    <row r="597">
      <c r="F597" s="119"/>
      <c r="G597" s="119"/>
      <c r="H597" s="120"/>
      <c r="I597" s="119"/>
      <c r="J597" s="119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4"/>
      <c r="AD597" s="237"/>
    </row>
    <row r="598">
      <c r="F598" s="119"/>
      <c r="G598" s="119"/>
      <c r="H598" s="120"/>
      <c r="I598" s="119"/>
      <c r="J598" s="119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4"/>
      <c r="AD598" s="237"/>
    </row>
    <row r="599">
      <c r="F599" s="119"/>
      <c r="G599" s="119"/>
      <c r="H599" s="120"/>
      <c r="I599" s="119"/>
      <c r="J599" s="119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4"/>
      <c r="AD599" s="237"/>
    </row>
    <row r="600">
      <c r="F600" s="119"/>
      <c r="G600" s="119"/>
      <c r="H600" s="120"/>
      <c r="I600" s="119"/>
      <c r="J600" s="119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4"/>
      <c r="AD600" s="237"/>
    </row>
    <row r="601">
      <c r="F601" s="119"/>
      <c r="G601" s="119"/>
      <c r="H601" s="120"/>
      <c r="I601" s="119"/>
      <c r="J601" s="119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4"/>
      <c r="AD601" s="237"/>
    </row>
    <row r="602">
      <c r="F602" s="119"/>
      <c r="G602" s="119"/>
      <c r="H602" s="120"/>
      <c r="I602" s="119"/>
      <c r="J602" s="119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4"/>
      <c r="AD602" s="237"/>
    </row>
    <row r="603">
      <c r="F603" s="119"/>
      <c r="G603" s="119"/>
      <c r="H603" s="120"/>
      <c r="I603" s="119"/>
      <c r="J603" s="119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4"/>
      <c r="AD603" s="237"/>
    </row>
    <row r="604">
      <c r="F604" s="119"/>
      <c r="G604" s="119"/>
      <c r="H604" s="120"/>
      <c r="I604" s="119"/>
      <c r="J604" s="119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4"/>
      <c r="AD604" s="237"/>
    </row>
    <row r="605">
      <c r="F605" s="119"/>
      <c r="G605" s="119"/>
      <c r="H605" s="120"/>
      <c r="I605" s="119"/>
      <c r="J605" s="119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4"/>
      <c r="AD605" s="237"/>
    </row>
    <row r="606">
      <c r="F606" s="119"/>
      <c r="G606" s="119"/>
      <c r="H606" s="120"/>
      <c r="I606" s="119"/>
      <c r="J606" s="119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4"/>
      <c r="AD606" s="237"/>
    </row>
    <row r="607">
      <c r="F607" s="119"/>
      <c r="G607" s="119"/>
      <c r="H607" s="120"/>
      <c r="I607" s="119"/>
      <c r="J607" s="119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4"/>
      <c r="AD607" s="237"/>
    </row>
    <row r="608">
      <c r="F608" s="119"/>
      <c r="G608" s="119"/>
      <c r="H608" s="120"/>
      <c r="I608" s="119"/>
      <c r="J608" s="119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4"/>
      <c r="AD608" s="237"/>
    </row>
    <row r="609">
      <c r="F609" s="119"/>
      <c r="G609" s="119"/>
      <c r="H609" s="120"/>
      <c r="I609" s="119"/>
      <c r="J609" s="119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4"/>
      <c r="AD609" s="237"/>
    </row>
    <row r="610">
      <c r="F610" s="119"/>
      <c r="G610" s="119"/>
      <c r="H610" s="120"/>
      <c r="I610" s="119"/>
      <c r="J610" s="119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4"/>
      <c r="AD610" s="237"/>
    </row>
    <row r="611">
      <c r="F611" s="119"/>
      <c r="G611" s="119"/>
      <c r="H611" s="120"/>
      <c r="I611" s="119"/>
      <c r="J611" s="119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4"/>
      <c r="AD611" s="237"/>
    </row>
    <row r="612">
      <c r="F612" s="119"/>
      <c r="G612" s="119"/>
      <c r="H612" s="120"/>
      <c r="I612" s="119"/>
      <c r="J612" s="119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4"/>
      <c r="AD612" s="237"/>
    </row>
    <row r="613">
      <c r="F613" s="119"/>
      <c r="G613" s="119"/>
      <c r="H613" s="120"/>
      <c r="I613" s="119"/>
      <c r="J613" s="119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4"/>
      <c r="AD613" s="237"/>
    </row>
    <row r="614">
      <c r="F614" s="119"/>
      <c r="G614" s="119"/>
      <c r="H614" s="120"/>
      <c r="I614" s="119"/>
      <c r="J614" s="119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4"/>
      <c r="AD614" s="237"/>
    </row>
    <row r="615">
      <c r="F615" s="119"/>
      <c r="G615" s="119"/>
      <c r="H615" s="120"/>
      <c r="I615" s="119"/>
      <c r="J615" s="119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4"/>
      <c r="AD615" s="237"/>
    </row>
    <row r="616">
      <c r="F616" s="119"/>
      <c r="G616" s="119"/>
      <c r="H616" s="120"/>
      <c r="I616" s="119"/>
      <c r="J616" s="119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4"/>
      <c r="AD616" s="237"/>
    </row>
    <row r="617">
      <c r="F617" s="119"/>
      <c r="G617" s="119"/>
      <c r="H617" s="120"/>
      <c r="I617" s="119"/>
      <c r="J617" s="119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4"/>
      <c r="AD617" s="237"/>
    </row>
    <row r="618">
      <c r="F618" s="119"/>
      <c r="G618" s="119"/>
      <c r="H618" s="120"/>
      <c r="I618" s="119"/>
      <c r="J618" s="119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4"/>
      <c r="AD618" s="237"/>
    </row>
    <row r="619">
      <c r="F619" s="119"/>
      <c r="G619" s="119"/>
      <c r="H619" s="120"/>
      <c r="I619" s="119"/>
      <c r="J619" s="119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4"/>
      <c r="AD619" s="237"/>
    </row>
    <row r="620">
      <c r="F620" s="119"/>
      <c r="G620" s="119"/>
      <c r="H620" s="120"/>
      <c r="I620" s="119"/>
      <c r="J620" s="119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4"/>
      <c r="AD620" s="237"/>
    </row>
    <row r="621">
      <c r="F621" s="119"/>
      <c r="G621" s="119"/>
      <c r="H621" s="120"/>
      <c r="I621" s="119"/>
      <c r="J621" s="119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4"/>
      <c r="AD621" s="237"/>
    </row>
    <row r="622">
      <c r="F622" s="119"/>
      <c r="G622" s="119"/>
      <c r="H622" s="120"/>
      <c r="I622" s="119"/>
      <c r="J622" s="119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4"/>
      <c r="AD622" s="237"/>
    </row>
    <row r="623">
      <c r="F623" s="119"/>
      <c r="G623" s="119"/>
      <c r="H623" s="120"/>
      <c r="I623" s="119"/>
      <c r="J623" s="119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4"/>
      <c r="AD623" s="237"/>
    </row>
    <row r="624">
      <c r="F624" s="119"/>
      <c r="G624" s="119"/>
      <c r="H624" s="120"/>
      <c r="I624" s="119"/>
      <c r="J624" s="119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4"/>
      <c r="AD624" s="237"/>
    </row>
    <row r="625">
      <c r="F625" s="119"/>
      <c r="G625" s="119"/>
      <c r="H625" s="120"/>
      <c r="I625" s="119"/>
      <c r="J625" s="119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4"/>
      <c r="AD625" s="237"/>
    </row>
    <row r="626">
      <c r="F626" s="119"/>
      <c r="G626" s="119"/>
      <c r="H626" s="120"/>
      <c r="I626" s="119"/>
      <c r="J626" s="119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4"/>
      <c r="AD626" s="237"/>
    </row>
    <row r="627">
      <c r="F627" s="119"/>
      <c r="G627" s="119"/>
      <c r="H627" s="120"/>
      <c r="I627" s="119"/>
      <c r="J627" s="119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4"/>
      <c r="AD627" s="237"/>
    </row>
    <row r="628">
      <c r="F628" s="119"/>
      <c r="G628" s="119"/>
      <c r="H628" s="120"/>
      <c r="I628" s="119"/>
      <c r="J628" s="119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4"/>
      <c r="AD628" s="237"/>
    </row>
    <row r="629">
      <c r="F629" s="119"/>
      <c r="G629" s="119"/>
      <c r="H629" s="120"/>
      <c r="I629" s="119"/>
      <c r="J629" s="119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4"/>
      <c r="AD629" s="237"/>
    </row>
    <row r="630">
      <c r="F630" s="119"/>
      <c r="G630" s="119"/>
      <c r="H630" s="120"/>
      <c r="I630" s="119"/>
      <c r="J630" s="119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4"/>
      <c r="AD630" s="237"/>
    </row>
    <row r="631">
      <c r="F631" s="119"/>
      <c r="G631" s="119"/>
      <c r="H631" s="120"/>
      <c r="I631" s="119"/>
      <c r="J631" s="119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4"/>
      <c r="AD631" s="237"/>
    </row>
    <row r="632">
      <c r="F632" s="119"/>
      <c r="G632" s="119"/>
      <c r="H632" s="120"/>
      <c r="I632" s="119"/>
      <c r="J632" s="119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4"/>
      <c r="AD632" s="237"/>
    </row>
    <row r="633">
      <c r="F633" s="119"/>
      <c r="G633" s="119"/>
      <c r="H633" s="120"/>
      <c r="I633" s="119"/>
      <c r="J633" s="119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4"/>
      <c r="AD633" s="237"/>
    </row>
    <row r="634">
      <c r="F634" s="119"/>
      <c r="G634" s="119"/>
      <c r="H634" s="120"/>
      <c r="I634" s="119"/>
      <c r="J634" s="119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4"/>
      <c r="AD634" s="237"/>
    </row>
    <row r="635">
      <c r="F635" s="119"/>
      <c r="G635" s="119"/>
      <c r="H635" s="120"/>
      <c r="I635" s="119"/>
      <c r="J635" s="119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4"/>
      <c r="AD635" s="237"/>
    </row>
    <row r="636">
      <c r="F636" s="119"/>
      <c r="G636" s="119"/>
      <c r="H636" s="120"/>
      <c r="I636" s="119"/>
      <c r="J636" s="119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4"/>
      <c r="AD636" s="237"/>
    </row>
    <row r="637">
      <c r="F637" s="119"/>
      <c r="G637" s="119"/>
      <c r="H637" s="120"/>
      <c r="I637" s="119"/>
      <c r="J637" s="119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4"/>
      <c r="AD637" s="237"/>
    </row>
    <row r="638">
      <c r="F638" s="119"/>
      <c r="G638" s="119"/>
      <c r="H638" s="120"/>
      <c r="I638" s="119"/>
      <c r="J638" s="119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4"/>
      <c r="AD638" s="237"/>
    </row>
    <row r="639">
      <c r="F639" s="119"/>
      <c r="G639" s="119"/>
      <c r="H639" s="120"/>
      <c r="I639" s="119"/>
      <c r="J639" s="119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4"/>
      <c r="AD639" s="237"/>
    </row>
    <row r="640">
      <c r="F640" s="119"/>
      <c r="G640" s="119"/>
      <c r="H640" s="120"/>
      <c r="I640" s="119"/>
      <c r="J640" s="119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4"/>
      <c r="AD640" s="237"/>
    </row>
    <row r="641">
      <c r="F641" s="119"/>
      <c r="G641" s="119"/>
      <c r="H641" s="120"/>
      <c r="I641" s="119"/>
      <c r="J641" s="119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4"/>
      <c r="AD641" s="237"/>
    </row>
    <row r="642">
      <c r="F642" s="119"/>
      <c r="G642" s="119"/>
      <c r="H642" s="120"/>
      <c r="I642" s="119"/>
      <c r="J642" s="119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4"/>
      <c r="AD642" s="237"/>
    </row>
    <row r="643">
      <c r="F643" s="119"/>
      <c r="G643" s="119"/>
      <c r="H643" s="120"/>
      <c r="I643" s="119"/>
      <c r="J643" s="119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4"/>
      <c r="AD643" s="237"/>
    </row>
    <row r="644">
      <c r="F644" s="119"/>
      <c r="G644" s="119"/>
      <c r="H644" s="120"/>
      <c r="I644" s="119"/>
      <c r="J644" s="119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4"/>
      <c r="AD644" s="237"/>
    </row>
    <row r="645">
      <c r="F645" s="119"/>
      <c r="G645" s="119"/>
      <c r="H645" s="120"/>
      <c r="I645" s="119"/>
      <c r="J645" s="119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4"/>
      <c r="AD645" s="237"/>
    </row>
    <row r="646">
      <c r="F646" s="119"/>
      <c r="G646" s="119"/>
      <c r="H646" s="120"/>
      <c r="I646" s="119"/>
      <c r="J646" s="119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4"/>
      <c r="AD646" s="237"/>
    </row>
    <row r="647">
      <c r="F647" s="119"/>
      <c r="G647" s="119"/>
      <c r="H647" s="120"/>
      <c r="I647" s="119"/>
      <c r="J647" s="119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4"/>
      <c r="AD647" s="237"/>
    </row>
    <row r="648">
      <c r="F648" s="119"/>
      <c r="G648" s="119"/>
      <c r="H648" s="120"/>
      <c r="I648" s="119"/>
      <c r="J648" s="119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4"/>
      <c r="AD648" s="237"/>
    </row>
    <row r="649">
      <c r="F649" s="119"/>
      <c r="G649" s="119"/>
      <c r="H649" s="120"/>
      <c r="I649" s="119"/>
      <c r="J649" s="119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4"/>
      <c r="AD649" s="237"/>
    </row>
    <row r="650">
      <c r="F650" s="119"/>
      <c r="G650" s="119"/>
      <c r="H650" s="120"/>
      <c r="I650" s="119"/>
      <c r="J650" s="119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4"/>
      <c r="AD650" s="237"/>
    </row>
    <row r="651">
      <c r="F651" s="119"/>
      <c r="G651" s="119"/>
      <c r="H651" s="120"/>
      <c r="I651" s="119"/>
      <c r="J651" s="119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4"/>
      <c r="AD651" s="237"/>
    </row>
    <row r="652">
      <c r="F652" s="119"/>
      <c r="G652" s="119"/>
      <c r="H652" s="120"/>
      <c r="I652" s="119"/>
      <c r="J652" s="119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4"/>
      <c r="AD652" s="237"/>
    </row>
    <row r="653">
      <c r="F653" s="119"/>
      <c r="G653" s="119"/>
      <c r="H653" s="120"/>
      <c r="I653" s="119"/>
      <c r="J653" s="119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4"/>
      <c r="AD653" s="237"/>
    </row>
    <row r="654">
      <c r="F654" s="119"/>
      <c r="G654" s="119"/>
      <c r="H654" s="120"/>
      <c r="I654" s="119"/>
      <c r="J654" s="119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4"/>
      <c r="AD654" s="237"/>
    </row>
    <row r="655">
      <c r="F655" s="119"/>
      <c r="G655" s="119"/>
      <c r="H655" s="120"/>
      <c r="I655" s="119"/>
      <c r="J655" s="119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4"/>
      <c r="AD655" s="237"/>
    </row>
    <row r="656">
      <c r="F656" s="119"/>
      <c r="G656" s="119"/>
      <c r="H656" s="120"/>
      <c r="I656" s="119"/>
      <c r="J656" s="119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4"/>
      <c r="AD656" s="237"/>
    </row>
    <row r="657">
      <c r="F657" s="119"/>
      <c r="G657" s="119"/>
      <c r="H657" s="120"/>
      <c r="I657" s="119"/>
      <c r="J657" s="119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4"/>
      <c r="AD657" s="237"/>
    </row>
    <row r="658">
      <c r="F658" s="119"/>
      <c r="G658" s="119"/>
      <c r="H658" s="120"/>
      <c r="I658" s="119"/>
      <c r="J658" s="119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4"/>
      <c r="AD658" s="237"/>
    </row>
    <row r="659">
      <c r="F659" s="119"/>
      <c r="G659" s="119"/>
      <c r="H659" s="120"/>
      <c r="I659" s="119"/>
      <c r="J659" s="119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4"/>
      <c r="AD659" s="237"/>
    </row>
    <row r="660">
      <c r="F660" s="119"/>
      <c r="G660" s="119"/>
      <c r="H660" s="120"/>
      <c r="I660" s="119"/>
      <c r="J660" s="119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4"/>
      <c r="AD660" s="237"/>
    </row>
    <row r="661">
      <c r="F661" s="119"/>
      <c r="G661" s="119"/>
      <c r="H661" s="120"/>
      <c r="I661" s="119"/>
      <c r="J661" s="119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4"/>
      <c r="AD661" s="237"/>
    </row>
    <row r="662">
      <c r="F662" s="119"/>
      <c r="G662" s="119"/>
      <c r="H662" s="120"/>
      <c r="I662" s="119"/>
      <c r="J662" s="119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4"/>
      <c r="AD662" s="237"/>
    </row>
    <row r="663">
      <c r="F663" s="119"/>
      <c r="G663" s="119"/>
      <c r="H663" s="120"/>
      <c r="I663" s="119"/>
      <c r="J663" s="119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4"/>
      <c r="AD663" s="237"/>
    </row>
    <row r="664">
      <c r="F664" s="119"/>
      <c r="G664" s="119"/>
      <c r="H664" s="120"/>
      <c r="I664" s="119"/>
      <c r="J664" s="119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4"/>
      <c r="AD664" s="237"/>
    </row>
    <row r="665">
      <c r="F665" s="119"/>
      <c r="G665" s="119"/>
      <c r="H665" s="120"/>
      <c r="I665" s="119"/>
      <c r="J665" s="119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4"/>
      <c r="AD665" s="237"/>
    </row>
    <row r="666">
      <c r="F666" s="119"/>
      <c r="G666" s="119"/>
      <c r="H666" s="120"/>
      <c r="I666" s="119"/>
      <c r="J666" s="119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4"/>
      <c r="AD666" s="237"/>
    </row>
    <row r="667">
      <c r="F667" s="119"/>
      <c r="G667" s="119"/>
      <c r="H667" s="120"/>
      <c r="I667" s="119"/>
      <c r="J667" s="119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4"/>
      <c r="AD667" s="237"/>
    </row>
    <row r="668">
      <c r="F668" s="119"/>
      <c r="G668" s="119"/>
      <c r="H668" s="120"/>
      <c r="I668" s="119"/>
      <c r="J668" s="119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4"/>
      <c r="AD668" s="237"/>
    </row>
    <row r="669">
      <c r="F669" s="119"/>
      <c r="G669" s="119"/>
      <c r="H669" s="120"/>
      <c r="I669" s="119"/>
      <c r="J669" s="119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4"/>
      <c r="AD669" s="237"/>
    </row>
    <row r="670">
      <c r="F670" s="119"/>
      <c r="G670" s="119"/>
      <c r="H670" s="120"/>
      <c r="I670" s="119"/>
      <c r="J670" s="119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4"/>
      <c r="AD670" s="237"/>
    </row>
    <row r="671">
      <c r="F671" s="119"/>
      <c r="G671" s="119"/>
      <c r="H671" s="120"/>
      <c r="I671" s="119"/>
      <c r="J671" s="119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4"/>
      <c r="AD671" s="237"/>
    </row>
    <row r="672">
      <c r="F672" s="119"/>
      <c r="G672" s="119"/>
      <c r="H672" s="120"/>
      <c r="I672" s="119"/>
      <c r="J672" s="119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4"/>
      <c r="AD672" s="237"/>
    </row>
    <row r="673">
      <c r="F673" s="119"/>
      <c r="G673" s="119"/>
      <c r="H673" s="120"/>
      <c r="I673" s="119"/>
      <c r="J673" s="119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4"/>
      <c r="AD673" s="237"/>
    </row>
    <row r="674">
      <c r="F674" s="119"/>
      <c r="G674" s="119"/>
      <c r="H674" s="120"/>
      <c r="I674" s="119"/>
      <c r="J674" s="119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4"/>
      <c r="AD674" s="237"/>
    </row>
    <row r="675">
      <c r="F675" s="119"/>
      <c r="G675" s="119"/>
      <c r="H675" s="120"/>
      <c r="I675" s="119"/>
      <c r="J675" s="119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4"/>
      <c r="AD675" s="237"/>
    </row>
    <row r="676">
      <c r="F676" s="119"/>
      <c r="G676" s="119"/>
      <c r="H676" s="120"/>
      <c r="I676" s="119"/>
      <c r="J676" s="119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4"/>
      <c r="AD676" s="237"/>
    </row>
    <row r="677">
      <c r="F677" s="119"/>
      <c r="G677" s="119"/>
      <c r="H677" s="120"/>
      <c r="I677" s="119"/>
      <c r="J677" s="119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4"/>
      <c r="AD677" s="237"/>
    </row>
    <row r="678">
      <c r="F678" s="119"/>
      <c r="G678" s="119"/>
      <c r="H678" s="120"/>
      <c r="I678" s="119"/>
      <c r="J678" s="119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4"/>
      <c r="AD678" s="237"/>
    </row>
    <row r="679">
      <c r="F679" s="119"/>
      <c r="G679" s="119"/>
      <c r="H679" s="120"/>
      <c r="I679" s="119"/>
      <c r="J679" s="119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4"/>
      <c r="AD679" s="237"/>
    </row>
    <row r="680">
      <c r="F680" s="119"/>
      <c r="G680" s="119"/>
      <c r="H680" s="120"/>
      <c r="I680" s="119"/>
      <c r="J680" s="119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4"/>
      <c r="AD680" s="237"/>
    </row>
    <row r="681">
      <c r="F681" s="119"/>
      <c r="G681" s="119"/>
      <c r="H681" s="120"/>
      <c r="I681" s="119"/>
      <c r="J681" s="119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4"/>
      <c r="AD681" s="237"/>
    </row>
    <row r="682">
      <c r="F682" s="119"/>
      <c r="G682" s="119"/>
      <c r="H682" s="120"/>
      <c r="I682" s="119"/>
      <c r="J682" s="119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4"/>
      <c r="AD682" s="237"/>
    </row>
    <row r="683">
      <c r="F683" s="119"/>
      <c r="G683" s="119"/>
      <c r="H683" s="120"/>
      <c r="I683" s="119"/>
      <c r="J683" s="119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4"/>
      <c r="AD683" s="237"/>
    </row>
    <row r="684">
      <c r="F684" s="119"/>
      <c r="G684" s="119"/>
      <c r="H684" s="120"/>
      <c r="I684" s="119"/>
      <c r="J684" s="119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4"/>
      <c r="AD684" s="237"/>
    </row>
    <row r="685">
      <c r="F685" s="119"/>
      <c r="G685" s="119"/>
      <c r="H685" s="120"/>
      <c r="I685" s="119"/>
      <c r="J685" s="119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4"/>
      <c r="AD685" s="237"/>
    </row>
    <row r="686">
      <c r="F686" s="119"/>
      <c r="G686" s="119"/>
      <c r="H686" s="120"/>
      <c r="I686" s="119"/>
      <c r="J686" s="119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4"/>
      <c r="AD686" s="237"/>
    </row>
    <row r="687">
      <c r="F687" s="119"/>
      <c r="G687" s="119"/>
      <c r="H687" s="120"/>
      <c r="I687" s="119"/>
      <c r="J687" s="119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4"/>
      <c r="AD687" s="237"/>
    </row>
    <row r="688">
      <c r="F688" s="119"/>
      <c r="G688" s="119"/>
      <c r="H688" s="120"/>
      <c r="I688" s="119"/>
      <c r="J688" s="119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4"/>
      <c r="AD688" s="237"/>
    </row>
    <row r="689">
      <c r="F689" s="119"/>
      <c r="G689" s="119"/>
      <c r="H689" s="120"/>
      <c r="I689" s="119"/>
      <c r="J689" s="119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4"/>
      <c r="AD689" s="237"/>
    </row>
    <row r="690">
      <c r="F690" s="119"/>
      <c r="G690" s="119"/>
      <c r="H690" s="120"/>
      <c r="I690" s="119"/>
      <c r="J690" s="119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4"/>
      <c r="AD690" s="237"/>
    </row>
    <row r="691">
      <c r="F691" s="119"/>
      <c r="G691" s="119"/>
      <c r="H691" s="120"/>
      <c r="I691" s="119"/>
      <c r="J691" s="119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4"/>
      <c r="AD691" s="237"/>
    </row>
    <row r="692">
      <c r="F692" s="119"/>
      <c r="G692" s="119"/>
      <c r="H692" s="120"/>
      <c r="I692" s="119"/>
      <c r="J692" s="119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4"/>
      <c r="AD692" s="237"/>
    </row>
    <row r="693">
      <c r="F693" s="119"/>
      <c r="G693" s="119"/>
      <c r="H693" s="120"/>
      <c r="I693" s="119"/>
      <c r="J693" s="119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4"/>
      <c r="AD693" s="237"/>
    </row>
    <row r="694">
      <c r="F694" s="119"/>
      <c r="G694" s="119"/>
      <c r="H694" s="120"/>
      <c r="I694" s="119"/>
      <c r="J694" s="119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4"/>
      <c r="AD694" s="237"/>
    </row>
    <row r="695">
      <c r="F695" s="119"/>
      <c r="G695" s="119"/>
      <c r="H695" s="120"/>
      <c r="I695" s="119"/>
      <c r="J695" s="119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4"/>
      <c r="AD695" s="237"/>
    </row>
    <row r="696">
      <c r="F696" s="119"/>
      <c r="G696" s="119"/>
      <c r="H696" s="120"/>
      <c r="I696" s="119"/>
      <c r="J696" s="119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4"/>
      <c r="AD696" s="237"/>
    </row>
    <row r="697">
      <c r="F697" s="119"/>
      <c r="G697" s="119"/>
      <c r="H697" s="120"/>
      <c r="I697" s="119"/>
      <c r="J697" s="119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4"/>
      <c r="AD697" s="237"/>
    </row>
    <row r="698">
      <c r="F698" s="119"/>
      <c r="G698" s="119"/>
      <c r="H698" s="120"/>
      <c r="I698" s="119"/>
      <c r="J698" s="119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4"/>
      <c r="AD698" s="237"/>
    </row>
    <row r="699">
      <c r="F699" s="119"/>
      <c r="G699" s="119"/>
      <c r="H699" s="120"/>
      <c r="I699" s="119"/>
      <c r="J699" s="119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4"/>
      <c r="AD699" s="237"/>
    </row>
    <row r="700">
      <c r="F700" s="119"/>
      <c r="G700" s="119"/>
      <c r="H700" s="120"/>
      <c r="I700" s="119"/>
      <c r="J700" s="119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4"/>
      <c r="AD700" s="237"/>
    </row>
    <row r="701">
      <c r="F701" s="119"/>
      <c r="G701" s="119"/>
      <c r="H701" s="120"/>
      <c r="I701" s="119"/>
      <c r="J701" s="119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4"/>
      <c r="AD701" s="237"/>
    </row>
    <row r="702">
      <c r="F702" s="119"/>
      <c r="G702" s="119"/>
      <c r="H702" s="120"/>
      <c r="I702" s="119"/>
      <c r="J702" s="119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4"/>
      <c r="AD702" s="237"/>
    </row>
    <row r="703">
      <c r="F703" s="119"/>
      <c r="G703" s="119"/>
      <c r="H703" s="120"/>
      <c r="I703" s="119"/>
      <c r="J703" s="119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4"/>
      <c r="AD703" s="237"/>
    </row>
    <row r="704">
      <c r="F704" s="119"/>
      <c r="G704" s="119"/>
      <c r="H704" s="120"/>
      <c r="I704" s="119"/>
      <c r="J704" s="119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4"/>
      <c r="AD704" s="237"/>
    </row>
    <row r="705">
      <c r="F705" s="119"/>
      <c r="G705" s="119"/>
      <c r="H705" s="120"/>
      <c r="I705" s="119"/>
      <c r="J705" s="119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4"/>
      <c r="AD705" s="237"/>
    </row>
    <row r="706">
      <c r="F706" s="119"/>
      <c r="G706" s="119"/>
      <c r="H706" s="120"/>
      <c r="I706" s="119"/>
      <c r="J706" s="119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4"/>
      <c r="AD706" s="237"/>
    </row>
    <row r="707">
      <c r="F707" s="119"/>
      <c r="G707" s="119"/>
      <c r="H707" s="120"/>
      <c r="I707" s="119"/>
      <c r="J707" s="119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4"/>
      <c r="AD707" s="237"/>
    </row>
    <row r="708">
      <c r="F708" s="119"/>
      <c r="G708" s="119"/>
      <c r="H708" s="120"/>
      <c r="I708" s="119"/>
      <c r="J708" s="119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4"/>
      <c r="AD708" s="237"/>
    </row>
    <row r="709">
      <c r="F709" s="119"/>
      <c r="G709" s="119"/>
      <c r="H709" s="120"/>
      <c r="I709" s="119"/>
      <c r="J709" s="119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4"/>
      <c r="AD709" s="237"/>
    </row>
    <row r="710">
      <c r="F710" s="119"/>
      <c r="G710" s="119"/>
      <c r="H710" s="120"/>
      <c r="I710" s="119"/>
      <c r="J710" s="119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4"/>
      <c r="AD710" s="237"/>
    </row>
    <row r="711">
      <c r="F711" s="119"/>
      <c r="G711" s="119"/>
      <c r="H711" s="120"/>
      <c r="I711" s="119"/>
      <c r="J711" s="119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4"/>
      <c r="AD711" s="237"/>
    </row>
    <row r="712">
      <c r="F712" s="119"/>
      <c r="G712" s="119"/>
      <c r="H712" s="120"/>
      <c r="I712" s="119"/>
      <c r="J712" s="119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4"/>
      <c r="AD712" s="237"/>
    </row>
    <row r="713">
      <c r="F713" s="119"/>
      <c r="G713" s="119"/>
      <c r="H713" s="120"/>
      <c r="I713" s="119"/>
      <c r="J713" s="119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4"/>
      <c r="AD713" s="237"/>
    </row>
    <row r="714">
      <c r="F714" s="119"/>
      <c r="G714" s="119"/>
      <c r="H714" s="120"/>
      <c r="I714" s="119"/>
      <c r="J714" s="119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4"/>
      <c r="AD714" s="237"/>
    </row>
    <row r="715">
      <c r="F715" s="119"/>
      <c r="G715" s="119"/>
      <c r="H715" s="120"/>
      <c r="I715" s="119"/>
      <c r="J715" s="119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4"/>
      <c r="AD715" s="237"/>
    </row>
    <row r="716">
      <c r="F716" s="119"/>
      <c r="G716" s="119"/>
      <c r="H716" s="120"/>
      <c r="I716" s="119"/>
      <c r="J716" s="119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4"/>
      <c r="AD716" s="237"/>
    </row>
    <row r="717">
      <c r="F717" s="119"/>
      <c r="G717" s="119"/>
      <c r="H717" s="120"/>
      <c r="I717" s="119"/>
      <c r="J717" s="119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4"/>
      <c r="AD717" s="237"/>
    </row>
    <row r="718">
      <c r="F718" s="119"/>
      <c r="G718" s="119"/>
      <c r="H718" s="120"/>
      <c r="I718" s="119"/>
      <c r="J718" s="119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4"/>
      <c r="AD718" s="237"/>
    </row>
    <row r="719">
      <c r="F719" s="119"/>
      <c r="G719" s="119"/>
      <c r="H719" s="120"/>
      <c r="I719" s="119"/>
      <c r="J719" s="119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4"/>
      <c r="AD719" s="237"/>
    </row>
    <row r="720">
      <c r="F720" s="119"/>
      <c r="G720" s="119"/>
      <c r="H720" s="120"/>
      <c r="I720" s="119"/>
      <c r="J720" s="119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4"/>
      <c r="AD720" s="237"/>
    </row>
    <row r="721">
      <c r="F721" s="119"/>
      <c r="G721" s="119"/>
      <c r="H721" s="120"/>
      <c r="I721" s="119"/>
      <c r="J721" s="119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4"/>
      <c r="AD721" s="237"/>
    </row>
    <row r="722">
      <c r="F722" s="119"/>
      <c r="G722" s="119"/>
      <c r="H722" s="120"/>
      <c r="I722" s="119"/>
      <c r="J722" s="119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4"/>
      <c r="AD722" s="237"/>
    </row>
    <row r="723">
      <c r="F723" s="119"/>
      <c r="G723" s="119"/>
      <c r="H723" s="120"/>
      <c r="I723" s="119"/>
      <c r="J723" s="119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4"/>
      <c r="AD723" s="237"/>
    </row>
    <row r="724">
      <c r="F724" s="119"/>
      <c r="G724" s="119"/>
      <c r="H724" s="120"/>
      <c r="I724" s="119"/>
      <c r="J724" s="119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4"/>
      <c r="AD724" s="237"/>
    </row>
    <row r="725">
      <c r="F725" s="119"/>
      <c r="G725" s="119"/>
      <c r="H725" s="120"/>
      <c r="I725" s="119"/>
      <c r="J725" s="119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4"/>
      <c r="AD725" s="237"/>
    </row>
    <row r="726">
      <c r="F726" s="119"/>
      <c r="G726" s="119"/>
      <c r="H726" s="120"/>
      <c r="I726" s="119"/>
      <c r="J726" s="119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4"/>
      <c r="AD726" s="237"/>
    </row>
    <row r="727">
      <c r="F727" s="119"/>
      <c r="G727" s="119"/>
      <c r="H727" s="120"/>
      <c r="I727" s="119"/>
      <c r="J727" s="119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4"/>
      <c r="AD727" s="237"/>
    </row>
    <row r="728">
      <c r="F728" s="119"/>
      <c r="G728" s="119"/>
      <c r="H728" s="120"/>
      <c r="I728" s="119"/>
      <c r="J728" s="119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4"/>
      <c r="AD728" s="237"/>
    </row>
    <row r="729">
      <c r="F729" s="119"/>
      <c r="G729" s="119"/>
      <c r="H729" s="120"/>
      <c r="I729" s="119"/>
      <c r="J729" s="119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4"/>
      <c r="AD729" s="237"/>
    </row>
    <row r="730">
      <c r="F730" s="119"/>
      <c r="G730" s="119"/>
      <c r="H730" s="120"/>
      <c r="I730" s="119"/>
      <c r="J730" s="119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4"/>
      <c r="AD730" s="237"/>
    </row>
    <row r="731">
      <c r="F731" s="119"/>
      <c r="G731" s="119"/>
      <c r="H731" s="120"/>
      <c r="I731" s="119"/>
      <c r="J731" s="119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4"/>
      <c r="AD731" s="237"/>
    </row>
    <row r="732">
      <c r="F732" s="119"/>
      <c r="G732" s="119"/>
      <c r="H732" s="120"/>
      <c r="I732" s="119"/>
      <c r="J732" s="119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4"/>
      <c r="AD732" s="237"/>
    </row>
    <row r="733">
      <c r="F733" s="119"/>
      <c r="G733" s="119"/>
      <c r="H733" s="120"/>
      <c r="I733" s="119"/>
      <c r="J733" s="119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4"/>
      <c r="AD733" s="237"/>
    </row>
    <row r="734">
      <c r="F734" s="119"/>
      <c r="G734" s="119"/>
      <c r="H734" s="120"/>
      <c r="I734" s="119"/>
      <c r="J734" s="119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4"/>
      <c r="AD734" s="237"/>
    </row>
    <row r="735">
      <c r="F735" s="119"/>
      <c r="G735" s="119"/>
      <c r="H735" s="120"/>
      <c r="I735" s="119"/>
      <c r="J735" s="119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4"/>
      <c r="AD735" s="237"/>
    </row>
    <row r="736">
      <c r="F736" s="119"/>
      <c r="G736" s="119"/>
      <c r="H736" s="120"/>
      <c r="I736" s="119"/>
      <c r="J736" s="119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4"/>
      <c r="AD736" s="237"/>
    </row>
    <row r="737">
      <c r="F737" s="119"/>
      <c r="G737" s="119"/>
      <c r="H737" s="120"/>
      <c r="I737" s="119"/>
      <c r="J737" s="119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4"/>
      <c r="AD737" s="237"/>
    </row>
    <row r="738">
      <c r="F738" s="119"/>
      <c r="G738" s="119"/>
      <c r="H738" s="120"/>
      <c r="I738" s="119"/>
      <c r="J738" s="119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4"/>
      <c r="AD738" s="237"/>
    </row>
    <row r="739">
      <c r="F739" s="119"/>
      <c r="G739" s="119"/>
      <c r="H739" s="120"/>
      <c r="I739" s="119"/>
      <c r="J739" s="119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4"/>
      <c r="AD739" s="237"/>
    </row>
    <row r="740">
      <c r="F740" s="119"/>
      <c r="G740" s="119"/>
      <c r="H740" s="120"/>
      <c r="I740" s="119"/>
      <c r="J740" s="119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4"/>
      <c r="AD740" s="237"/>
    </row>
    <row r="741">
      <c r="F741" s="119"/>
      <c r="G741" s="119"/>
      <c r="H741" s="120"/>
      <c r="I741" s="119"/>
      <c r="J741" s="119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4"/>
      <c r="AD741" s="237"/>
    </row>
    <row r="742">
      <c r="F742" s="119"/>
      <c r="G742" s="119"/>
      <c r="H742" s="120"/>
      <c r="I742" s="119"/>
      <c r="J742" s="119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4"/>
      <c r="AD742" s="237"/>
    </row>
    <row r="743">
      <c r="F743" s="119"/>
      <c r="G743" s="119"/>
      <c r="H743" s="120"/>
      <c r="I743" s="119"/>
      <c r="J743" s="119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4"/>
      <c r="AD743" s="237"/>
    </row>
    <row r="744">
      <c r="F744" s="119"/>
      <c r="G744" s="119"/>
      <c r="H744" s="120"/>
      <c r="I744" s="119"/>
      <c r="J744" s="119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4"/>
      <c r="AD744" s="237"/>
    </row>
    <row r="745">
      <c r="F745" s="119"/>
      <c r="G745" s="119"/>
      <c r="H745" s="120"/>
      <c r="I745" s="119"/>
      <c r="J745" s="119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4"/>
      <c r="AD745" s="237"/>
    </row>
    <row r="746">
      <c r="F746" s="119"/>
      <c r="G746" s="119"/>
      <c r="H746" s="120"/>
      <c r="I746" s="119"/>
      <c r="J746" s="119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4"/>
      <c r="AD746" s="237"/>
    </row>
    <row r="747">
      <c r="F747" s="119"/>
      <c r="G747" s="119"/>
      <c r="H747" s="120"/>
      <c r="I747" s="119"/>
      <c r="J747" s="119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4"/>
      <c r="AD747" s="237"/>
    </row>
    <row r="748">
      <c r="F748" s="119"/>
      <c r="G748" s="119"/>
      <c r="H748" s="120"/>
      <c r="I748" s="119"/>
      <c r="J748" s="119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4"/>
      <c r="AD748" s="237"/>
    </row>
    <row r="749">
      <c r="F749" s="119"/>
      <c r="G749" s="119"/>
      <c r="H749" s="120"/>
      <c r="I749" s="119"/>
      <c r="J749" s="119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4"/>
      <c r="AD749" s="237"/>
    </row>
    <row r="750">
      <c r="F750" s="119"/>
      <c r="G750" s="119"/>
      <c r="H750" s="120"/>
      <c r="I750" s="119"/>
      <c r="J750" s="119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4"/>
      <c r="AD750" s="237"/>
    </row>
    <row r="751">
      <c r="F751" s="119"/>
      <c r="G751" s="119"/>
      <c r="H751" s="120"/>
      <c r="I751" s="119"/>
      <c r="J751" s="119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4"/>
      <c r="AD751" s="237"/>
    </row>
    <row r="752">
      <c r="F752" s="119"/>
      <c r="G752" s="119"/>
      <c r="H752" s="120"/>
      <c r="I752" s="119"/>
      <c r="J752" s="119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4"/>
      <c r="AD752" s="237"/>
    </row>
    <row r="753">
      <c r="F753" s="119"/>
      <c r="G753" s="119"/>
      <c r="H753" s="120"/>
      <c r="I753" s="119"/>
      <c r="J753" s="119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4"/>
      <c r="AD753" s="237"/>
    </row>
    <row r="754">
      <c r="F754" s="119"/>
      <c r="G754" s="119"/>
      <c r="H754" s="120"/>
      <c r="I754" s="119"/>
      <c r="J754" s="119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4"/>
      <c r="AD754" s="237"/>
    </row>
    <row r="755">
      <c r="F755" s="119"/>
      <c r="G755" s="119"/>
      <c r="H755" s="120"/>
      <c r="I755" s="119"/>
      <c r="J755" s="119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4"/>
      <c r="AD755" s="237"/>
    </row>
    <row r="756">
      <c r="F756" s="119"/>
      <c r="G756" s="119"/>
      <c r="H756" s="120"/>
      <c r="I756" s="119"/>
      <c r="J756" s="119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4"/>
      <c r="AD756" s="237"/>
    </row>
    <row r="757">
      <c r="F757" s="119"/>
      <c r="G757" s="119"/>
      <c r="H757" s="120"/>
      <c r="I757" s="119"/>
      <c r="J757" s="119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4"/>
      <c r="AD757" s="237"/>
    </row>
    <row r="758">
      <c r="F758" s="119"/>
      <c r="G758" s="119"/>
      <c r="H758" s="120"/>
      <c r="I758" s="119"/>
      <c r="J758" s="119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4"/>
      <c r="AD758" s="237"/>
    </row>
    <row r="759">
      <c r="F759" s="119"/>
      <c r="G759" s="119"/>
      <c r="H759" s="120"/>
      <c r="I759" s="119"/>
      <c r="J759" s="119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4"/>
      <c r="AD759" s="237"/>
    </row>
    <row r="760">
      <c r="F760" s="119"/>
      <c r="G760" s="119"/>
      <c r="H760" s="120"/>
      <c r="I760" s="119"/>
      <c r="J760" s="119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4"/>
      <c r="AD760" s="237"/>
    </row>
    <row r="761">
      <c r="F761" s="119"/>
      <c r="G761" s="119"/>
      <c r="H761" s="120"/>
      <c r="I761" s="119"/>
      <c r="J761" s="119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4"/>
      <c r="AD761" s="237"/>
    </row>
    <row r="762">
      <c r="F762" s="119"/>
      <c r="G762" s="119"/>
      <c r="H762" s="120"/>
      <c r="I762" s="119"/>
      <c r="J762" s="119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4"/>
      <c r="AD762" s="237"/>
    </row>
    <row r="763">
      <c r="F763" s="119"/>
      <c r="G763" s="119"/>
      <c r="H763" s="120"/>
      <c r="I763" s="119"/>
      <c r="J763" s="119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4"/>
      <c r="AD763" s="237"/>
    </row>
    <row r="764">
      <c r="F764" s="119"/>
      <c r="G764" s="119"/>
      <c r="H764" s="120"/>
      <c r="I764" s="119"/>
      <c r="J764" s="119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4"/>
      <c r="AD764" s="237"/>
    </row>
    <row r="765">
      <c r="F765" s="119"/>
      <c r="G765" s="119"/>
      <c r="H765" s="120"/>
      <c r="I765" s="119"/>
      <c r="J765" s="119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4"/>
      <c r="AD765" s="237"/>
    </row>
    <row r="766">
      <c r="F766" s="119"/>
      <c r="G766" s="119"/>
      <c r="H766" s="120"/>
      <c r="I766" s="119"/>
      <c r="J766" s="119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4"/>
      <c r="AD766" s="237"/>
    </row>
    <row r="767">
      <c r="F767" s="119"/>
      <c r="G767" s="119"/>
      <c r="H767" s="120"/>
      <c r="I767" s="119"/>
      <c r="J767" s="119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4"/>
      <c r="AD767" s="237"/>
    </row>
    <row r="768">
      <c r="F768" s="119"/>
      <c r="G768" s="119"/>
      <c r="H768" s="120"/>
      <c r="I768" s="119"/>
      <c r="J768" s="119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4"/>
      <c r="AD768" s="237"/>
    </row>
    <row r="769">
      <c r="F769" s="119"/>
      <c r="G769" s="119"/>
      <c r="H769" s="120"/>
      <c r="I769" s="119"/>
      <c r="J769" s="119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4"/>
      <c r="AD769" s="237"/>
    </row>
    <row r="770">
      <c r="F770" s="119"/>
      <c r="G770" s="119"/>
      <c r="H770" s="120"/>
      <c r="I770" s="119"/>
      <c r="J770" s="119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4"/>
      <c r="AD770" s="237"/>
    </row>
    <row r="771">
      <c r="F771" s="119"/>
      <c r="G771" s="119"/>
      <c r="H771" s="120"/>
      <c r="I771" s="119"/>
      <c r="J771" s="119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4"/>
      <c r="AD771" s="237"/>
    </row>
    <row r="772">
      <c r="F772" s="119"/>
      <c r="G772" s="119"/>
      <c r="H772" s="120"/>
      <c r="I772" s="119"/>
      <c r="J772" s="119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4"/>
      <c r="AD772" s="237"/>
    </row>
    <row r="773">
      <c r="F773" s="119"/>
      <c r="G773" s="119"/>
      <c r="H773" s="120"/>
      <c r="I773" s="119"/>
      <c r="J773" s="119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4"/>
      <c r="AD773" s="237"/>
    </row>
    <row r="774">
      <c r="F774" s="119"/>
      <c r="G774" s="119"/>
      <c r="H774" s="120"/>
      <c r="I774" s="119"/>
      <c r="J774" s="119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4"/>
      <c r="AD774" s="237"/>
    </row>
    <row r="775">
      <c r="F775" s="119"/>
      <c r="G775" s="119"/>
      <c r="H775" s="120"/>
      <c r="I775" s="119"/>
      <c r="J775" s="119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4"/>
      <c r="AD775" s="237"/>
    </row>
    <row r="776">
      <c r="F776" s="119"/>
      <c r="G776" s="119"/>
      <c r="H776" s="120"/>
      <c r="I776" s="119"/>
      <c r="J776" s="119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4"/>
      <c r="AD776" s="237"/>
    </row>
    <row r="777">
      <c r="F777" s="119"/>
      <c r="G777" s="119"/>
      <c r="H777" s="120"/>
      <c r="I777" s="119"/>
      <c r="J777" s="119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4"/>
      <c r="AD777" s="237"/>
    </row>
    <row r="778">
      <c r="F778" s="119"/>
      <c r="G778" s="119"/>
      <c r="H778" s="120"/>
      <c r="I778" s="119"/>
      <c r="J778" s="119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4"/>
      <c r="AD778" s="237"/>
    </row>
    <row r="779">
      <c r="F779" s="119"/>
      <c r="G779" s="119"/>
      <c r="H779" s="120"/>
      <c r="I779" s="119"/>
      <c r="J779" s="119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4"/>
      <c r="AD779" s="237"/>
    </row>
    <row r="780">
      <c r="F780" s="119"/>
      <c r="G780" s="119"/>
      <c r="H780" s="120"/>
      <c r="I780" s="119"/>
      <c r="J780" s="119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4"/>
      <c r="AD780" s="237"/>
    </row>
    <row r="781">
      <c r="F781" s="119"/>
      <c r="G781" s="119"/>
      <c r="H781" s="120"/>
      <c r="I781" s="119"/>
      <c r="J781" s="119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4"/>
      <c r="AD781" s="237"/>
    </row>
    <row r="782">
      <c r="F782" s="119"/>
      <c r="G782" s="119"/>
      <c r="H782" s="120"/>
      <c r="I782" s="119"/>
      <c r="J782" s="119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4"/>
      <c r="AD782" s="237"/>
    </row>
    <row r="783">
      <c r="F783" s="119"/>
      <c r="G783" s="119"/>
      <c r="H783" s="120"/>
      <c r="I783" s="119"/>
      <c r="J783" s="119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4"/>
      <c r="AD783" s="237"/>
    </row>
    <row r="784">
      <c r="F784" s="119"/>
      <c r="G784" s="119"/>
      <c r="H784" s="120"/>
      <c r="I784" s="119"/>
      <c r="J784" s="119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4"/>
      <c r="AD784" s="237"/>
    </row>
    <row r="785">
      <c r="F785" s="119"/>
      <c r="G785" s="119"/>
      <c r="H785" s="120"/>
      <c r="I785" s="119"/>
      <c r="J785" s="119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4"/>
      <c r="AD785" s="237"/>
    </row>
    <row r="786">
      <c r="F786" s="119"/>
      <c r="G786" s="119"/>
      <c r="H786" s="120"/>
      <c r="I786" s="119"/>
      <c r="J786" s="119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4"/>
      <c r="AD786" s="237"/>
    </row>
    <row r="787">
      <c r="F787" s="119"/>
      <c r="G787" s="119"/>
      <c r="H787" s="120"/>
      <c r="I787" s="119"/>
      <c r="J787" s="119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4"/>
      <c r="AD787" s="237"/>
    </row>
    <row r="788">
      <c r="F788" s="119"/>
      <c r="G788" s="119"/>
      <c r="H788" s="120"/>
      <c r="I788" s="119"/>
      <c r="J788" s="119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4"/>
      <c r="AD788" s="237"/>
    </row>
    <row r="789">
      <c r="F789" s="119"/>
      <c r="G789" s="119"/>
      <c r="H789" s="120"/>
      <c r="I789" s="119"/>
      <c r="J789" s="119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4"/>
      <c r="AD789" s="237"/>
    </row>
    <row r="790">
      <c r="F790" s="119"/>
      <c r="G790" s="119"/>
      <c r="H790" s="120"/>
      <c r="I790" s="119"/>
      <c r="J790" s="119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4"/>
      <c r="AD790" s="237"/>
    </row>
    <row r="791">
      <c r="F791" s="119"/>
      <c r="G791" s="119"/>
      <c r="H791" s="120"/>
      <c r="I791" s="119"/>
      <c r="J791" s="119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4"/>
      <c r="AD791" s="237"/>
    </row>
    <row r="792">
      <c r="F792" s="119"/>
      <c r="G792" s="119"/>
      <c r="H792" s="120"/>
      <c r="I792" s="119"/>
      <c r="J792" s="119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4"/>
      <c r="AD792" s="237"/>
    </row>
    <row r="793">
      <c r="F793" s="119"/>
      <c r="G793" s="119"/>
      <c r="H793" s="120"/>
      <c r="I793" s="119"/>
      <c r="J793" s="119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4"/>
      <c r="AD793" s="237"/>
    </row>
    <row r="794">
      <c r="F794" s="119"/>
      <c r="G794" s="119"/>
      <c r="H794" s="120"/>
      <c r="I794" s="119"/>
      <c r="J794" s="119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4"/>
      <c r="AD794" s="237"/>
    </row>
    <row r="795">
      <c r="F795" s="119"/>
      <c r="G795" s="119"/>
      <c r="H795" s="120"/>
      <c r="I795" s="119"/>
      <c r="J795" s="119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4"/>
      <c r="AD795" s="237"/>
    </row>
    <row r="796">
      <c r="F796" s="119"/>
      <c r="G796" s="119"/>
      <c r="H796" s="120"/>
      <c r="I796" s="119"/>
      <c r="J796" s="119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4"/>
      <c r="AD796" s="237"/>
    </row>
    <row r="797">
      <c r="F797" s="119"/>
      <c r="G797" s="119"/>
      <c r="H797" s="120"/>
      <c r="I797" s="119"/>
      <c r="J797" s="119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4"/>
      <c r="AD797" s="237"/>
    </row>
    <row r="798">
      <c r="F798" s="119"/>
      <c r="G798" s="119"/>
      <c r="H798" s="120"/>
      <c r="I798" s="119"/>
      <c r="J798" s="119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4"/>
      <c r="AD798" s="237"/>
    </row>
    <row r="799">
      <c r="F799" s="119"/>
      <c r="G799" s="119"/>
      <c r="H799" s="120"/>
      <c r="I799" s="119"/>
      <c r="J799" s="119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4"/>
      <c r="AD799" s="237"/>
    </row>
    <row r="800">
      <c r="F800" s="119"/>
      <c r="G800" s="119"/>
      <c r="H800" s="120"/>
      <c r="I800" s="119"/>
      <c r="J800" s="119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4"/>
      <c r="AD800" s="237"/>
    </row>
    <row r="801">
      <c r="F801" s="119"/>
      <c r="G801" s="119"/>
      <c r="H801" s="120"/>
      <c r="I801" s="119"/>
      <c r="J801" s="119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4"/>
      <c r="AD801" s="237"/>
    </row>
    <row r="802">
      <c r="F802" s="119"/>
      <c r="G802" s="119"/>
      <c r="H802" s="120"/>
      <c r="I802" s="119"/>
      <c r="J802" s="119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4"/>
      <c r="AD802" s="237"/>
    </row>
    <row r="803">
      <c r="F803" s="119"/>
      <c r="G803" s="119"/>
      <c r="H803" s="120"/>
      <c r="I803" s="119"/>
      <c r="J803" s="119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4"/>
      <c r="AD803" s="237"/>
    </row>
    <row r="804">
      <c r="F804" s="119"/>
      <c r="G804" s="119"/>
      <c r="H804" s="120"/>
      <c r="I804" s="119"/>
      <c r="J804" s="119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4"/>
      <c r="AD804" s="237"/>
    </row>
    <row r="805">
      <c r="F805" s="119"/>
      <c r="G805" s="119"/>
      <c r="H805" s="120"/>
      <c r="I805" s="119"/>
      <c r="J805" s="119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4"/>
      <c r="AD805" s="237"/>
    </row>
    <row r="806">
      <c r="F806" s="119"/>
      <c r="G806" s="119"/>
      <c r="H806" s="120"/>
      <c r="I806" s="119"/>
      <c r="J806" s="119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4"/>
      <c r="AD806" s="237"/>
    </row>
    <row r="807">
      <c r="F807" s="119"/>
      <c r="G807" s="119"/>
      <c r="H807" s="120"/>
      <c r="I807" s="119"/>
      <c r="J807" s="119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4"/>
      <c r="AD807" s="237"/>
    </row>
    <row r="808">
      <c r="F808" s="119"/>
      <c r="G808" s="119"/>
      <c r="H808" s="120"/>
      <c r="I808" s="119"/>
      <c r="J808" s="119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4"/>
      <c r="AD808" s="237"/>
    </row>
    <row r="809">
      <c r="F809" s="119"/>
      <c r="G809" s="119"/>
      <c r="H809" s="120"/>
      <c r="I809" s="119"/>
      <c r="J809" s="119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4"/>
      <c r="AD809" s="237"/>
    </row>
    <row r="810">
      <c r="F810" s="119"/>
      <c r="G810" s="119"/>
      <c r="H810" s="120"/>
      <c r="I810" s="119"/>
      <c r="J810" s="119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4"/>
      <c r="AD810" s="237"/>
    </row>
    <row r="811">
      <c r="F811" s="119"/>
      <c r="G811" s="119"/>
      <c r="H811" s="120"/>
      <c r="I811" s="119"/>
      <c r="J811" s="119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4"/>
      <c r="AD811" s="237"/>
    </row>
    <row r="812">
      <c r="F812" s="119"/>
      <c r="G812" s="119"/>
      <c r="H812" s="120"/>
      <c r="I812" s="119"/>
      <c r="J812" s="119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4"/>
      <c r="AD812" s="237"/>
    </row>
    <row r="813">
      <c r="F813" s="119"/>
      <c r="G813" s="119"/>
      <c r="H813" s="120"/>
      <c r="I813" s="119"/>
      <c r="J813" s="119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4"/>
      <c r="AD813" s="237"/>
    </row>
    <row r="814">
      <c r="F814" s="119"/>
      <c r="G814" s="119"/>
      <c r="H814" s="120"/>
      <c r="I814" s="119"/>
      <c r="J814" s="119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4"/>
      <c r="AD814" s="237"/>
    </row>
    <row r="815">
      <c r="F815" s="119"/>
      <c r="G815" s="119"/>
      <c r="H815" s="120"/>
      <c r="I815" s="119"/>
      <c r="J815" s="119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4"/>
      <c r="AD815" s="237"/>
    </row>
    <row r="816">
      <c r="F816" s="119"/>
      <c r="G816" s="119"/>
      <c r="H816" s="120"/>
      <c r="I816" s="119"/>
      <c r="J816" s="119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4"/>
      <c r="AD816" s="237"/>
    </row>
    <row r="817">
      <c r="F817" s="119"/>
      <c r="G817" s="119"/>
      <c r="H817" s="120"/>
      <c r="I817" s="119"/>
      <c r="J817" s="119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4"/>
      <c r="AD817" s="237"/>
    </row>
    <row r="818">
      <c r="F818" s="119"/>
      <c r="G818" s="119"/>
      <c r="H818" s="120"/>
      <c r="I818" s="119"/>
      <c r="J818" s="119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4"/>
      <c r="AD818" s="237"/>
    </row>
    <row r="819">
      <c r="F819" s="119"/>
      <c r="G819" s="119"/>
      <c r="H819" s="120"/>
      <c r="I819" s="119"/>
      <c r="J819" s="119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4"/>
      <c r="AD819" s="237"/>
    </row>
    <row r="820">
      <c r="F820" s="119"/>
      <c r="G820" s="119"/>
      <c r="H820" s="120"/>
      <c r="I820" s="119"/>
      <c r="J820" s="119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4"/>
      <c r="AD820" s="237"/>
    </row>
    <row r="821">
      <c r="F821" s="119"/>
      <c r="G821" s="119"/>
      <c r="H821" s="120"/>
      <c r="I821" s="119"/>
      <c r="J821" s="119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4"/>
      <c r="AD821" s="237"/>
    </row>
    <row r="822">
      <c r="F822" s="119"/>
      <c r="G822" s="119"/>
      <c r="H822" s="120"/>
      <c r="I822" s="119"/>
      <c r="J822" s="119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4"/>
      <c r="AD822" s="237"/>
    </row>
    <row r="823">
      <c r="F823" s="119"/>
      <c r="G823" s="119"/>
      <c r="H823" s="120"/>
      <c r="I823" s="119"/>
      <c r="J823" s="119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4"/>
      <c r="AD823" s="237"/>
    </row>
    <row r="824">
      <c r="F824" s="119"/>
      <c r="G824" s="119"/>
      <c r="H824" s="120"/>
      <c r="I824" s="119"/>
      <c r="J824" s="119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4"/>
      <c r="AD824" s="237"/>
    </row>
    <row r="825">
      <c r="F825" s="119"/>
      <c r="G825" s="119"/>
      <c r="H825" s="120"/>
      <c r="I825" s="119"/>
      <c r="J825" s="119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4"/>
      <c r="AD825" s="237"/>
    </row>
    <row r="826">
      <c r="F826" s="119"/>
      <c r="G826" s="119"/>
      <c r="H826" s="120"/>
      <c r="I826" s="119"/>
      <c r="J826" s="119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4"/>
      <c r="AD826" s="237"/>
    </row>
    <row r="827">
      <c r="F827" s="119"/>
      <c r="G827" s="119"/>
      <c r="H827" s="120"/>
      <c r="I827" s="119"/>
      <c r="J827" s="119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4"/>
      <c r="AD827" s="237"/>
    </row>
    <row r="828">
      <c r="F828" s="119"/>
      <c r="G828" s="119"/>
      <c r="H828" s="120"/>
      <c r="I828" s="119"/>
      <c r="J828" s="119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4"/>
      <c r="AD828" s="237"/>
    </row>
    <row r="829">
      <c r="F829" s="119"/>
      <c r="G829" s="119"/>
      <c r="H829" s="120"/>
      <c r="I829" s="119"/>
      <c r="J829" s="119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4"/>
      <c r="AD829" s="237"/>
    </row>
    <row r="830">
      <c r="F830" s="119"/>
      <c r="G830" s="119"/>
      <c r="H830" s="120"/>
      <c r="I830" s="119"/>
      <c r="J830" s="119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4"/>
      <c r="AD830" s="237"/>
    </row>
    <row r="831">
      <c r="F831" s="119"/>
      <c r="G831" s="119"/>
      <c r="H831" s="120"/>
      <c r="I831" s="119"/>
      <c r="J831" s="119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4"/>
      <c r="AD831" s="237"/>
    </row>
    <row r="832">
      <c r="F832" s="119"/>
      <c r="G832" s="119"/>
      <c r="H832" s="120"/>
      <c r="I832" s="119"/>
      <c r="J832" s="119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4"/>
      <c r="AD832" s="237"/>
    </row>
    <row r="833">
      <c r="F833" s="119"/>
      <c r="G833" s="119"/>
      <c r="H833" s="120"/>
      <c r="I833" s="119"/>
      <c r="J833" s="119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4"/>
      <c r="AD833" s="237"/>
    </row>
    <row r="834">
      <c r="F834" s="119"/>
      <c r="G834" s="119"/>
      <c r="H834" s="120"/>
      <c r="I834" s="119"/>
      <c r="J834" s="119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4"/>
      <c r="AD834" s="237"/>
    </row>
    <row r="835">
      <c r="F835" s="119"/>
      <c r="G835" s="119"/>
      <c r="H835" s="120"/>
      <c r="I835" s="119"/>
      <c r="J835" s="119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4"/>
      <c r="AD835" s="237"/>
    </row>
    <row r="836">
      <c r="F836" s="119"/>
      <c r="G836" s="119"/>
      <c r="H836" s="120"/>
      <c r="I836" s="119"/>
      <c r="J836" s="119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4"/>
      <c r="AD836" s="237"/>
    </row>
    <row r="837">
      <c r="F837" s="119"/>
      <c r="G837" s="119"/>
      <c r="H837" s="120"/>
      <c r="I837" s="119"/>
      <c r="J837" s="119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4"/>
      <c r="AD837" s="237"/>
    </row>
    <row r="838">
      <c r="F838" s="119"/>
      <c r="G838" s="119"/>
      <c r="H838" s="120"/>
      <c r="I838" s="119"/>
      <c r="J838" s="119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4"/>
      <c r="AD838" s="237"/>
    </row>
    <row r="839">
      <c r="F839" s="119"/>
      <c r="G839" s="119"/>
      <c r="H839" s="120"/>
      <c r="I839" s="119"/>
      <c r="J839" s="119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4"/>
      <c r="AD839" s="237"/>
    </row>
    <row r="840">
      <c r="F840" s="119"/>
      <c r="G840" s="119"/>
      <c r="H840" s="120"/>
      <c r="I840" s="119"/>
      <c r="J840" s="119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4"/>
      <c r="AD840" s="237"/>
    </row>
    <row r="841">
      <c r="F841" s="119"/>
      <c r="G841" s="119"/>
      <c r="H841" s="120"/>
      <c r="I841" s="119"/>
      <c r="J841" s="119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4"/>
      <c r="AD841" s="237"/>
    </row>
    <row r="842">
      <c r="F842" s="119"/>
      <c r="G842" s="119"/>
      <c r="H842" s="120"/>
      <c r="I842" s="119"/>
      <c r="J842" s="119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4"/>
      <c r="AD842" s="237"/>
    </row>
    <row r="843">
      <c r="F843" s="119"/>
      <c r="G843" s="119"/>
      <c r="H843" s="120"/>
      <c r="I843" s="119"/>
      <c r="J843" s="119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4"/>
      <c r="AD843" s="237"/>
    </row>
    <row r="844">
      <c r="F844" s="119"/>
      <c r="G844" s="119"/>
      <c r="H844" s="120"/>
      <c r="I844" s="119"/>
      <c r="J844" s="119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4"/>
      <c r="AD844" s="237"/>
    </row>
    <row r="845">
      <c r="F845" s="119"/>
      <c r="G845" s="119"/>
      <c r="H845" s="120"/>
      <c r="I845" s="119"/>
      <c r="J845" s="119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4"/>
      <c r="AD845" s="237"/>
    </row>
    <row r="846">
      <c r="F846" s="119"/>
      <c r="G846" s="119"/>
      <c r="H846" s="120"/>
      <c r="I846" s="119"/>
      <c r="J846" s="119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4"/>
      <c r="AD846" s="237"/>
    </row>
    <row r="847">
      <c r="F847" s="119"/>
      <c r="G847" s="119"/>
      <c r="H847" s="120"/>
      <c r="I847" s="119"/>
      <c r="J847" s="119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4"/>
      <c r="AD847" s="237"/>
    </row>
    <row r="848">
      <c r="F848" s="119"/>
      <c r="G848" s="119"/>
      <c r="H848" s="120"/>
      <c r="I848" s="119"/>
      <c r="J848" s="119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4"/>
      <c r="AD848" s="237"/>
    </row>
    <row r="849">
      <c r="F849" s="119"/>
      <c r="G849" s="119"/>
      <c r="H849" s="120"/>
      <c r="I849" s="119"/>
      <c r="J849" s="119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4"/>
      <c r="AD849" s="237"/>
    </row>
    <row r="850">
      <c r="F850" s="119"/>
      <c r="G850" s="119"/>
      <c r="H850" s="120"/>
      <c r="I850" s="119"/>
      <c r="J850" s="119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4"/>
      <c r="AD850" s="237"/>
    </row>
    <row r="851">
      <c r="F851" s="119"/>
      <c r="G851" s="119"/>
      <c r="H851" s="120"/>
      <c r="I851" s="119"/>
      <c r="J851" s="119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4"/>
      <c r="AD851" s="237"/>
    </row>
    <row r="852">
      <c r="F852" s="119"/>
      <c r="G852" s="119"/>
      <c r="H852" s="120"/>
      <c r="I852" s="119"/>
      <c r="J852" s="119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4"/>
      <c r="AD852" s="237"/>
    </row>
    <row r="853">
      <c r="F853" s="119"/>
      <c r="G853" s="119"/>
      <c r="H853" s="120"/>
      <c r="I853" s="119"/>
      <c r="J853" s="119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4"/>
      <c r="AD853" s="237"/>
    </row>
    <row r="854">
      <c r="F854" s="119"/>
      <c r="G854" s="119"/>
      <c r="H854" s="120"/>
      <c r="I854" s="119"/>
      <c r="J854" s="119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4"/>
      <c r="AD854" s="237"/>
    </row>
    <row r="855">
      <c r="F855" s="119"/>
      <c r="G855" s="119"/>
      <c r="H855" s="120"/>
      <c r="I855" s="119"/>
      <c r="J855" s="119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4"/>
      <c r="AD855" s="237"/>
    </row>
    <row r="856">
      <c r="F856" s="119"/>
      <c r="G856" s="119"/>
      <c r="H856" s="120"/>
      <c r="I856" s="119"/>
      <c r="J856" s="119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4"/>
      <c r="AD856" s="237"/>
    </row>
    <row r="857">
      <c r="F857" s="119"/>
      <c r="G857" s="119"/>
      <c r="H857" s="120"/>
      <c r="I857" s="119"/>
      <c r="J857" s="119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4"/>
      <c r="AD857" s="237"/>
    </row>
    <row r="858">
      <c r="F858" s="119"/>
      <c r="G858" s="119"/>
      <c r="H858" s="120"/>
      <c r="I858" s="119"/>
      <c r="J858" s="119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4"/>
      <c r="AD858" s="237"/>
    </row>
    <row r="859">
      <c r="F859" s="119"/>
      <c r="G859" s="119"/>
      <c r="H859" s="120"/>
      <c r="I859" s="119"/>
      <c r="J859" s="119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4"/>
      <c r="AD859" s="237"/>
    </row>
    <row r="860">
      <c r="F860" s="119"/>
      <c r="G860" s="119"/>
      <c r="H860" s="120"/>
      <c r="I860" s="119"/>
      <c r="J860" s="119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4"/>
      <c r="AD860" s="237"/>
    </row>
    <row r="861">
      <c r="F861" s="119"/>
      <c r="G861" s="119"/>
      <c r="H861" s="120"/>
      <c r="I861" s="119"/>
      <c r="J861" s="119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4"/>
      <c r="AD861" s="237"/>
    </row>
    <row r="862">
      <c r="F862" s="119"/>
      <c r="G862" s="119"/>
      <c r="H862" s="120"/>
      <c r="I862" s="119"/>
      <c r="J862" s="119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4"/>
      <c r="AD862" s="237"/>
    </row>
    <row r="863">
      <c r="F863" s="119"/>
      <c r="G863" s="119"/>
      <c r="H863" s="120"/>
      <c r="I863" s="119"/>
      <c r="J863" s="119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4"/>
      <c r="AD863" s="237"/>
    </row>
    <row r="864">
      <c r="F864" s="119"/>
      <c r="G864" s="119"/>
      <c r="H864" s="120"/>
      <c r="I864" s="119"/>
      <c r="J864" s="119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4"/>
      <c r="AD864" s="237"/>
    </row>
    <row r="865">
      <c r="F865" s="119"/>
      <c r="G865" s="119"/>
      <c r="H865" s="120"/>
      <c r="I865" s="119"/>
      <c r="J865" s="119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4"/>
      <c r="AD865" s="237"/>
    </row>
    <row r="866">
      <c r="F866" s="119"/>
      <c r="G866" s="119"/>
      <c r="H866" s="120"/>
      <c r="I866" s="119"/>
      <c r="J866" s="119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4"/>
      <c r="AD866" s="237"/>
    </row>
    <row r="867">
      <c r="F867" s="119"/>
      <c r="G867" s="119"/>
      <c r="H867" s="120"/>
      <c r="I867" s="119"/>
      <c r="J867" s="119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4"/>
      <c r="AD867" s="237"/>
    </row>
    <row r="868">
      <c r="F868" s="119"/>
      <c r="G868" s="119"/>
      <c r="H868" s="120"/>
      <c r="I868" s="119"/>
      <c r="J868" s="119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4"/>
      <c r="AD868" s="237"/>
    </row>
    <row r="869">
      <c r="F869" s="119"/>
      <c r="G869" s="119"/>
      <c r="H869" s="120"/>
      <c r="I869" s="119"/>
      <c r="J869" s="119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4"/>
      <c r="AD869" s="237"/>
    </row>
    <row r="870">
      <c r="F870" s="119"/>
      <c r="G870" s="119"/>
      <c r="H870" s="120"/>
      <c r="I870" s="119"/>
      <c r="J870" s="119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4"/>
      <c r="AD870" s="237"/>
    </row>
    <row r="871">
      <c r="F871" s="119"/>
      <c r="G871" s="119"/>
      <c r="H871" s="120"/>
      <c r="I871" s="119"/>
      <c r="J871" s="119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4"/>
      <c r="AD871" s="237"/>
    </row>
    <row r="872">
      <c r="F872" s="119"/>
      <c r="G872" s="119"/>
      <c r="H872" s="120"/>
      <c r="I872" s="119"/>
      <c r="J872" s="119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4"/>
      <c r="AD872" s="237"/>
    </row>
    <row r="873">
      <c r="F873" s="119"/>
      <c r="G873" s="119"/>
      <c r="H873" s="120"/>
      <c r="I873" s="119"/>
      <c r="J873" s="119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4"/>
      <c r="AD873" s="237"/>
    </row>
    <row r="874">
      <c r="F874" s="119"/>
      <c r="G874" s="119"/>
      <c r="H874" s="120"/>
      <c r="I874" s="119"/>
      <c r="J874" s="119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4"/>
      <c r="AD874" s="237"/>
    </row>
    <row r="875">
      <c r="F875" s="119"/>
      <c r="G875" s="119"/>
      <c r="H875" s="120"/>
      <c r="I875" s="119"/>
      <c r="J875" s="119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4"/>
      <c r="AD875" s="237"/>
    </row>
    <row r="876">
      <c r="F876" s="119"/>
      <c r="G876" s="119"/>
      <c r="H876" s="120"/>
      <c r="I876" s="119"/>
      <c r="J876" s="119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4"/>
      <c r="AD876" s="237"/>
    </row>
    <row r="877">
      <c r="F877" s="119"/>
      <c r="G877" s="119"/>
      <c r="H877" s="120"/>
      <c r="I877" s="119"/>
      <c r="J877" s="119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4"/>
      <c r="AD877" s="237"/>
    </row>
    <row r="878">
      <c r="F878" s="119"/>
      <c r="G878" s="119"/>
      <c r="H878" s="120"/>
      <c r="I878" s="119"/>
      <c r="J878" s="119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4"/>
      <c r="AD878" s="237"/>
    </row>
    <row r="879">
      <c r="F879" s="119"/>
      <c r="G879" s="119"/>
      <c r="H879" s="120"/>
      <c r="I879" s="119"/>
      <c r="J879" s="119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4"/>
      <c r="AD879" s="237"/>
    </row>
    <row r="880">
      <c r="F880" s="119"/>
      <c r="G880" s="119"/>
      <c r="H880" s="120"/>
      <c r="I880" s="119"/>
      <c r="J880" s="119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4"/>
      <c r="AD880" s="237"/>
    </row>
    <row r="881">
      <c r="F881" s="119"/>
      <c r="G881" s="119"/>
      <c r="H881" s="120"/>
      <c r="I881" s="119"/>
      <c r="J881" s="119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4"/>
      <c r="AD881" s="237"/>
    </row>
    <row r="882">
      <c r="F882" s="119"/>
      <c r="G882" s="119"/>
      <c r="H882" s="120"/>
      <c r="I882" s="119"/>
      <c r="J882" s="119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4"/>
      <c r="AD882" s="237"/>
    </row>
    <row r="883">
      <c r="F883" s="119"/>
      <c r="G883" s="119"/>
      <c r="H883" s="120"/>
      <c r="I883" s="119"/>
      <c r="J883" s="119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4"/>
      <c r="AD883" s="237"/>
    </row>
    <row r="884">
      <c r="F884" s="119"/>
      <c r="G884" s="119"/>
      <c r="H884" s="120"/>
      <c r="I884" s="119"/>
      <c r="J884" s="119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4"/>
      <c r="AD884" s="237"/>
    </row>
    <row r="885">
      <c r="F885" s="119"/>
      <c r="G885" s="119"/>
      <c r="H885" s="120"/>
      <c r="I885" s="119"/>
      <c r="J885" s="119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4"/>
      <c r="AD885" s="237"/>
    </row>
    <row r="886">
      <c r="F886" s="119"/>
      <c r="G886" s="119"/>
      <c r="H886" s="120"/>
      <c r="I886" s="119"/>
      <c r="J886" s="119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4"/>
      <c r="AD886" s="237"/>
    </row>
    <row r="887">
      <c r="F887" s="119"/>
      <c r="G887" s="119"/>
      <c r="H887" s="120"/>
      <c r="I887" s="119"/>
      <c r="J887" s="119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4"/>
      <c r="AD887" s="237"/>
    </row>
    <row r="888">
      <c r="F888" s="119"/>
      <c r="G888" s="119"/>
      <c r="H888" s="120"/>
      <c r="I888" s="119"/>
      <c r="J888" s="119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4"/>
      <c r="AD888" s="237"/>
    </row>
    <row r="889">
      <c r="F889" s="119"/>
      <c r="G889" s="119"/>
      <c r="H889" s="120"/>
      <c r="I889" s="119"/>
      <c r="J889" s="119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4"/>
      <c r="AD889" s="237"/>
    </row>
    <row r="890">
      <c r="F890" s="119"/>
      <c r="G890" s="119"/>
      <c r="H890" s="120"/>
      <c r="I890" s="119"/>
      <c r="J890" s="119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4"/>
      <c r="AD890" s="237"/>
    </row>
    <row r="891">
      <c r="F891" s="119"/>
      <c r="G891" s="119"/>
      <c r="H891" s="120"/>
      <c r="I891" s="119"/>
      <c r="J891" s="119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4"/>
      <c r="AD891" s="237"/>
    </row>
    <row r="892">
      <c r="F892" s="119"/>
      <c r="G892" s="119"/>
      <c r="H892" s="120"/>
      <c r="I892" s="119"/>
      <c r="J892" s="119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4"/>
      <c r="AD892" s="237"/>
    </row>
    <row r="893">
      <c r="F893" s="119"/>
      <c r="G893" s="119"/>
      <c r="H893" s="120"/>
      <c r="I893" s="119"/>
      <c r="J893" s="119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4"/>
      <c r="AD893" s="237"/>
    </row>
    <row r="894">
      <c r="F894" s="119"/>
      <c r="G894" s="119"/>
      <c r="H894" s="120"/>
      <c r="I894" s="119"/>
      <c r="J894" s="119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4"/>
      <c r="AD894" s="237"/>
    </row>
    <row r="895">
      <c r="F895" s="119"/>
      <c r="G895" s="119"/>
      <c r="H895" s="120"/>
      <c r="I895" s="119"/>
      <c r="J895" s="119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4"/>
      <c r="AD895" s="237"/>
    </row>
    <row r="896">
      <c r="F896" s="119"/>
      <c r="G896" s="119"/>
      <c r="H896" s="120"/>
      <c r="I896" s="119"/>
      <c r="J896" s="119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4"/>
      <c r="AD896" s="237"/>
    </row>
    <row r="897">
      <c r="F897" s="119"/>
      <c r="G897" s="119"/>
      <c r="H897" s="120"/>
      <c r="I897" s="119"/>
      <c r="J897" s="119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4"/>
      <c r="AD897" s="237"/>
    </row>
    <row r="898">
      <c r="F898" s="119"/>
      <c r="G898" s="119"/>
      <c r="H898" s="120"/>
      <c r="I898" s="119"/>
      <c r="J898" s="119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4"/>
      <c r="AD898" s="237"/>
    </row>
    <row r="899">
      <c r="F899" s="119"/>
      <c r="G899" s="119"/>
      <c r="H899" s="120"/>
      <c r="I899" s="119"/>
      <c r="J899" s="119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4"/>
      <c r="AD899" s="237"/>
    </row>
    <row r="900">
      <c r="F900" s="119"/>
      <c r="G900" s="119"/>
      <c r="H900" s="120"/>
      <c r="I900" s="119"/>
      <c r="J900" s="119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4"/>
      <c r="AD900" s="237"/>
    </row>
    <row r="901">
      <c r="F901" s="119"/>
      <c r="G901" s="119"/>
      <c r="H901" s="120"/>
      <c r="I901" s="119"/>
      <c r="J901" s="119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4"/>
      <c r="AD901" s="237"/>
    </row>
    <row r="902">
      <c r="F902" s="119"/>
      <c r="G902" s="119"/>
      <c r="H902" s="120"/>
      <c r="I902" s="119"/>
      <c r="J902" s="119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4"/>
      <c r="AD902" s="237"/>
    </row>
    <row r="903">
      <c r="F903" s="119"/>
      <c r="G903" s="119"/>
      <c r="H903" s="120"/>
      <c r="I903" s="119"/>
      <c r="J903" s="119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4"/>
      <c r="AD903" s="237"/>
    </row>
    <row r="904">
      <c r="F904" s="119"/>
      <c r="G904" s="119"/>
      <c r="H904" s="120"/>
      <c r="I904" s="119"/>
      <c r="J904" s="119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4"/>
      <c r="AD904" s="237"/>
    </row>
    <row r="905">
      <c r="F905" s="119"/>
      <c r="G905" s="119"/>
      <c r="H905" s="120"/>
      <c r="I905" s="119"/>
      <c r="J905" s="119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4"/>
      <c r="AD905" s="237"/>
    </row>
    <row r="906">
      <c r="F906" s="119"/>
      <c r="G906" s="119"/>
      <c r="H906" s="120"/>
      <c r="I906" s="119"/>
      <c r="J906" s="119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4"/>
      <c r="AD906" s="237"/>
    </row>
    <row r="907">
      <c r="F907" s="119"/>
      <c r="G907" s="119"/>
      <c r="H907" s="120"/>
      <c r="I907" s="119"/>
      <c r="J907" s="119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4"/>
      <c r="AD907" s="237"/>
    </row>
    <row r="908">
      <c r="F908" s="119"/>
      <c r="G908" s="119"/>
      <c r="H908" s="120"/>
      <c r="I908" s="119"/>
      <c r="J908" s="119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4"/>
      <c r="AD908" s="237"/>
    </row>
    <row r="909">
      <c r="F909" s="119"/>
      <c r="G909" s="119"/>
      <c r="H909" s="120"/>
      <c r="I909" s="119"/>
      <c r="J909" s="119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4"/>
      <c r="AD909" s="237"/>
    </row>
    <row r="910">
      <c r="F910" s="119"/>
      <c r="G910" s="119"/>
      <c r="H910" s="120"/>
      <c r="I910" s="119"/>
      <c r="J910" s="119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4"/>
      <c r="AD910" s="237"/>
    </row>
    <row r="911">
      <c r="F911" s="119"/>
      <c r="G911" s="119"/>
      <c r="H911" s="120"/>
      <c r="I911" s="119"/>
      <c r="J911" s="119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4"/>
      <c r="AD911" s="237"/>
    </row>
    <row r="912">
      <c r="F912" s="119"/>
      <c r="G912" s="119"/>
      <c r="H912" s="120"/>
      <c r="I912" s="119"/>
      <c r="J912" s="119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4"/>
      <c r="AD912" s="237"/>
    </row>
    <row r="913">
      <c r="F913" s="119"/>
      <c r="G913" s="119"/>
      <c r="H913" s="120"/>
      <c r="I913" s="119"/>
      <c r="J913" s="119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4"/>
      <c r="AD913" s="237"/>
    </row>
    <row r="914">
      <c r="F914" s="119"/>
      <c r="G914" s="119"/>
      <c r="H914" s="120"/>
      <c r="I914" s="119"/>
      <c r="J914" s="119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4"/>
      <c r="AD914" s="237"/>
    </row>
    <row r="915">
      <c r="F915" s="119"/>
      <c r="G915" s="119"/>
      <c r="H915" s="120"/>
      <c r="I915" s="119"/>
      <c r="J915" s="119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4"/>
      <c r="AD915" s="237"/>
    </row>
    <row r="916">
      <c r="F916" s="119"/>
      <c r="G916" s="119"/>
      <c r="H916" s="120"/>
      <c r="I916" s="119"/>
      <c r="J916" s="119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4"/>
      <c r="AD916" s="237"/>
    </row>
    <row r="917">
      <c r="F917" s="119"/>
      <c r="G917" s="119"/>
      <c r="H917" s="120"/>
      <c r="I917" s="119"/>
      <c r="J917" s="119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4"/>
      <c r="AD917" s="237"/>
    </row>
    <row r="918">
      <c r="F918" s="119"/>
      <c r="G918" s="119"/>
      <c r="H918" s="120"/>
      <c r="I918" s="119"/>
      <c r="J918" s="119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4"/>
      <c r="AD918" s="237"/>
    </row>
    <row r="919">
      <c r="F919" s="119"/>
      <c r="G919" s="119"/>
      <c r="H919" s="120"/>
      <c r="I919" s="119"/>
      <c r="J919" s="119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4"/>
      <c r="AD919" s="237"/>
    </row>
    <row r="920">
      <c r="F920" s="119"/>
      <c r="G920" s="119"/>
      <c r="H920" s="120"/>
      <c r="I920" s="119"/>
      <c r="J920" s="119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4"/>
      <c r="AD920" s="237"/>
    </row>
    <row r="921">
      <c r="F921" s="119"/>
      <c r="G921" s="119"/>
      <c r="H921" s="120"/>
      <c r="I921" s="119"/>
      <c r="J921" s="119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4"/>
      <c r="AD921" s="237"/>
    </row>
    <row r="922">
      <c r="F922" s="119"/>
      <c r="G922" s="119"/>
      <c r="H922" s="120"/>
      <c r="I922" s="119"/>
      <c r="J922" s="119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4"/>
      <c r="AD922" s="237"/>
    </row>
    <row r="923">
      <c r="F923" s="119"/>
      <c r="G923" s="119"/>
      <c r="H923" s="120"/>
      <c r="I923" s="119"/>
      <c r="J923" s="119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4"/>
      <c r="AD923" s="237"/>
    </row>
    <row r="924">
      <c r="F924" s="119"/>
      <c r="G924" s="119"/>
      <c r="H924" s="120"/>
      <c r="I924" s="119"/>
      <c r="J924" s="119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4"/>
      <c r="AD924" s="237"/>
    </row>
    <row r="925">
      <c r="F925" s="119"/>
      <c r="G925" s="119"/>
      <c r="H925" s="120"/>
      <c r="I925" s="119"/>
      <c r="J925" s="119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4"/>
      <c r="AD925" s="237"/>
    </row>
    <row r="926">
      <c r="F926" s="119"/>
      <c r="G926" s="119"/>
      <c r="H926" s="120"/>
      <c r="I926" s="119"/>
      <c r="J926" s="119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4"/>
      <c r="AD926" s="237"/>
    </row>
    <row r="927">
      <c r="F927" s="119"/>
      <c r="G927" s="119"/>
      <c r="H927" s="120"/>
      <c r="I927" s="119"/>
      <c r="J927" s="119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4"/>
      <c r="AD927" s="237"/>
    </row>
    <row r="928">
      <c r="F928" s="119"/>
      <c r="G928" s="119"/>
      <c r="H928" s="120"/>
      <c r="I928" s="119"/>
      <c r="J928" s="119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4"/>
      <c r="AD928" s="237"/>
    </row>
    <row r="929">
      <c r="F929" s="119"/>
      <c r="G929" s="119"/>
      <c r="H929" s="120"/>
      <c r="I929" s="119"/>
      <c r="J929" s="119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4"/>
      <c r="AD929" s="237"/>
    </row>
    <row r="930">
      <c r="F930" s="119"/>
      <c r="G930" s="119"/>
      <c r="H930" s="120"/>
      <c r="I930" s="119"/>
      <c r="J930" s="119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4"/>
      <c r="AD930" s="237"/>
    </row>
    <row r="931">
      <c r="F931" s="119"/>
      <c r="G931" s="119"/>
      <c r="H931" s="120"/>
      <c r="I931" s="119"/>
      <c r="J931" s="119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4"/>
      <c r="AD931" s="237"/>
    </row>
    <row r="932">
      <c r="F932" s="119"/>
      <c r="G932" s="119"/>
      <c r="H932" s="120"/>
      <c r="I932" s="119"/>
      <c r="J932" s="119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4"/>
      <c r="AD932" s="237"/>
    </row>
    <row r="933">
      <c r="F933" s="119"/>
      <c r="G933" s="119"/>
      <c r="H933" s="120"/>
      <c r="I933" s="119"/>
      <c r="J933" s="119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4"/>
      <c r="AD933" s="237"/>
    </row>
    <row r="934">
      <c r="F934" s="119"/>
      <c r="G934" s="119"/>
      <c r="H934" s="120"/>
      <c r="I934" s="119"/>
      <c r="J934" s="119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4"/>
      <c r="AD934" s="237"/>
    </row>
    <row r="935">
      <c r="F935" s="119"/>
      <c r="G935" s="119"/>
      <c r="H935" s="120"/>
      <c r="I935" s="119"/>
      <c r="J935" s="119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4"/>
      <c r="AD935" s="237"/>
    </row>
    <row r="936">
      <c r="F936" s="119"/>
      <c r="G936" s="119"/>
      <c r="H936" s="120"/>
      <c r="I936" s="119"/>
      <c r="J936" s="119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4"/>
      <c r="AD936" s="237"/>
    </row>
    <row r="937">
      <c r="F937" s="119"/>
      <c r="G937" s="119"/>
      <c r="H937" s="120"/>
      <c r="I937" s="119"/>
      <c r="J937" s="119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4"/>
      <c r="AD937" s="237"/>
    </row>
    <row r="938">
      <c r="F938" s="119"/>
      <c r="G938" s="119"/>
      <c r="H938" s="120"/>
      <c r="I938" s="119"/>
      <c r="J938" s="119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4"/>
      <c r="AD938" s="237"/>
    </row>
    <row r="939">
      <c r="F939" s="119"/>
      <c r="G939" s="119"/>
      <c r="H939" s="120"/>
      <c r="I939" s="119"/>
      <c r="J939" s="119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4"/>
      <c r="AD939" s="237"/>
    </row>
    <row r="940">
      <c r="F940" s="119"/>
      <c r="G940" s="119"/>
      <c r="H940" s="120"/>
      <c r="I940" s="119"/>
      <c r="J940" s="119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4"/>
      <c r="AD940" s="237"/>
    </row>
    <row r="941">
      <c r="F941" s="119"/>
      <c r="G941" s="119"/>
      <c r="H941" s="120"/>
      <c r="I941" s="119"/>
      <c r="J941" s="119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4"/>
      <c r="AD941" s="237"/>
    </row>
    <row r="942">
      <c r="F942" s="119"/>
      <c r="G942" s="119"/>
      <c r="H942" s="120"/>
      <c r="I942" s="119"/>
      <c r="J942" s="119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4"/>
      <c r="AD942" s="237"/>
    </row>
    <row r="943">
      <c r="F943" s="119"/>
      <c r="G943" s="119"/>
      <c r="H943" s="120"/>
      <c r="I943" s="119"/>
      <c r="J943" s="119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4"/>
      <c r="AD943" s="237"/>
    </row>
    <row r="944">
      <c r="F944" s="119"/>
      <c r="G944" s="119"/>
      <c r="H944" s="120"/>
      <c r="I944" s="119"/>
      <c r="J944" s="119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4"/>
      <c r="AD944" s="237"/>
    </row>
    <row r="945">
      <c r="F945" s="119"/>
      <c r="G945" s="119"/>
      <c r="H945" s="120"/>
      <c r="I945" s="119"/>
      <c r="J945" s="119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4"/>
      <c r="AD945" s="237"/>
    </row>
    <row r="946">
      <c r="F946" s="119"/>
      <c r="G946" s="119"/>
      <c r="H946" s="120"/>
      <c r="I946" s="119"/>
      <c r="J946" s="119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4"/>
      <c r="AD946" s="237"/>
    </row>
    <row r="947">
      <c r="F947" s="119"/>
      <c r="G947" s="119"/>
      <c r="H947" s="120"/>
      <c r="I947" s="119"/>
      <c r="J947" s="119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4"/>
      <c r="AD947" s="237"/>
    </row>
    <row r="948">
      <c r="F948" s="119"/>
      <c r="G948" s="119"/>
      <c r="H948" s="120"/>
      <c r="I948" s="119"/>
      <c r="J948" s="119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4"/>
      <c r="AD948" s="237"/>
    </row>
    <row r="949">
      <c r="F949" s="119"/>
      <c r="G949" s="119"/>
      <c r="H949" s="120"/>
      <c r="I949" s="119"/>
      <c r="J949" s="119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4"/>
      <c r="AD949" s="237"/>
    </row>
    <row r="950">
      <c r="F950" s="119"/>
      <c r="G950" s="119"/>
      <c r="H950" s="120"/>
      <c r="I950" s="119"/>
      <c r="J950" s="119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4"/>
      <c r="AD950" s="237"/>
    </row>
    <row r="951">
      <c r="F951" s="119"/>
      <c r="G951" s="119"/>
      <c r="H951" s="120"/>
      <c r="I951" s="119"/>
      <c r="J951" s="119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4"/>
      <c r="AD951" s="237"/>
    </row>
    <row r="952">
      <c r="F952" s="119"/>
      <c r="G952" s="119"/>
      <c r="H952" s="120"/>
      <c r="I952" s="119"/>
      <c r="J952" s="119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4"/>
      <c r="AD952" s="237"/>
    </row>
    <row r="953">
      <c r="F953" s="119"/>
      <c r="G953" s="119"/>
      <c r="H953" s="120"/>
      <c r="I953" s="119"/>
      <c r="J953" s="119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4"/>
      <c r="AD953" s="237"/>
    </row>
    <row r="954">
      <c r="F954" s="119"/>
      <c r="G954" s="119"/>
      <c r="H954" s="120"/>
      <c r="I954" s="119"/>
      <c r="J954" s="119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4"/>
      <c r="AD954" s="237"/>
    </row>
    <row r="955">
      <c r="F955" s="119"/>
      <c r="G955" s="119"/>
      <c r="H955" s="120"/>
      <c r="I955" s="119"/>
      <c r="J955" s="119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4"/>
      <c r="AD955" s="237"/>
    </row>
    <row r="956">
      <c r="F956" s="119"/>
      <c r="G956" s="119"/>
      <c r="H956" s="120"/>
      <c r="I956" s="119"/>
      <c r="J956" s="119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4"/>
      <c r="AD956" s="237"/>
    </row>
    <row r="957">
      <c r="F957" s="119"/>
      <c r="G957" s="119"/>
      <c r="H957" s="120"/>
      <c r="I957" s="119"/>
      <c r="J957" s="119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4"/>
      <c r="AD957" s="237"/>
    </row>
    <row r="958">
      <c r="F958" s="119"/>
      <c r="G958" s="119"/>
      <c r="H958" s="120"/>
      <c r="I958" s="119"/>
      <c r="J958" s="119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4"/>
      <c r="AD958" s="237"/>
    </row>
    <row r="959">
      <c r="F959" s="119"/>
      <c r="G959" s="119"/>
      <c r="H959" s="120"/>
      <c r="I959" s="119"/>
      <c r="J959" s="119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4"/>
      <c r="AD959" s="237"/>
    </row>
    <row r="960">
      <c r="F960" s="119"/>
      <c r="G960" s="119"/>
      <c r="H960" s="120"/>
      <c r="I960" s="119"/>
      <c r="J960" s="119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4"/>
      <c r="AD960" s="237"/>
    </row>
    <row r="961">
      <c r="F961" s="119"/>
      <c r="G961" s="119"/>
      <c r="H961" s="120"/>
      <c r="I961" s="119"/>
      <c r="J961" s="119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4"/>
      <c r="AD961" s="237"/>
    </row>
    <row r="962">
      <c r="F962" s="119"/>
      <c r="G962" s="119"/>
      <c r="H962" s="120"/>
      <c r="I962" s="119"/>
      <c r="J962" s="119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4"/>
      <c r="AD962" s="237"/>
    </row>
    <row r="963">
      <c r="F963" s="119"/>
      <c r="G963" s="119"/>
      <c r="H963" s="120"/>
      <c r="I963" s="119"/>
      <c r="J963" s="119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4"/>
      <c r="AD963" s="237"/>
    </row>
    <row r="964">
      <c r="F964" s="119"/>
      <c r="G964" s="119"/>
      <c r="H964" s="120"/>
      <c r="I964" s="119"/>
      <c r="J964" s="119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4"/>
      <c r="AD964" s="237"/>
    </row>
    <row r="965">
      <c r="F965" s="119"/>
      <c r="G965" s="119"/>
      <c r="H965" s="120"/>
      <c r="I965" s="119"/>
      <c r="J965" s="119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4"/>
      <c r="AD965" s="237"/>
    </row>
    <row r="966">
      <c r="F966" s="119"/>
      <c r="G966" s="119"/>
      <c r="H966" s="120"/>
      <c r="I966" s="119"/>
      <c r="J966" s="119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4"/>
      <c r="AD966" s="237"/>
    </row>
    <row r="967">
      <c r="F967" s="119"/>
      <c r="G967" s="119"/>
      <c r="H967" s="120"/>
      <c r="I967" s="119"/>
      <c r="J967" s="119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4"/>
      <c r="AD967" s="237"/>
    </row>
    <row r="968">
      <c r="F968" s="119"/>
      <c r="G968" s="119"/>
      <c r="H968" s="120"/>
      <c r="I968" s="119"/>
      <c r="J968" s="119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4"/>
      <c r="AD968" s="237"/>
    </row>
    <row r="969">
      <c r="F969" s="119"/>
      <c r="G969" s="119"/>
      <c r="H969" s="120"/>
      <c r="I969" s="119"/>
      <c r="J969" s="119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4"/>
      <c r="AD969" s="237"/>
    </row>
    <row r="970">
      <c r="F970" s="119"/>
      <c r="G970" s="119"/>
      <c r="H970" s="120"/>
      <c r="I970" s="119"/>
      <c r="J970" s="119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4"/>
      <c r="AD970" s="237"/>
    </row>
    <row r="971">
      <c r="F971" s="119"/>
      <c r="G971" s="119"/>
      <c r="H971" s="120"/>
      <c r="I971" s="119"/>
      <c r="J971" s="119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4"/>
      <c r="AD971" s="237"/>
    </row>
    <row r="972">
      <c r="F972" s="119"/>
      <c r="G972" s="119"/>
      <c r="H972" s="120"/>
      <c r="I972" s="119"/>
      <c r="J972" s="119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4"/>
      <c r="AD972" s="237"/>
    </row>
    <row r="973">
      <c r="F973" s="119"/>
      <c r="G973" s="119"/>
      <c r="H973" s="120"/>
      <c r="I973" s="119"/>
      <c r="J973" s="119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4"/>
      <c r="AD973" s="237"/>
    </row>
    <row r="974">
      <c r="F974" s="119"/>
      <c r="G974" s="119"/>
      <c r="H974" s="120"/>
      <c r="I974" s="119"/>
      <c r="J974" s="119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4"/>
      <c r="AD974" s="237"/>
    </row>
    <row r="975">
      <c r="F975" s="119"/>
      <c r="G975" s="119"/>
      <c r="H975" s="120"/>
      <c r="I975" s="119"/>
      <c r="J975" s="119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4"/>
      <c r="AD975" s="237"/>
    </row>
    <row r="976">
      <c r="F976" s="119"/>
      <c r="G976" s="119"/>
      <c r="H976" s="120"/>
      <c r="I976" s="119"/>
      <c r="J976" s="119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4"/>
      <c r="AD976" s="237"/>
    </row>
    <row r="977">
      <c r="F977" s="119"/>
      <c r="G977" s="119"/>
      <c r="H977" s="120"/>
      <c r="I977" s="119"/>
      <c r="J977" s="119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4"/>
      <c r="AD977" s="237"/>
    </row>
    <row r="978">
      <c r="F978" s="119"/>
      <c r="G978" s="119"/>
      <c r="H978" s="120"/>
      <c r="I978" s="119"/>
      <c r="J978" s="119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4"/>
      <c r="AD978" s="237"/>
    </row>
    <row r="979">
      <c r="F979" s="119"/>
      <c r="G979" s="119"/>
      <c r="H979" s="120"/>
      <c r="I979" s="119"/>
      <c r="J979" s="119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4"/>
      <c r="AD979" s="237"/>
    </row>
    <row r="980">
      <c r="F980" s="119"/>
      <c r="G980" s="119"/>
      <c r="H980" s="120"/>
      <c r="I980" s="119"/>
      <c r="J980" s="119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4"/>
      <c r="AD980" s="237"/>
    </row>
    <row r="981">
      <c r="F981" s="119"/>
      <c r="G981" s="119"/>
      <c r="H981" s="120"/>
      <c r="I981" s="119"/>
      <c r="J981" s="119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4"/>
      <c r="AD981" s="237"/>
    </row>
    <row r="982">
      <c r="F982" s="119"/>
      <c r="G982" s="119"/>
      <c r="H982" s="120"/>
      <c r="I982" s="119"/>
      <c r="J982" s="119"/>
      <c r="M982" s="2"/>
      <c r="N982" s="2"/>
      <c r="O982" s="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4"/>
      <c r="AD982" s="237"/>
    </row>
    <row r="983">
      <c r="F983" s="119"/>
      <c r="G983" s="119"/>
      <c r="H983" s="120"/>
      <c r="I983" s="119"/>
      <c r="J983" s="119"/>
      <c r="M983" s="2"/>
      <c r="N983" s="2"/>
      <c r="O983" s="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4"/>
      <c r="AD983" s="237"/>
    </row>
    <row r="984">
      <c r="F984" s="119"/>
      <c r="G984" s="119"/>
      <c r="H984" s="120"/>
      <c r="I984" s="119"/>
      <c r="J984" s="119"/>
      <c r="M984" s="2"/>
      <c r="N984" s="2"/>
      <c r="O984" s="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4"/>
      <c r="AD984" s="237"/>
    </row>
    <row r="985">
      <c r="F985" s="119"/>
      <c r="G985" s="119"/>
      <c r="H985" s="120"/>
      <c r="I985" s="119"/>
      <c r="J985" s="119"/>
      <c r="M985" s="2"/>
      <c r="N985" s="2"/>
      <c r="O985" s="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4"/>
      <c r="AD985" s="237"/>
    </row>
    <row r="986">
      <c r="F986" s="119"/>
      <c r="G986" s="119"/>
      <c r="H986" s="120"/>
      <c r="I986" s="119"/>
      <c r="J986" s="119"/>
      <c r="M986" s="2"/>
      <c r="N986" s="2"/>
      <c r="O986" s="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4"/>
      <c r="AD986" s="237"/>
    </row>
    <row r="987">
      <c r="F987" s="119"/>
      <c r="G987" s="119"/>
      <c r="H987" s="120"/>
      <c r="I987" s="119"/>
      <c r="J987" s="119"/>
      <c r="M987" s="2"/>
      <c r="N987" s="2"/>
      <c r="O987" s="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4"/>
      <c r="AD987" s="237"/>
    </row>
    <row r="988">
      <c r="F988" s="119"/>
      <c r="G988" s="119"/>
      <c r="H988" s="120"/>
      <c r="I988" s="119"/>
      <c r="J988" s="119"/>
      <c r="M988" s="2"/>
      <c r="N988" s="2"/>
      <c r="O988" s="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4"/>
      <c r="AD988" s="237"/>
    </row>
    <row r="989">
      <c r="F989" s="119"/>
      <c r="G989" s="119"/>
      <c r="H989" s="120"/>
      <c r="I989" s="119"/>
      <c r="J989" s="119"/>
      <c r="M989" s="2"/>
      <c r="N989" s="2"/>
      <c r="O989" s="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4"/>
      <c r="AD989" s="237"/>
    </row>
    <row r="990">
      <c r="F990" s="119"/>
      <c r="G990" s="119"/>
      <c r="H990" s="120"/>
      <c r="I990" s="119"/>
      <c r="J990" s="119"/>
      <c r="M990" s="2"/>
      <c r="N990" s="2"/>
      <c r="O990" s="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4"/>
      <c r="AD990" s="237"/>
    </row>
    <row r="991">
      <c r="F991" s="119"/>
      <c r="G991" s="119"/>
      <c r="H991" s="120"/>
      <c r="I991" s="119"/>
      <c r="J991" s="119"/>
      <c r="M991" s="2"/>
      <c r="N991" s="2"/>
      <c r="O991" s="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4"/>
      <c r="AD991" s="237"/>
    </row>
    <row r="992">
      <c r="F992" s="119"/>
      <c r="G992" s="119"/>
      <c r="H992" s="120"/>
      <c r="I992" s="119"/>
      <c r="J992" s="119"/>
      <c r="M992" s="2"/>
      <c r="N992" s="2"/>
      <c r="O992" s="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4"/>
      <c r="AD992" s="237"/>
    </row>
    <row r="993">
      <c r="F993" s="119"/>
      <c r="G993" s="119"/>
      <c r="H993" s="120"/>
      <c r="I993" s="119"/>
      <c r="J993" s="119"/>
      <c r="M993" s="2"/>
      <c r="N993" s="2"/>
      <c r="O993" s="2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4"/>
      <c r="AD993" s="237"/>
    </row>
    <row r="994">
      <c r="F994" s="119"/>
      <c r="G994" s="119"/>
      <c r="H994" s="120"/>
      <c r="I994" s="119"/>
      <c r="J994" s="119"/>
      <c r="M994" s="2"/>
      <c r="N994" s="2"/>
      <c r="O994" s="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4"/>
      <c r="AD994" s="237"/>
    </row>
    <row r="995">
      <c r="F995" s="119"/>
      <c r="G995" s="119"/>
      <c r="H995" s="120"/>
      <c r="I995" s="119"/>
      <c r="J995" s="119"/>
      <c r="M995" s="2"/>
      <c r="N995" s="2"/>
      <c r="O995" s="2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4"/>
      <c r="AD995" s="237"/>
    </row>
    <row r="996">
      <c r="F996" s="119"/>
      <c r="G996" s="119"/>
      <c r="H996" s="120"/>
      <c r="I996" s="119"/>
      <c r="J996" s="119"/>
      <c r="M996" s="2"/>
      <c r="N996" s="2"/>
      <c r="O996" s="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4"/>
      <c r="AD996" s="237"/>
    </row>
    <row r="997">
      <c r="F997" s="119"/>
      <c r="G997" s="119"/>
      <c r="H997" s="120"/>
      <c r="I997" s="119"/>
      <c r="J997" s="119"/>
      <c r="M997" s="2"/>
      <c r="N997" s="2"/>
      <c r="O997" s="2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4"/>
      <c r="AD997" s="237"/>
    </row>
    <row r="998">
      <c r="F998" s="119"/>
      <c r="G998" s="119"/>
      <c r="H998" s="120"/>
      <c r="I998" s="119"/>
      <c r="J998" s="119"/>
      <c r="M998" s="2"/>
      <c r="N998" s="2"/>
      <c r="O998" s="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4"/>
      <c r="AD998" s="237"/>
    </row>
    <row r="999">
      <c r="F999" s="119"/>
      <c r="G999" s="119"/>
      <c r="H999" s="120"/>
      <c r="I999" s="119"/>
      <c r="J999" s="119"/>
      <c r="M999" s="2"/>
      <c r="N999" s="2"/>
      <c r="O999" s="2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4"/>
      <c r="AD999" s="237"/>
    </row>
    <row r="1000">
      <c r="F1000" s="119"/>
      <c r="G1000" s="119"/>
      <c r="H1000" s="120"/>
      <c r="I1000" s="119"/>
      <c r="J1000" s="119"/>
      <c r="M1000" s="2"/>
      <c r="N1000" s="2"/>
      <c r="O1000" s="2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4"/>
      <c r="AD1000" s="237"/>
    </row>
  </sheetData>
  <autoFilter ref="$A$11:$AF$69"/>
  <mergeCells count="59"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2:AC2"/>
    <mergeCell ref="A3:AC3"/>
    <mergeCell ref="A4:AB4"/>
    <mergeCell ref="A5:AC5"/>
    <mergeCell ref="A6:AC6"/>
    <mergeCell ref="A8:AC8"/>
    <mergeCell ref="A11:A12"/>
    <mergeCell ref="A28:A30"/>
    <mergeCell ref="A31:A33"/>
    <mergeCell ref="A34:A36"/>
    <mergeCell ref="A37:A39"/>
    <mergeCell ref="A40:A42"/>
    <mergeCell ref="A43:A45"/>
    <mergeCell ref="A46:A48"/>
    <mergeCell ref="A67:L67"/>
    <mergeCell ref="A68:L68"/>
    <mergeCell ref="A69:AC69"/>
    <mergeCell ref="A49:A51"/>
    <mergeCell ref="A52:A54"/>
    <mergeCell ref="A55:A57"/>
    <mergeCell ref="A58:A60"/>
    <mergeCell ref="A61:A63"/>
    <mergeCell ref="A65:L65"/>
    <mergeCell ref="A66:L66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AC16:AC18"/>
    <mergeCell ref="B11:B12"/>
    <mergeCell ref="C11:C12"/>
    <mergeCell ref="A13:A15"/>
    <mergeCell ref="A16:A18"/>
    <mergeCell ref="A19:A21"/>
    <mergeCell ref="A22:A24"/>
    <mergeCell ref="A25:A27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6.71"/>
    <col customWidth="1" min="2" max="2" width="30.71"/>
    <col customWidth="1" min="3" max="3" width="11.71"/>
    <col customWidth="1" min="4" max="4" width="11.14"/>
    <col customWidth="1" min="5" max="5" width="0.29"/>
    <col customWidth="1" min="6" max="6" width="10.86"/>
    <col customWidth="1" min="7" max="7" width="20.0"/>
    <col customWidth="1" min="8" max="8" width="20.14"/>
    <col customWidth="1" min="9" max="9" width="10.29"/>
    <col customWidth="1" min="10" max="10" width="12.14"/>
    <col customWidth="1" min="11" max="11" width="11.86"/>
    <col customWidth="1" min="12" max="12" width="31.0"/>
    <col customWidth="1" min="13" max="13" width="10.71"/>
    <col customWidth="1" min="14" max="14" width="17.43"/>
    <col customWidth="1" min="15" max="15" width="16.29"/>
    <col customWidth="1" min="16" max="16" width="7.43"/>
    <col customWidth="1" min="17" max="17" width="15.57"/>
    <col customWidth="1" min="18" max="18" width="20.14"/>
    <col customWidth="1" min="19" max="19" width="11.14"/>
    <col customWidth="1" min="20" max="20" width="15.43"/>
    <col customWidth="1" min="21" max="21" width="18.71"/>
    <col customWidth="1" min="22" max="22" width="15.43"/>
    <col customWidth="1" min="23" max="23" width="13.71"/>
    <col customWidth="1" hidden="1" min="24" max="24" width="16.43"/>
    <col customWidth="1" hidden="1" min="25" max="25" width="18.43"/>
    <col customWidth="1" hidden="1" min="26" max="26" width="16.86"/>
    <col customWidth="1" min="27" max="27" width="13.71"/>
    <col customWidth="1" min="28" max="28" width="16.0"/>
    <col customWidth="1" min="29" max="29" width="20.43"/>
    <col customWidth="1" min="30" max="30" width="18.0"/>
    <col customWidth="1" min="31" max="31" width="20.0"/>
    <col customWidth="1" min="32" max="32" width="22.86"/>
  </cols>
  <sheetData>
    <row r="1">
      <c r="A1" s="5" t="s">
        <v>505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237"/>
    </row>
    <row r="2">
      <c r="A2" s="8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237"/>
    </row>
    <row r="3" ht="17.25" customHeight="1">
      <c r="A3" s="9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10"/>
      <c r="AD3" s="237"/>
    </row>
    <row r="4" ht="33.0" customHeight="1">
      <c r="A4" s="11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/>
      <c r="AD4" s="237"/>
    </row>
    <row r="5">
      <c r="A5" s="11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  <c r="AD5" s="237"/>
    </row>
    <row r="6" ht="21.0" hidden="1" customHeight="1">
      <c r="A6" s="11"/>
      <c r="B6" s="12"/>
      <c r="C6" s="12"/>
      <c r="D6" s="12"/>
      <c r="E6" s="12"/>
      <c r="F6" s="121"/>
      <c r="G6" s="121"/>
      <c r="H6" s="122"/>
      <c r="I6" s="121"/>
      <c r="J6" s="121"/>
      <c r="K6" s="12"/>
      <c r="L6" s="12"/>
      <c r="M6" s="13"/>
      <c r="N6" s="13"/>
      <c r="O6" s="13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6"/>
      <c r="AD6" s="237"/>
    </row>
    <row r="7" ht="21.0" hidden="1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9"/>
      <c r="AD7" s="237"/>
    </row>
    <row r="8" ht="21.0" hidden="1" customHeight="1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237"/>
    </row>
    <row r="9" ht="21.0" hidden="1" customHeight="1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237"/>
    </row>
    <row r="10" ht="29.25" customHeight="1">
      <c r="A10" s="20" t="s">
        <v>12</v>
      </c>
      <c r="B10" s="21" t="s">
        <v>15</v>
      </c>
      <c r="C10" s="21" t="s">
        <v>13</v>
      </c>
      <c r="D10" s="21" t="s">
        <v>14</v>
      </c>
      <c r="E10" s="21" t="s">
        <v>15</v>
      </c>
      <c r="F10" s="21" t="s">
        <v>16</v>
      </c>
      <c r="G10" s="21" t="s">
        <v>169</v>
      </c>
      <c r="H10" s="24" t="s">
        <v>23</v>
      </c>
      <c r="I10" s="21" t="s">
        <v>27</v>
      </c>
      <c r="J10" s="21" t="s">
        <v>30</v>
      </c>
      <c r="K10" s="21" t="s">
        <v>18</v>
      </c>
      <c r="L10" s="21" t="s">
        <v>31</v>
      </c>
      <c r="M10" s="21" t="s">
        <v>170</v>
      </c>
      <c r="N10" s="21" t="s">
        <v>21</v>
      </c>
      <c r="O10" s="21" t="s">
        <v>22</v>
      </c>
      <c r="P10" s="25" t="s">
        <v>24</v>
      </c>
      <c r="Q10" s="25" t="s">
        <v>25</v>
      </c>
      <c r="R10" s="25" t="s">
        <v>174</v>
      </c>
      <c r="S10" s="23" t="s">
        <v>37</v>
      </c>
      <c r="T10" s="25" t="s">
        <v>39</v>
      </c>
      <c r="U10" s="25" t="s">
        <v>40</v>
      </c>
      <c r="V10" s="25" t="s">
        <v>43</v>
      </c>
      <c r="W10" s="25" t="s">
        <v>45</v>
      </c>
      <c r="X10" s="25" t="s">
        <v>46</v>
      </c>
      <c r="Y10" s="25" t="s">
        <v>47</v>
      </c>
      <c r="Z10" s="25" t="s">
        <v>48</v>
      </c>
      <c r="AA10" s="25" t="s">
        <v>32</v>
      </c>
      <c r="AB10" s="25" t="s">
        <v>33</v>
      </c>
      <c r="AC10" s="238" t="s">
        <v>34</v>
      </c>
      <c r="AD10" s="239" t="s">
        <v>455</v>
      </c>
    </row>
    <row r="11" ht="37.5" customHeight="1">
      <c r="A11" s="28"/>
      <c r="B11" s="30"/>
      <c r="C11" s="29"/>
      <c r="D11" s="29"/>
      <c r="E11" s="29"/>
      <c r="F11" s="29"/>
      <c r="G11" s="30"/>
      <c r="H11" s="30"/>
      <c r="I11" s="29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40"/>
      <c r="AD11" s="30"/>
    </row>
    <row r="12">
      <c r="F12" s="119"/>
      <c r="G12" s="119"/>
      <c r="H12" s="120"/>
      <c r="I12" s="119"/>
      <c r="J12" s="119"/>
      <c r="M12" s="2"/>
      <c r="N12" s="2"/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237"/>
    </row>
    <row r="13" ht="30.0" customHeight="1">
      <c r="A13" s="261" t="s">
        <v>369</v>
      </c>
      <c r="B13" s="262" t="s">
        <v>526</v>
      </c>
      <c r="C13" s="44">
        <v>46150.0</v>
      </c>
      <c r="D13" s="44">
        <v>46150.0</v>
      </c>
      <c r="E13" s="37"/>
      <c r="F13" s="263" t="s">
        <v>176</v>
      </c>
      <c r="G13" s="263" t="s">
        <v>315</v>
      </c>
      <c r="H13" s="264" t="s">
        <v>527</v>
      </c>
      <c r="I13" s="37"/>
      <c r="J13" s="263"/>
      <c r="K13" s="266"/>
      <c r="L13" s="263" t="s">
        <v>189</v>
      </c>
      <c r="M13" s="267"/>
      <c r="N13" s="268">
        <v>800000.0</v>
      </c>
      <c r="O13" s="269">
        <v>800000.0</v>
      </c>
      <c r="P13" s="241"/>
      <c r="Q13" s="45"/>
      <c r="R13" s="241"/>
      <c r="S13" s="241"/>
      <c r="T13" s="241"/>
      <c r="U13" s="241"/>
      <c r="V13" s="241"/>
      <c r="W13" s="241"/>
      <c r="X13" s="241"/>
      <c r="Y13" s="241"/>
      <c r="Z13" s="241"/>
      <c r="AA13" s="241">
        <f t="shared" ref="AA13:AB13" si="1">N13</f>
        <v>800000</v>
      </c>
      <c r="AB13" s="241">
        <f t="shared" si="1"/>
        <v>800000</v>
      </c>
      <c r="AC13" s="63"/>
      <c r="AD13" s="241">
        <f t="shared" ref="AD13:AD43" si="2">AB13-AA13</f>
        <v>0</v>
      </c>
      <c r="AE13" s="271"/>
      <c r="AF13" s="271"/>
    </row>
    <row r="14" ht="30.0" customHeight="1">
      <c r="A14" s="30"/>
      <c r="B14" s="262" t="s">
        <v>526</v>
      </c>
      <c r="C14" s="44">
        <v>46150.0</v>
      </c>
      <c r="D14" s="44"/>
      <c r="E14" s="37"/>
      <c r="F14" s="263" t="s">
        <v>176</v>
      </c>
      <c r="G14" s="263" t="s">
        <v>315</v>
      </c>
      <c r="H14" s="264" t="s">
        <v>527</v>
      </c>
      <c r="I14" s="37"/>
      <c r="J14" s="263" t="s">
        <v>532</v>
      </c>
      <c r="K14" s="266" t="s">
        <v>203</v>
      </c>
      <c r="L14" s="263" t="s">
        <v>534</v>
      </c>
      <c r="M14" s="267">
        <v>1.0</v>
      </c>
      <c r="N14" s="268">
        <f>6912000/1.08+3096000</f>
        <v>9496000</v>
      </c>
      <c r="O14" s="269">
        <v>6000000.0</v>
      </c>
      <c r="P14" s="241"/>
      <c r="Q14" s="45"/>
      <c r="R14" s="241"/>
      <c r="S14" s="274">
        <v>250000.0</v>
      </c>
      <c r="T14" s="274">
        <v>200000.0</v>
      </c>
      <c r="U14" s="241"/>
      <c r="V14" s="241"/>
      <c r="W14" s="274">
        <v>2646000.0</v>
      </c>
      <c r="X14" s="241"/>
      <c r="Y14" s="241"/>
      <c r="Z14" s="241"/>
      <c r="AA14" s="274">
        <f t="shared" ref="AA14:AA43" si="3">N14</f>
        <v>9496000</v>
      </c>
      <c r="AB14" s="241">
        <f>SUM(O14:W14)</f>
        <v>9096000</v>
      </c>
      <c r="AC14" s="63"/>
      <c r="AD14" s="241">
        <f t="shared" si="2"/>
        <v>-400000</v>
      </c>
      <c r="AE14" s="271"/>
      <c r="AF14" s="271"/>
    </row>
    <row r="15" ht="30.0" customHeight="1">
      <c r="A15" s="277" t="s">
        <v>375</v>
      </c>
      <c r="B15" s="177" t="s">
        <v>370</v>
      </c>
      <c r="C15" s="44">
        <v>46150.0</v>
      </c>
      <c r="D15" s="44">
        <v>46150.0</v>
      </c>
      <c r="E15" s="37"/>
      <c r="F15" s="37" t="s">
        <v>176</v>
      </c>
      <c r="G15" s="263" t="s">
        <v>535</v>
      </c>
      <c r="H15" s="49" t="s">
        <v>536</v>
      </c>
      <c r="I15" s="37"/>
      <c r="J15" s="37"/>
      <c r="K15" s="42"/>
      <c r="L15" s="37" t="s">
        <v>189</v>
      </c>
      <c r="M15" s="202"/>
      <c r="N15" s="278">
        <v>4810000.0</v>
      </c>
      <c r="O15" s="45">
        <v>5092592.592592592</v>
      </c>
      <c r="P15" s="241"/>
      <c r="Q15" s="45"/>
      <c r="R15" s="241"/>
      <c r="S15" s="241"/>
      <c r="T15" s="241"/>
      <c r="U15" s="241"/>
      <c r="V15" s="241"/>
      <c r="W15" s="241"/>
      <c r="X15" s="241"/>
      <c r="Y15" s="241"/>
      <c r="Z15" s="241"/>
      <c r="AA15" s="241">
        <f t="shared" si="3"/>
        <v>4810000</v>
      </c>
      <c r="AB15" s="241">
        <f>O15</f>
        <v>5092592.593</v>
      </c>
      <c r="AC15" s="137"/>
      <c r="AD15" s="241">
        <f t="shared" si="2"/>
        <v>282592.5926</v>
      </c>
      <c r="AE15" s="54"/>
      <c r="AF15" s="54"/>
    </row>
    <row r="16" ht="30.0" customHeight="1">
      <c r="A16" s="30"/>
      <c r="B16" s="177" t="s">
        <v>370</v>
      </c>
      <c r="C16" s="44">
        <v>46151.0</v>
      </c>
      <c r="D16" s="44">
        <v>46153.0</v>
      </c>
      <c r="E16" s="37"/>
      <c r="F16" s="37" t="s">
        <v>414</v>
      </c>
      <c r="G16" s="263" t="s">
        <v>535</v>
      </c>
      <c r="H16" s="49" t="s">
        <v>536</v>
      </c>
      <c r="I16" s="37" t="s">
        <v>537</v>
      </c>
      <c r="J16" s="37" t="s">
        <v>538</v>
      </c>
      <c r="K16" s="42" t="s">
        <v>188</v>
      </c>
      <c r="L16" s="37" t="s">
        <v>438</v>
      </c>
      <c r="M16" s="202">
        <v>1.0</v>
      </c>
      <c r="N16" s="74">
        <f>51840000/1.08+9465091</f>
        <v>57465091</v>
      </c>
      <c r="O16" s="45">
        <v>6.018518518518518E7</v>
      </c>
      <c r="P16" s="241">
        <v>1.0</v>
      </c>
      <c r="Q16" s="45">
        <v>3000000.0</v>
      </c>
      <c r="R16" s="241"/>
      <c r="S16" s="45">
        <v>800000.0</v>
      </c>
      <c r="T16" s="45">
        <v>600000.0</v>
      </c>
      <c r="U16" s="45">
        <v>0.0</v>
      </c>
      <c r="V16" s="45">
        <v>2777777.7777777775</v>
      </c>
      <c r="W16" s="45">
        <v>8148148.148148147</v>
      </c>
      <c r="X16" s="241"/>
      <c r="Y16" s="241"/>
      <c r="Z16" s="241"/>
      <c r="AA16" s="241">
        <f t="shared" si="3"/>
        <v>57465091</v>
      </c>
      <c r="AB16" s="241">
        <f>SUM(O16,Q16:W16)</f>
        <v>75511111.11</v>
      </c>
      <c r="AC16" s="137"/>
      <c r="AD16" s="241">
        <f t="shared" si="2"/>
        <v>18046020.11</v>
      </c>
      <c r="AE16" s="242"/>
      <c r="AF16" s="54"/>
    </row>
    <row r="17" ht="30.0" customHeight="1">
      <c r="A17" s="281" t="s">
        <v>380</v>
      </c>
      <c r="B17" s="177" t="s">
        <v>370</v>
      </c>
      <c r="C17" s="44">
        <v>46150.0</v>
      </c>
      <c r="D17" s="44">
        <v>46150.0</v>
      </c>
      <c r="E17" s="37"/>
      <c r="F17" s="37" t="s">
        <v>176</v>
      </c>
      <c r="G17" s="263" t="s">
        <v>535</v>
      </c>
      <c r="H17" s="49" t="s">
        <v>536</v>
      </c>
      <c r="I17" s="37"/>
      <c r="J17" s="37"/>
      <c r="K17" s="42"/>
      <c r="L17" s="37" t="s">
        <v>189</v>
      </c>
      <c r="M17" s="202"/>
      <c r="N17" s="278">
        <v>4810000.0</v>
      </c>
      <c r="O17" s="45">
        <v>5092592.592592592</v>
      </c>
      <c r="P17" s="241"/>
      <c r="Q17" s="45"/>
      <c r="R17" s="241"/>
      <c r="S17" s="45"/>
      <c r="T17" s="45"/>
      <c r="U17" s="45"/>
      <c r="V17" s="45"/>
      <c r="W17" s="45"/>
      <c r="X17" s="241"/>
      <c r="Y17" s="241"/>
      <c r="Z17" s="241"/>
      <c r="AA17" s="241">
        <f t="shared" si="3"/>
        <v>4810000</v>
      </c>
      <c r="AB17" s="241">
        <f>O17</f>
        <v>5092592.593</v>
      </c>
      <c r="AC17" s="283"/>
      <c r="AD17" s="241">
        <f t="shared" si="2"/>
        <v>282592.5926</v>
      </c>
      <c r="AE17" s="56"/>
      <c r="AF17" s="56"/>
    </row>
    <row r="18" ht="30.0" customHeight="1">
      <c r="A18" s="30"/>
      <c r="B18" s="177" t="s">
        <v>370</v>
      </c>
      <c r="C18" s="44">
        <v>46151.0</v>
      </c>
      <c r="D18" s="44">
        <v>46152.0</v>
      </c>
      <c r="E18" s="37"/>
      <c r="F18" s="37" t="s">
        <v>245</v>
      </c>
      <c r="G18" s="263" t="s">
        <v>535</v>
      </c>
      <c r="H18" s="49" t="s">
        <v>536</v>
      </c>
      <c r="I18" s="37" t="s">
        <v>539</v>
      </c>
      <c r="J18" s="37" t="s">
        <v>329</v>
      </c>
      <c r="K18" s="42" t="s">
        <v>188</v>
      </c>
      <c r="L18" s="37" t="s">
        <v>438</v>
      </c>
      <c r="M18" s="202">
        <v>1.0</v>
      </c>
      <c r="N18" s="74">
        <f>46440000/1.08+9465091</f>
        <v>52465091</v>
      </c>
      <c r="O18" s="45">
        <v>6.018518518518518E7</v>
      </c>
      <c r="P18" s="241"/>
      <c r="Q18" s="45"/>
      <c r="R18" s="241"/>
      <c r="S18" s="45">
        <v>800000.0</v>
      </c>
      <c r="T18" s="45">
        <v>600000.0</v>
      </c>
      <c r="U18" s="45">
        <v>0.0</v>
      </c>
      <c r="V18" s="45">
        <v>2777777.7777777775</v>
      </c>
      <c r="W18" s="45">
        <v>8148148.148148147</v>
      </c>
      <c r="X18" s="241"/>
      <c r="Y18" s="241"/>
      <c r="Z18" s="241"/>
      <c r="AA18" s="241">
        <f t="shared" si="3"/>
        <v>52465091</v>
      </c>
      <c r="AB18" s="241">
        <f>SUM(O18:W18)</f>
        <v>72511111.11</v>
      </c>
      <c r="AC18" s="283"/>
      <c r="AD18" s="241">
        <f t="shared" si="2"/>
        <v>20046020.11</v>
      </c>
      <c r="AE18" s="245"/>
      <c r="AF18" s="56"/>
    </row>
    <row r="19" ht="30.0" customHeight="1">
      <c r="A19" s="281" t="s">
        <v>384</v>
      </c>
      <c r="B19" s="177" t="s">
        <v>370</v>
      </c>
      <c r="C19" s="44">
        <v>46150.0</v>
      </c>
      <c r="D19" s="44">
        <v>46150.0</v>
      </c>
      <c r="E19" s="37"/>
      <c r="F19" s="37" t="s">
        <v>176</v>
      </c>
      <c r="G19" s="263" t="s">
        <v>535</v>
      </c>
      <c r="H19" s="49" t="s">
        <v>536</v>
      </c>
      <c r="I19" s="37"/>
      <c r="J19" s="37"/>
      <c r="K19" s="42"/>
      <c r="L19" s="37" t="s">
        <v>189</v>
      </c>
      <c r="M19" s="202"/>
      <c r="N19" s="278">
        <v>4810000.0</v>
      </c>
      <c r="O19" s="45">
        <v>5092592.592592592</v>
      </c>
      <c r="P19" s="241"/>
      <c r="Q19" s="45"/>
      <c r="R19" s="241"/>
      <c r="S19" s="45"/>
      <c r="T19" s="45"/>
      <c r="U19" s="45"/>
      <c r="V19" s="45"/>
      <c r="W19" s="45"/>
      <c r="X19" s="241"/>
      <c r="Y19" s="241"/>
      <c r="Z19" s="241"/>
      <c r="AA19" s="241">
        <f t="shared" si="3"/>
        <v>4810000</v>
      </c>
      <c r="AB19" s="241">
        <f>O19</f>
        <v>5092592.593</v>
      </c>
      <c r="AC19" s="137"/>
      <c r="AD19" s="241">
        <f t="shared" si="2"/>
        <v>282592.5926</v>
      </c>
      <c r="AE19" s="56"/>
      <c r="AF19" s="56"/>
    </row>
    <row r="20" ht="30.0" customHeight="1">
      <c r="A20" s="30"/>
      <c r="B20" s="177" t="s">
        <v>370</v>
      </c>
      <c r="C20" s="44">
        <v>46151.0</v>
      </c>
      <c r="D20" s="44">
        <v>46152.0</v>
      </c>
      <c r="E20" s="44"/>
      <c r="F20" s="37" t="s">
        <v>245</v>
      </c>
      <c r="G20" s="263" t="s">
        <v>535</v>
      </c>
      <c r="H20" s="49" t="s">
        <v>536</v>
      </c>
      <c r="I20" s="37" t="s">
        <v>187</v>
      </c>
      <c r="J20" s="37" t="s">
        <v>246</v>
      </c>
      <c r="K20" s="42" t="s">
        <v>188</v>
      </c>
      <c r="L20" s="37" t="s">
        <v>438</v>
      </c>
      <c r="M20" s="202">
        <v>1.0</v>
      </c>
      <c r="N20" s="74">
        <f>46440000/1.08+9465091</f>
        <v>52465091</v>
      </c>
      <c r="O20" s="45">
        <v>6.018518518518518E7</v>
      </c>
      <c r="P20" s="241"/>
      <c r="Q20" s="45"/>
      <c r="R20" s="241"/>
      <c r="S20" s="45">
        <v>800000.0</v>
      </c>
      <c r="T20" s="45">
        <v>600000.0</v>
      </c>
      <c r="U20" s="45">
        <v>0.0</v>
      </c>
      <c r="V20" s="45">
        <v>2777777.7777777775</v>
      </c>
      <c r="W20" s="45">
        <v>8148148.148148147</v>
      </c>
      <c r="X20" s="241"/>
      <c r="Y20" s="241"/>
      <c r="Z20" s="241"/>
      <c r="AA20" s="241">
        <f t="shared" si="3"/>
        <v>52465091</v>
      </c>
      <c r="AB20" s="241">
        <f>SUM(O20:W20)</f>
        <v>72511111.11</v>
      </c>
      <c r="AC20" s="137"/>
      <c r="AD20" s="241">
        <f t="shared" si="2"/>
        <v>20046020.11</v>
      </c>
      <c r="AE20" s="245"/>
      <c r="AF20" s="56"/>
    </row>
    <row r="21" ht="30.0" customHeight="1">
      <c r="A21" s="281" t="s">
        <v>389</v>
      </c>
      <c r="B21" s="177" t="s">
        <v>370</v>
      </c>
      <c r="C21" s="44">
        <v>46150.0</v>
      </c>
      <c r="D21" s="44">
        <v>46150.0</v>
      </c>
      <c r="E21" s="37"/>
      <c r="F21" s="37" t="s">
        <v>176</v>
      </c>
      <c r="G21" s="263" t="s">
        <v>535</v>
      </c>
      <c r="H21" s="49" t="s">
        <v>536</v>
      </c>
      <c r="I21" s="37"/>
      <c r="J21" s="37"/>
      <c r="K21" s="42"/>
      <c r="L21" s="37" t="s">
        <v>189</v>
      </c>
      <c r="M21" s="202"/>
      <c r="N21" s="278">
        <v>4810000.0</v>
      </c>
      <c r="O21" s="45">
        <v>5092592.592592592</v>
      </c>
      <c r="P21" s="241"/>
      <c r="Q21" s="45"/>
      <c r="R21" s="241"/>
      <c r="S21" s="45"/>
      <c r="T21" s="45"/>
      <c r="U21" s="45"/>
      <c r="V21" s="45"/>
      <c r="W21" s="45"/>
      <c r="X21" s="241"/>
      <c r="Y21" s="241"/>
      <c r="Z21" s="241"/>
      <c r="AA21" s="241">
        <f t="shared" si="3"/>
        <v>4810000</v>
      </c>
      <c r="AB21" s="241">
        <f>O21</f>
        <v>5092592.593</v>
      </c>
      <c r="AC21" s="137"/>
      <c r="AD21" s="241">
        <f t="shared" si="2"/>
        <v>282592.5926</v>
      </c>
      <c r="AE21" s="56"/>
      <c r="AF21" s="56"/>
    </row>
    <row r="22" ht="30.0" customHeight="1">
      <c r="A22" s="30"/>
      <c r="B22" s="177" t="s">
        <v>370</v>
      </c>
      <c r="C22" s="44">
        <v>46151.0</v>
      </c>
      <c r="D22" s="44">
        <v>46153.0</v>
      </c>
      <c r="E22" s="37"/>
      <c r="F22" s="37" t="s">
        <v>414</v>
      </c>
      <c r="G22" s="263" t="s">
        <v>535</v>
      </c>
      <c r="H22" s="49" t="s">
        <v>536</v>
      </c>
      <c r="I22" s="68" t="s">
        <v>540</v>
      </c>
      <c r="J22" s="37" t="s">
        <v>541</v>
      </c>
      <c r="K22" s="42" t="s">
        <v>188</v>
      </c>
      <c r="L22" s="37" t="s">
        <v>438</v>
      </c>
      <c r="M22" s="202">
        <v>1.0</v>
      </c>
      <c r="N22" s="74">
        <f>48600000/1.08+10113091</f>
        <v>55113091</v>
      </c>
      <c r="O22" s="45">
        <v>6.018518518518518E7</v>
      </c>
      <c r="P22" s="241">
        <v>1.0</v>
      </c>
      <c r="Q22" s="45">
        <v>3000000.0</v>
      </c>
      <c r="R22" s="241"/>
      <c r="S22" s="45">
        <v>800000.0</v>
      </c>
      <c r="T22" s="45">
        <v>600000.0</v>
      </c>
      <c r="U22" s="45">
        <v>0.0</v>
      </c>
      <c r="V22" s="45">
        <v>2777777.7777777775</v>
      </c>
      <c r="W22" s="45">
        <v>8148148.148148147</v>
      </c>
      <c r="X22" s="241"/>
      <c r="Y22" s="241"/>
      <c r="Z22" s="241"/>
      <c r="AA22" s="241">
        <f t="shared" si="3"/>
        <v>55113091</v>
      </c>
      <c r="AB22" s="241">
        <f>SUM(O22,Q22:W22)</f>
        <v>75511111.11</v>
      </c>
      <c r="AC22" s="137"/>
      <c r="AD22" s="241">
        <f t="shared" si="2"/>
        <v>20398020.11</v>
      </c>
      <c r="AE22" s="245"/>
      <c r="AF22" s="56"/>
    </row>
    <row r="23" ht="30.75" customHeight="1">
      <c r="A23" s="281" t="s">
        <v>393</v>
      </c>
      <c r="B23" s="177" t="s">
        <v>370</v>
      </c>
      <c r="C23" s="44">
        <v>46150.0</v>
      </c>
      <c r="D23" s="44">
        <v>46150.0</v>
      </c>
      <c r="E23" s="37"/>
      <c r="F23" s="37" t="s">
        <v>176</v>
      </c>
      <c r="G23" s="263" t="s">
        <v>535</v>
      </c>
      <c r="H23" s="49" t="s">
        <v>536</v>
      </c>
      <c r="I23" s="68"/>
      <c r="J23" s="68"/>
      <c r="K23" s="42"/>
      <c r="L23" s="37" t="s">
        <v>189</v>
      </c>
      <c r="M23" s="202"/>
      <c r="N23" s="278">
        <v>4810000.0</v>
      </c>
      <c r="O23" s="45">
        <v>5092592.592592592</v>
      </c>
      <c r="P23" s="241"/>
      <c r="Q23" s="45"/>
      <c r="R23" s="241"/>
      <c r="S23" s="45"/>
      <c r="T23" s="45"/>
      <c r="U23" s="45"/>
      <c r="V23" s="45"/>
      <c r="W23" s="45"/>
      <c r="X23" s="241"/>
      <c r="Y23" s="241"/>
      <c r="Z23" s="241"/>
      <c r="AA23" s="241">
        <f t="shared" si="3"/>
        <v>4810000</v>
      </c>
      <c r="AB23" s="241">
        <f>O23</f>
        <v>5092592.593</v>
      </c>
      <c r="AC23" s="137"/>
      <c r="AD23" s="241">
        <f t="shared" si="2"/>
        <v>282592.5926</v>
      </c>
      <c r="AE23" s="56"/>
      <c r="AF23" s="56"/>
    </row>
    <row r="24" ht="30.0" customHeight="1">
      <c r="A24" s="30"/>
      <c r="B24" s="177" t="s">
        <v>370</v>
      </c>
      <c r="C24" s="44">
        <v>46151.0</v>
      </c>
      <c r="D24" s="44">
        <v>46153.0</v>
      </c>
      <c r="E24" s="44"/>
      <c r="F24" s="37" t="s">
        <v>414</v>
      </c>
      <c r="G24" s="263" t="s">
        <v>535</v>
      </c>
      <c r="H24" s="49" t="s">
        <v>536</v>
      </c>
      <c r="I24" s="37" t="s">
        <v>542</v>
      </c>
      <c r="J24" s="37" t="s">
        <v>543</v>
      </c>
      <c r="K24" s="42" t="s">
        <v>188</v>
      </c>
      <c r="L24" s="37" t="s">
        <v>438</v>
      </c>
      <c r="M24" s="202">
        <v>1.0</v>
      </c>
      <c r="N24" s="74">
        <f>51840000/1.08+9465091</f>
        <v>57465091</v>
      </c>
      <c r="O24" s="45">
        <v>6.01851851851852E7</v>
      </c>
      <c r="P24" s="241">
        <v>2.0</v>
      </c>
      <c r="Q24" s="45">
        <v>6000000.0</v>
      </c>
      <c r="R24" s="241"/>
      <c r="S24" s="45">
        <v>800000.0</v>
      </c>
      <c r="T24" s="45">
        <v>600000.0</v>
      </c>
      <c r="U24" s="45">
        <v>0.0</v>
      </c>
      <c r="V24" s="45">
        <v>2777777.7777777775</v>
      </c>
      <c r="W24" s="45">
        <v>1.0185185185185185E7</v>
      </c>
      <c r="X24" s="241"/>
      <c r="Y24" s="241"/>
      <c r="Z24" s="241"/>
      <c r="AA24" s="241">
        <f t="shared" si="3"/>
        <v>57465091</v>
      </c>
      <c r="AB24" s="241">
        <f>SUM(O24,Q24:W24)</f>
        <v>80548148.15</v>
      </c>
      <c r="AC24" s="137"/>
      <c r="AD24" s="241">
        <f t="shared" si="2"/>
        <v>23083057.15</v>
      </c>
      <c r="AE24" s="56"/>
      <c r="AF24" s="56"/>
    </row>
    <row r="25" ht="30.0" customHeight="1">
      <c r="A25" s="284" t="s">
        <v>483</v>
      </c>
      <c r="B25" s="177" t="s">
        <v>528</v>
      </c>
      <c r="C25" s="44">
        <v>46155.0</v>
      </c>
      <c r="D25" s="44">
        <v>46156.0</v>
      </c>
      <c r="E25" s="37"/>
      <c r="F25" s="37" t="s">
        <v>414</v>
      </c>
      <c r="G25" s="37" t="s">
        <v>544</v>
      </c>
      <c r="H25" s="134"/>
      <c r="I25" s="37"/>
      <c r="J25" s="37" t="s">
        <v>545</v>
      </c>
      <c r="K25" s="42" t="s">
        <v>181</v>
      </c>
      <c r="L25" s="37" t="s">
        <v>546</v>
      </c>
      <c r="M25" s="202">
        <v>1.0</v>
      </c>
      <c r="N25" s="268">
        <v>6804000.0</v>
      </c>
      <c r="O25" s="241">
        <f>15416321/1.08</f>
        <v>14274371.3</v>
      </c>
      <c r="P25" s="241"/>
      <c r="Q25" s="241"/>
      <c r="R25" s="56"/>
      <c r="S25" s="241"/>
      <c r="T25" s="241"/>
      <c r="U25" s="241"/>
      <c r="V25" s="241"/>
      <c r="W25" s="241"/>
      <c r="X25" s="241"/>
      <c r="Y25" s="241"/>
      <c r="Z25" s="241"/>
      <c r="AA25" s="241">
        <f t="shared" si="3"/>
        <v>6804000</v>
      </c>
      <c r="AB25" s="241">
        <f>O25</f>
        <v>14274371.3</v>
      </c>
      <c r="AC25" s="137"/>
      <c r="AD25" s="241">
        <f t="shared" si="2"/>
        <v>7470371.296</v>
      </c>
      <c r="AE25" s="245"/>
      <c r="AF25" s="56"/>
    </row>
    <row r="26" ht="30.0" customHeight="1">
      <c r="A26" s="30"/>
      <c r="B26" s="177" t="s">
        <v>528</v>
      </c>
      <c r="C26" s="44">
        <v>46155.0</v>
      </c>
      <c r="D26" s="44">
        <v>46161.0</v>
      </c>
      <c r="E26" s="37"/>
      <c r="F26" s="37" t="s">
        <v>547</v>
      </c>
      <c r="G26" s="37" t="s">
        <v>544</v>
      </c>
      <c r="H26" s="195"/>
      <c r="I26" s="37"/>
      <c r="J26" s="37" t="s">
        <v>529</v>
      </c>
      <c r="K26" s="42" t="s">
        <v>548</v>
      </c>
      <c r="L26" s="37" t="s">
        <v>549</v>
      </c>
      <c r="M26" s="202">
        <v>1.0</v>
      </c>
      <c r="N26" s="43">
        <f>36720000/1.08+1620000</f>
        <v>35620000</v>
      </c>
      <c r="O26" s="241">
        <f>62207738/1.08</f>
        <v>57599757.41</v>
      </c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>
        <f t="shared" si="3"/>
        <v>35620000</v>
      </c>
      <c r="AB26" s="241">
        <f>O26+W26</f>
        <v>57599757.41</v>
      </c>
      <c r="AC26" s="137"/>
      <c r="AD26" s="241">
        <f t="shared" si="2"/>
        <v>21979757.41</v>
      </c>
      <c r="AE26" s="56"/>
      <c r="AF26" s="246"/>
    </row>
    <row r="27" ht="30.0" customHeight="1">
      <c r="A27" s="247" t="s">
        <v>401</v>
      </c>
      <c r="B27" s="177" t="s">
        <v>370</v>
      </c>
      <c r="C27" s="44">
        <v>46157.0</v>
      </c>
      <c r="D27" s="44">
        <v>46157.0</v>
      </c>
      <c r="E27" s="133"/>
      <c r="F27" s="37" t="s">
        <v>176</v>
      </c>
      <c r="G27" s="263" t="s">
        <v>535</v>
      </c>
      <c r="H27" s="248" t="s">
        <v>550</v>
      </c>
      <c r="I27" s="133"/>
      <c r="J27" s="133"/>
      <c r="K27" s="133"/>
      <c r="L27" s="37" t="s">
        <v>291</v>
      </c>
      <c r="M27" s="202"/>
      <c r="N27" s="268">
        <v>1253333.0</v>
      </c>
      <c r="O27" s="241">
        <f>2500000/1.08</f>
        <v>2314814.815</v>
      </c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>
        <f t="shared" si="3"/>
        <v>1253333</v>
      </c>
      <c r="AB27" s="241">
        <f t="shared" ref="AB27:AB28" si="4">O27</f>
        <v>2314814.815</v>
      </c>
      <c r="AC27" s="137"/>
      <c r="AD27" s="241">
        <f t="shared" si="2"/>
        <v>1061481.815</v>
      </c>
      <c r="AE27" s="56"/>
      <c r="AF27" s="56"/>
    </row>
    <row r="28" ht="30.0" customHeight="1">
      <c r="A28" s="249"/>
      <c r="B28" s="177" t="s">
        <v>370</v>
      </c>
      <c r="C28" s="44">
        <v>46157.0</v>
      </c>
      <c r="D28" s="44">
        <v>46157.0</v>
      </c>
      <c r="E28" s="198"/>
      <c r="F28" s="37" t="s">
        <v>176</v>
      </c>
      <c r="G28" s="263" t="s">
        <v>535</v>
      </c>
      <c r="H28" s="248" t="s">
        <v>550</v>
      </c>
      <c r="I28" s="198"/>
      <c r="J28" s="198"/>
      <c r="K28" s="198"/>
      <c r="L28" s="37" t="s">
        <v>189</v>
      </c>
      <c r="M28" s="202"/>
      <c r="N28" s="200">
        <v>4650000.0</v>
      </c>
      <c r="O28" s="43">
        <v>5092592.592592592</v>
      </c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>
        <f t="shared" si="3"/>
        <v>4650000</v>
      </c>
      <c r="AB28" s="241">
        <f t="shared" si="4"/>
        <v>5092592.593</v>
      </c>
      <c r="AC28" s="137"/>
      <c r="AD28" s="241">
        <f t="shared" si="2"/>
        <v>442592.5926</v>
      </c>
      <c r="AE28" s="56"/>
      <c r="AF28" s="56"/>
    </row>
    <row r="29" ht="30.0" customHeight="1">
      <c r="A29" s="250"/>
      <c r="B29" s="177" t="s">
        <v>370</v>
      </c>
      <c r="C29" s="44">
        <v>46158.0</v>
      </c>
      <c r="D29" s="44">
        <v>46160.0</v>
      </c>
      <c r="E29" s="37"/>
      <c r="F29" s="37" t="s">
        <v>245</v>
      </c>
      <c r="G29" s="263" t="s">
        <v>535</v>
      </c>
      <c r="H29" s="248" t="s">
        <v>550</v>
      </c>
      <c r="I29" s="42" t="s">
        <v>325</v>
      </c>
      <c r="J29" s="42" t="s">
        <v>551</v>
      </c>
      <c r="K29" s="42" t="s">
        <v>188</v>
      </c>
      <c r="L29" s="37" t="s">
        <v>552</v>
      </c>
      <c r="M29" s="202">
        <v>1.0</v>
      </c>
      <c r="N29" s="200">
        <f>45360000/1.08+10165091</f>
        <v>52165091</v>
      </c>
      <c r="O29" s="43">
        <f>60000000/1.08</f>
        <v>55555555.56</v>
      </c>
      <c r="P29" s="241">
        <v>1.0</v>
      </c>
      <c r="Q29" s="43">
        <v>3000000.0</v>
      </c>
      <c r="R29" s="241"/>
      <c r="S29" s="43">
        <v>800000.0</v>
      </c>
      <c r="T29" s="43">
        <v>600000.0</v>
      </c>
      <c r="U29" s="43">
        <v>0.0</v>
      </c>
      <c r="V29" s="43">
        <v>2777777.7777777775</v>
      </c>
      <c r="W29" s="43">
        <v>8148148.148148147</v>
      </c>
      <c r="X29" s="241"/>
      <c r="Y29" s="241"/>
      <c r="Z29" s="241"/>
      <c r="AA29" s="241">
        <f t="shared" si="3"/>
        <v>52165091</v>
      </c>
      <c r="AB29" s="241">
        <f>SUM(O29,Q29:W29)</f>
        <v>70881481.48</v>
      </c>
      <c r="AC29" s="137"/>
      <c r="AD29" s="241">
        <f t="shared" si="2"/>
        <v>18716390.48</v>
      </c>
      <c r="AE29" s="56"/>
      <c r="AF29" s="56"/>
    </row>
    <row r="30" ht="30.0" customHeight="1">
      <c r="A30" s="251" t="s">
        <v>404</v>
      </c>
      <c r="B30" s="177" t="s">
        <v>370</v>
      </c>
      <c r="C30" s="44">
        <v>46157.0</v>
      </c>
      <c r="D30" s="44">
        <v>46157.0</v>
      </c>
      <c r="E30" s="35"/>
      <c r="F30" s="37" t="s">
        <v>176</v>
      </c>
      <c r="G30" s="263" t="s">
        <v>535</v>
      </c>
      <c r="H30" s="248" t="s">
        <v>550</v>
      </c>
      <c r="I30" s="37"/>
      <c r="J30" s="37"/>
      <c r="K30" s="42"/>
      <c r="L30" s="37" t="s">
        <v>291</v>
      </c>
      <c r="M30" s="202"/>
      <c r="N30" s="268">
        <v>1253333.0</v>
      </c>
      <c r="O30" s="241">
        <f>2500000/1.08</f>
        <v>2314814.815</v>
      </c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>
        <f t="shared" si="3"/>
        <v>1253333</v>
      </c>
      <c r="AB30" s="241">
        <f t="shared" ref="AB30:AB31" si="5">O30</f>
        <v>2314814.815</v>
      </c>
      <c r="AC30" s="180"/>
      <c r="AD30" s="241">
        <f t="shared" si="2"/>
        <v>1061481.815</v>
      </c>
      <c r="AE30" s="129"/>
      <c r="AF30" s="129"/>
    </row>
    <row r="31" ht="30.0" customHeight="1">
      <c r="A31" s="249"/>
      <c r="B31" s="177" t="s">
        <v>370</v>
      </c>
      <c r="C31" s="44">
        <v>46157.0</v>
      </c>
      <c r="D31" s="44">
        <v>46157.0</v>
      </c>
      <c r="E31" s="198"/>
      <c r="F31" s="37" t="s">
        <v>176</v>
      </c>
      <c r="G31" s="263" t="s">
        <v>535</v>
      </c>
      <c r="H31" s="248" t="s">
        <v>550</v>
      </c>
      <c r="I31" s="198"/>
      <c r="J31" s="198"/>
      <c r="K31" s="198"/>
      <c r="L31" s="37" t="s">
        <v>189</v>
      </c>
      <c r="M31" s="202"/>
      <c r="N31" s="200">
        <v>4650000.0</v>
      </c>
      <c r="O31" s="45">
        <v>5092592.592592592</v>
      </c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>
        <f t="shared" si="3"/>
        <v>4650000</v>
      </c>
      <c r="AB31" s="241">
        <f t="shared" si="5"/>
        <v>5092592.593</v>
      </c>
      <c r="AC31" s="137"/>
      <c r="AD31" s="241">
        <f t="shared" si="2"/>
        <v>442592.5926</v>
      </c>
      <c r="AE31" s="56"/>
      <c r="AF31" s="56"/>
    </row>
    <row r="32" ht="30.0" customHeight="1">
      <c r="A32" s="250"/>
      <c r="B32" s="177" t="s">
        <v>370</v>
      </c>
      <c r="C32" s="44">
        <v>46158.0</v>
      </c>
      <c r="D32" s="44">
        <v>46160.0</v>
      </c>
      <c r="E32" s="198"/>
      <c r="F32" s="37" t="s">
        <v>245</v>
      </c>
      <c r="G32" s="263" t="s">
        <v>535</v>
      </c>
      <c r="H32" s="248" t="s">
        <v>550</v>
      </c>
      <c r="I32" s="65" t="s">
        <v>307</v>
      </c>
      <c r="J32" s="65" t="s">
        <v>553</v>
      </c>
      <c r="K32" s="42" t="s">
        <v>188</v>
      </c>
      <c r="L32" s="37" t="s">
        <v>552</v>
      </c>
      <c r="M32" s="202">
        <v>1.0</v>
      </c>
      <c r="N32" s="200">
        <f>45360000/1.08+10165091</f>
        <v>52165091</v>
      </c>
      <c r="O32" s="45">
        <f>60000000/1.08</f>
        <v>55555555.56</v>
      </c>
      <c r="P32" s="241">
        <v>1.0</v>
      </c>
      <c r="Q32" s="45">
        <v>3000000.0</v>
      </c>
      <c r="R32" s="241"/>
      <c r="S32" s="45">
        <v>800000.0</v>
      </c>
      <c r="T32" s="45">
        <v>600000.0</v>
      </c>
      <c r="U32" s="45">
        <v>0.0</v>
      </c>
      <c r="V32" s="45">
        <v>2777777.7777777775</v>
      </c>
      <c r="W32" s="45">
        <v>8148148.148148147</v>
      </c>
      <c r="X32" s="241"/>
      <c r="Y32" s="241"/>
      <c r="Z32" s="241"/>
      <c r="AA32" s="241">
        <f t="shared" si="3"/>
        <v>52165091</v>
      </c>
      <c r="AB32" s="241">
        <f>SUM(O32,Q32:W32)</f>
        <v>70881481.48</v>
      </c>
      <c r="AC32" s="137"/>
      <c r="AD32" s="241">
        <f t="shared" si="2"/>
        <v>18716390.48</v>
      </c>
      <c r="AE32" s="245"/>
      <c r="AF32" s="56"/>
    </row>
    <row r="33" ht="30.0" customHeight="1">
      <c r="A33" s="247" t="s">
        <v>408</v>
      </c>
      <c r="B33" s="177" t="s">
        <v>370</v>
      </c>
      <c r="C33" s="44">
        <v>46157.0</v>
      </c>
      <c r="D33" s="44">
        <v>46157.0</v>
      </c>
      <c r="E33" s="198"/>
      <c r="F33" s="37" t="s">
        <v>176</v>
      </c>
      <c r="G33" s="263" t="s">
        <v>535</v>
      </c>
      <c r="H33" s="65" t="s">
        <v>550</v>
      </c>
      <c r="I33" s="198"/>
      <c r="J33" s="198"/>
      <c r="K33" s="198"/>
      <c r="L33" s="37" t="s">
        <v>291</v>
      </c>
      <c r="M33" s="254"/>
      <c r="N33" s="268">
        <v>1253333.0</v>
      </c>
      <c r="O33" s="241">
        <f>2500000/1.08</f>
        <v>2314814.815</v>
      </c>
      <c r="P33" s="59"/>
      <c r="Q33" s="47"/>
      <c r="R33" s="63"/>
      <c r="S33" s="47"/>
      <c r="T33" s="47"/>
      <c r="U33" s="47"/>
      <c r="V33" s="194"/>
      <c r="W33" s="208"/>
      <c r="X33" s="47"/>
      <c r="Y33" s="47"/>
      <c r="Z33" s="47"/>
      <c r="AA33" s="47">
        <f t="shared" si="3"/>
        <v>1253333</v>
      </c>
      <c r="AB33" s="241">
        <f t="shared" ref="AB33:AB34" si="6">O33</f>
        <v>2314814.815</v>
      </c>
      <c r="AC33" s="137"/>
      <c r="AD33" s="241">
        <f t="shared" si="2"/>
        <v>1061481.815</v>
      </c>
      <c r="AE33" s="56"/>
      <c r="AF33" s="56"/>
    </row>
    <row r="34" ht="30.75" customHeight="1">
      <c r="A34" s="249"/>
      <c r="B34" s="177" t="s">
        <v>370</v>
      </c>
      <c r="C34" s="44">
        <v>46157.0</v>
      </c>
      <c r="D34" s="44">
        <v>46157.0</v>
      </c>
      <c r="E34" s="198"/>
      <c r="F34" s="37" t="s">
        <v>176</v>
      </c>
      <c r="G34" s="263" t="s">
        <v>535</v>
      </c>
      <c r="H34" s="65" t="s">
        <v>550</v>
      </c>
      <c r="I34" s="198"/>
      <c r="J34" s="198"/>
      <c r="K34" s="198"/>
      <c r="L34" s="37" t="s">
        <v>189</v>
      </c>
      <c r="M34" s="254"/>
      <c r="N34" s="200">
        <v>4650000.0</v>
      </c>
      <c r="O34" s="45">
        <v>5092592.592592592</v>
      </c>
      <c r="P34" s="59"/>
      <c r="Q34" s="47"/>
      <c r="R34" s="60"/>
      <c r="S34" s="47"/>
      <c r="T34" s="47"/>
      <c r="U34" s="47"/>
      <c r="V34" s="47"/>
      <c r="W34" s="47"/>
      <c r="X34" s="47"/>
      <c r="Y34" s="47"/>
      <c r="Z34" s="47"/>
      <c r="AA34" s="47">
        <f t="shared" si="3"/>
        <v>4650000</v>
      </c>
      <c r="AB34" s="241">
        <f t="shared" si="6"/>
        <v>5092592.593</v>
      </c>
      <c r="AC34" s="137"/>
      <c r="AD34" s="241">
        <f t="shared" si="2"/>
        <v>442592.5926</v>
      </c>
      <c r="AE34" s="56"/>
      <c r="AF34" s="56"/>
    </row>
    <row r="35" ht="30.0" customHeight="1">
      <c r="A35" s="250"/>
      <c r="B35" s="177" t="s">
        <v>370</v>
      </c>
      <c r="C35" s="44">
        <v>46158.0</v>
      </c>
      <c r="D35" s="44">
        <v>46160.0</v>
      </c>
      <c r="E35" s="62"/>
      <c r="F35" s="37" t="s">
        <v>414</v>
      </c>
      <c r="G35" s="263" t="s">
        <v>535</v>
      </c>
      <c r="H35" s="65" t="s">
        <v>550</v>
      </c>
      <c r="I35" s="65" t="s">
        <v>328</v>
      </c>
      <c r="J35" s="65" t="s">
        <v>538</v>
      </c>
      <c r="K35" s="42" t="s">
        <v>188</v>
      </c>
      <c r="L35" s="37" t="s">
        <v>552</v>
      </c>
      <c r="M35" s="254">
        <v>1.0</v>
      </c>
      <c r="N35" s="200">
        <f>46440000/1.08+9365091</f>
        <v>52365091</v>
      </c>
      <c r="O35" s="45">
        <f>60000000/1.08</f>
        <v>55555555.56</v>
      </c>
      <c r="P35" s="241">
        <v>1.0</v>
      </c>
      <c r="Q35" s="45">
        <v>3000000.0</v>
      </c>
      <c r="R35" s="241"/>
      <c r="S35" s="45">
        <v>800000.0</v>
      </c>
      <c r="T35" s="45">
        <v>600000.0</v>
      </c>
      <c r="U35" s="45">
        <v>0.0</v>
      </c>
      <c r="V35" s="45">
        <v>2777777.7777777775</v>
      </c>
      <c r="W35" s="45">
        <v>8148148.148148147</v>
      </c>
      <c r="X35" s="47"/>
      <c r="Y35" s="47"/>
      <c r="Z35" s="47"/>
      <c r="AA35" s="47">
        <f t="shared" si="3"/>
        <v>52365091</v>
      </c>
      <c r="AB35" s="241">
        <f>SUM(O35,Q35:W35)</f>
        <v>70881481.48</v>
      </c>
      <c r="AC35" s="137"/>
      <c r="AD35" s="241">
        <f t="shared" si="2"/>
        <v>18516390.48</v>
      </c>
      <c r="AE35" s="225"/>
      <c r="AF35" s="255"/>
    </row>
    <row r="36" ht="30.75" customHeight="1">
      <c r="A36" s="251" t="s">
        <v>412</v>
      </c>
      <c r="B36" s="177" t="s">
        <v>370</v>
      </c>
      <c r="C36" s="44">
        <v>46157.0</v>
      </c>
      <c r="D36" s="44">
        <v>46157.0</v>
      </c>
      <c r="E36" s="37"/>
      <c r="F36" s="37" t="s">
        <v>176</v>
      </c>
      <c r="G36" s="263" t="s">
        <v>535</v>
      </c>
      <c r="H36" s="161" t="s">
        <v>550</v>
      </c>
      <c r="I36" s="142"/>
      <c r="J36" s="142"/>
      <c r="K36" s="133"/>
      <c r="L36" s="37" t="s">
        <v>291</v>
      </c>
      <c r="M36" s="254"/>
      <c r="N36" s="268">
        <v>1253333.0</v>
      </c>
      <c r="O36" s="241">
        <f>2500000/1.08</f>
        <v>2314814.815</v>
      </c>
      <c r="P36" s="42"/>
      <c r="Q36" s="63"/>
      <c r="R36" s="63"/>
      <c r="S36" s="47"/>
      <c r="T36" s="47"/>
      <c r="U36" s="47"/>
      <c r="V36" s="194"/>
      <c r="W36" s="208"/>
      <c r="X36" s="63"/>
      <c r="Y36" s="63"/>
      <c r="Z36" s="63"/>
      <c r="AA36" s="63">
        <f t="shared" si="3"/>
        <v>1253333</v>
      </c>
      <c r="AB36" s="241">
        <f t="shared" ref="AB36:AB37" si="7">O36</f>
        <v>2314814.815</v>
      </c>
      <c r="AC36" s="137"/>
      <c r="AD36" s="241">
        <f t="shared" si="2"/>
        <v>1061481.815</v>
      </c>
      <c r="AE36" s="54"/>
      <c r="AF36" s="54"/>
    </row>
    <row r="37" ht="30.0" customHeight="1">
      <c r="A37" s="249"/>
      <c r="B37" s="177" t="s">
        <v>370</v>
      </c>
      <c r="C37" s="44">
        <v>46157.0</v>
      </c>
      <c r="D37" s="44">
        <v>46157.0</v>
      </c>
      <c r="E37" s="37"/>
      <c r="F37" s="37" t="s">
        <v>176</v>
      </c>
      <c r="G37" s="263" t="s">
        <v>535</v>
      </c>
      <c r="H37" s="161" t="s">
        <v>550</v>
      </c>
      <c r="I37" s="37"/>
      <c r="J37" s="37"/>
      <c r="K37" s="42"/>
      <c r="L37" s="37" t="s">
        <v>189</v>
      </c>
      <c r="M37" s="254"/>
      <c r="N37" s="200">
        <v>4650000.0</v>
      </c>
      <c r="O37" s="45">
        <v>5092592.592592592</v>
      </c>
      <c r="P37" s="59"/>
      <c r="Q37" s="47"/>
      <c r="R37" s="60"/>
      <c r="S37" s="47"/>
      <c r="T37" s="47"/>
      <c r="U37" s="47"/>
      <c r="V37" s="47"/>
      <c r="W37" s="47"/>
      <c r="X37" s="47"/>
      <c r="Y37" s="47"/>
      <c r="Z37" s="47"/>
      <c r="AA37" s="47">
        <f t="shared" si="3"/>
        <v>4650000</v>
      </c>
      <c r="AB37" s="241">
        <f t="shared" si="7"/>
        <v>5092592.593</v>
      </c>
      <c r="AC37" s="137"/>
      <c r="AD37" s="241">
        <f t="shared" si="2"/>
        <v>442592.5926</v>
      </c>
      <c r="AE37" s="56"/>
      <c r="AF37" s="56"/>
    </row>
    <row r="38" ht="30.75" customHeight="1">
      <c r="A38" s="250"/>
      <c r="B38" s="177" t="s">
        <v>370</v>
      </c>
      <c r="C38" s="44">
        <v>46158.0</v>
      </c>
      <c r="D38" s="44">
        <v>46160.0</v>
      </c>
      <c r="E38" s="37"/>
      <c r="F38" s="37" t="s">
        <v>414</v>
      </c>
      <c r="G38" s="263" t="s">
        <v>535</v>
      </c>
      <c r="H38" s="161" t="s">
        <v>550</v>
      </c>
      <c r="I38" s="37" t="s">
        <v>554</v>
      </c>
      <c r="J38" s="37" t="s">
        <v>543</v>
      </c>
      <c r="K38" s="42" t="s">
        <v>188</v>
      </c>
      <c r="L38" s="37" t="s">
        <v>552</v>
      </c>
      <c r="M38" s="254">
        <v>1.0</v>
      </c>
      <c r="N38" s="200">
        <f>46440000/1.08+9665091</f>
        <v>52665091</v>
      </c>
      <c r="O38" s="45">
        <f>60000000/1.08</f>
        <v>55555555.56</v>
      </c>
      <c r="P38" s="241">
        <v>1.0</v>
      </c>
      <c r="Q38" s="45">
        <v>3000000.0</v>
      </c>
      <c r="R38" s="241"/>
      <c r="S38" s="45">
        <v>800000.0</v>
      </c>
      <c r="T38" s="45">
        <v>600000.0</v>
      </c>
      <c r="U38" s="45">
        <v>0.0</v>
      </c>
      <c r="V38" s="45">
        <v>2777777.7777777775</v>
      </c>
      <c r="W38" s="45">
        <v>8148148.148148147</v>
      </c>
      <c r="X38" s="47"/>
      <c r="Y38" s="47"/>
      <c r="Z38" s="47"/>
      <c r="AA38" s="47">
        <f t="shared" si="3"/>
        <v>52665091</v>
      </c>
      <c r="AB38" s="241">
        <f>SUM(O38,Q38:W38)</f>
        <v>70881481.48</v>
      </c>
      <c r="AC38" s="137"/>
      <c r="AD38" s="241">
        <f t="shared" si="2"/>
        <v>18216390.48</v>
      </c>
      <c r="AE38" s="259"/>
      <c r="AF38" s="56"/>
    </row>
    <row r="39" ht="30.75" customHeight="1">
      <c r="A39" s="285" t="s">
        <v>417</v>
      </c>
      <c r="B39" s="177" t="s">
        <v>370</v>
      </c>
      <c r="C39" s="44">
        <v>46159.0</v>
      </c>
      <c r="D39" s="44">
        <v>46159.0</v>
      </c>
      <c r="E39" s="37"/>
      <c r="F39" s="37" t="s">
        <v>176</v>
      </c>
      <c r="G39" s="256" t="s">
        <v>555</v>
      </c>
      <c r="H39" s="161" t="s">
        <v>556</v>
      </c>
      <c r="I39" s="37"/>
      <c r="J39" s="37"/>
      <c r="K39" s="42"/>
      <c r="L39" s="37" t="s">
        <v>189</v>
      </c>
      <c r="M39" s="254"/>
      <c r="N39" s="268">
        <v>3685000.0</v>
      </c>
      <c r="O39" s="241">
        <f>5500000/1.08</f>
        <v>5092592.593</v>
      </c>
      <c r="P39" s="59"/>
      <c r="Q39" s="47"/>
      <c r="R39" s="60"/>
      <c r="S39" s="47"/>
      <c r="T39" s="47"/>
      <c r="U39" s="47"/>
      <c r="V39" s="47"/>
      <c r="W39" s="47"/>
      <c r="X39" s="47"/>
      <c r="Y39" s="47"/>
      <c r="Z39" s="47"/>
      <c r="AA39" s="47">
        <f t="shared" si="3"/>
        <v>3685000</v>
      </c>
      <c r="AB39" s="241">
        <f>O39</f>
        <v>5092592.593</v>
      </c>
      <c r="AC39" s="137"/>
      <c r="AD39" s="241">
        <f t="shared" si="2"/>
        <v>1407592.593</v>
      </c>
      <c r="AE39" s="56"/>
      <c r="AF39" s="56"/>
    </row>
    <row r="40" ht="30.75" customHeight="1">
      <c r="A40" s="250"/>
      <c r="B40" s="177" t="s">
        <v>370</v>
      </c>
      <c r="C40" s="44">
        <v>46159.0</v>
      </c>
      <c r="D40" s="44">
        <v>46161.0</v>
      </c>
      <c r="E40" s="37"/>
      <c r="F40" s="37" t="s">
        <v>386</v>
      </c>
      <c r="G40" s="256" t="s">
        <v>555</v>
      </c>
      <c r="H40" s="161" t="s">
        <v>556</v>
      </c>
      <c r="I40" s="37" t="s">
        <v>557</v>
      </c>
      <c r="J40" s="37" t="s">
        <v>392</v>
      </c>
      <c r="K40" s="42" t="s">
        <v>379</v>
      </c>
      <c r="L40" s="37" t="s">
        <v>558</v>
      </c>
      <c r="M40" s="254">
        <v>1.0</v>
      </c>
      <c r="N40" s="43">
        <f>4437500+15120000/1.08</f>
        <v>18437500</v>
      </c>
      <c r="O40" s="241">
        <f>18000000/1.08</f>
        <v>16666666.67</v>
      </c>
      <c r="P40" s="286">
        <v>1.0</v>
      </c>
      <c r="Q40" s="287">
        <v>1000000.0</v>
      </c>
      <c r="R40" s="60"/>
      <c r="S40" s="45">
        <v>800000.0</v>
      </c>
      <c r="T40" s="45">
        <v>600000.0</v>
      </c>
      <c r="U40" s="47"/>
      <c r="V40" s="47"/>
      <c r="W40" s="47">
        <v>2160000.0</v>
      </c>
      <c r="X40" s="47"/>
      <c r="Y40" s="47"/>
      <c r="Z40" s="47"/>
      <c r="AA40" s="47">
        <f t="shared" si="3"/>
        <v>18437500</v>
      </c>
      <c r="AB40" s="241">
        <f>SUM(O40,Q40:W40)</f>
        <v>21226666.67</v>
      </c>
      <c r="AC40" s="137"/>
      <c r="AD40" s="241">
        <f t="shared" si="2"/>
        <v>2789166.667</v>
      </c>
      <c r="AE40" s="56"/>
      <c r="AF40" s="56"/>
    </row>
    <row r="41" ht="30.75" customHeight="1">
      <c r="A41" s="218" t="s">
        <v>421</v>
      </c>
      <c r="B41" s="262" t="s">
        <v>459</v>
      </c>
      <c r="C41" s="288">
        <v>46167.0</v>
      </c>
      <c r="D41" s="288">
        <v>46167.0</v>
      </c>
      <c r="E41" s="37"/>
      <c r="F41" s="263" t="s">
        <v>341</v>
      </c>
      <c r="G41" s="289" t="s">
        <v>559</v>
      </c>
      <c r="H41" s="290" t="s">
        <v>560</v>
      </c>
      <c r="I41" s="37"/>
      <c r="J41" s="37"/>
      <c r="K41" s="42"/>
      <c r="L41" s="37" t="s">
        <v>291</v>
      </c>
      <c r="M41" s="254"/>
      <c r="N41" s="268">
        <v>859273.0</v>
      </c>
      <c r="O41" s="274">
        <v>800000.0</v>
      </c>
      <c r="P41" s="59"/>
      <c r="Q41" s="47"/>
      <c r="R41" s="60"/>
      <c r="S41" s="47"/>
      <c r="T41" s="47"/>
      <c r="U41" s="47"/>
      <c r="V41" s="47"/>
      <c r="W41" s="47"/>
      <c r="X41" s="47"/>
      <c r="Y41" s="47"/>
      <c r="Z41" s="47"/>
      <c r="AA41" s="47">
        <f t="shared" si="3"/>
        <v>859273</v>
      </c>
      <c r="AB41" s="241">
        <f t="shared" ref="AB41:AB42" si="8">O41</f>
        <v>800000</v>
      </c>
      <c r="AC41" s="137"/>
      <c r="AD41" s="241">
        <f t="shared" si="2"/>
        <v>-59273</v>
      </c>
      <c r="AE41" s="245"/>
      <c r="AF41" s="245"/>
    </row>
    <row r="42" ht="30.75" customHeight="1">
      <c r="A42" s="219"/>
      <c r="B42" s="262" t="s">
        <v>459</v>
      </c>
      <c r="C42" s="288">
        <v>46167.0</v>
      </c>
      <c r="D42" s="288">
        <v>46167.0</v>
      </c>
      <c r="E42" s="37"/>
      <c r="F42" s="263" t="s">
        <v>176</v>
      </c>
      <c r="G42" s="289" t="s">
        <v>559</v>
      </c>
      <c r="H42" s="290" t="s">
        <v>560</v>
      </c>
      <c r="I42" s="37"/>
      <c r="J42" s="37"/>
      <c r="K42" s="42"/>
      <c r="L42" s="37" t="s">
        <v>189</v>
      </c>
      <c r="M42" s="254"/>
      <c r="N42" s="268">
        <v>1920000.0</v>
      </c>
      <c r="O42" s="274">
        <v>2500000.0</v>
      </c>
      <c r="P42" s="59"/>
      <c r="Q42" s="47"/>
      <c r="R42" s="60"/>
      <c r="S42" s="47"/>
      <c r="T42" s="47"/>
      <c r="U42" s="47"/>
      <c r="V42" s="47"/>
      <c r="W42" s="47"/>
      <c r="X42" s="47"/>
      <c r="Y42" s="47"/>
      <c r="Z42" s="47"/>
      <c r="AA42" s="47">
        <f t="shared" si="3"/>
        <v>1920000</v>
      </c>
      <c r="AB42" s="241">
        <f t="shared" si="8"/>
        <v>2500000</v>
      </c>
      <c r="AC42" s="137"/>
      <c r="AD42" s="235">
        <f t="shared" si="2"/>
        <v>580000</v>
      </c>
      <c r="AE42" s="260"/>
    </row>
    <row r="43" ht="30.75" customHeight="1">
      <c r="A43" s="30"/>
      <c r="B43" s="262" t="s">
        <v>459</v>
      </c>
      <c r="C43" s="288">
        <v>46167.0</v>
      </c>
      <c r="D43" s="288">
        <v>46169.0</v>
      </c>
      <c r="E43" s="37"/>
      <c r="F43" s="263" t="s">
        <v>561</v>
      </c>
      <c r="G43" s="289" t="s">
        <v>559</v>
      </c>
      <c r="H43" s="290" t="s">
        <v>560</v>
      </c>
      <c r="I43" s="263" t="s">
        <v>562</v>
      </c>
      <c r="J43" s="263" t="s">
        <v>563</v>
      </c>
      <c r="K43" s="266" t="s">
        <v>530</v>
      </c>
      <c r="L43" s="263" t="s">
        <v>465</v>
      </c>
      <c r="M43" s="254">
        <v>1.0</v>
      </c>
      <c r="N43" s="268">
        <f>2002727+36720000</f>
        <v>38722727</v>
      </c>
      <c r="O43" s="274">
        <f>40000000/1.08</f>
        <v>37037037.04</v>
      </c>
      <c r="P43" s="59"/>
      <c r="Q43" s="47"/>
      <c r="R43" s="60"/>
      <c r="S43" s="274">
        <v>800000.0</v>
      </c>
      <c r="T43" s="274">
        <v>400000.0</v>
      </c>
      <c r="U43" s="47"/>
      <c r="V43" s="47"/>
      <c r="W43" s="287">
        <v>810000.0</v>
      </c>
      <c r="X43" s="47"/>
      <c r="Y43" s="47"/>
      <c r="Z43" s="47"/>
      <c r="AA43" s="47">
        <f t="shared" si="3"/>
        <v>38722727</v>
      </c>
      <c r="AB43" s="241">
        <f>sum(O43:W43)</f>
        <v>39047037.04</v>
      </c>
      <c r="AC43" s="137"/>
      <c r="AD43" s="235">
        <f t="shared" si="2"/>
        <v>324310.037</v>
      </c>
    </row>
    <row r="44" ht="30.75" customHeight="1">
      <c r="A44" s="218" t="s">
        <v>425</v>
      </c>
      <c r="B44" s="177" t="s">
        <v>370</v>
      </c>
      <c r="C44" s="288">
        <v>46168.0</v>
      </c>
      <c r="D44" s="288">
        <v>46168.0</v>
      </c>
      <c r="E44" s="37"/>
      <c r="F44" s="263" t="s">
        <v>176</v>
      </c>
      <c r="G44" s="263" t="s">
        <v>535</v>
      </c>
      <c r="H44" s="264" t="s">
        <v>564</v>
      </c>
      <c r="I44" s="37"/>
      <c r="J44" s="37"/>
      <c r="K44" s="42"/>
      <c r="L44" s="37" t="s">
        <v>291</v>
      </c>
      <c r="M44" s="254"/>
      <c r="N44" s="43"/>
      <c r="O44" s="274">
        <v>2000000.0</v>
      </c>
      <c r="P44" s="59"/>
      <c r="Q44" s="47"/>
      <c r="R44" s="60"/>
      <c r="S44" s="47"/>
      <c r="T44" s="47"/>
      <c r="U44" s="47"/>
      <c r="V44" s="47"/>
      <c r="W44" s="47"/>
      <c r="X44" s="47"/>
      <c r="Y44" s="47"/>
      <c r="Z44" s="47"/>
      <c r="AA44" s="47"/>
      <c r="AB44" s="241">
        <f t="shared" ref="AB44:AB45" si="9">O44</f>
        <v>2000000</v>
      </c>
      <c r="AC44" s="137"/>
      <c r="AD44" s="235"/>
    </row>
    <row r="45" ht="30.75" customHeight="1">
      <c r="A45" s="219"/>
      <c r="B45" s="177" t="s">
        <v>370</v>
      </c>
      <c r="C45" s="288">
        <v>46168.0</v>
      </c>
      <c r="D45" s="288">
        <v>46168.0</v>
      </c>
      <c r="E45" s="37"/>
      <c r="F45" s="263" t="s">
        <v>176</v>
      </c>
      <c r="G45" s="263" t="s">
        <v>535</v>
      </c>
      <c r="H45" s="264" t="s">
        <v>564</v>
      </c>
      <c r="I45" s="37"/>
      <c r="J45" s="37"/>
      <c r="K45" s="42"/>
      <c r="L45" s="37" t="s">
        <v>189</v>
      </c>
      <c r="M45" s="254"/>
      <c r="N45" s="43"/>
      <c r="O45" s="274">
        <v>9500000.0</v>
      </c>
      <c r="P45" s="59"/>
      <c r="Q45" s="47"/>
      <c r="R45" s="60"/>
      <c r="S45" s="47"/>
      <c r="T45" s="47"/>
      <c r="U45" s="47"/>
      <c r="V45" s="47"/>
      <c r="W45" s="47"/>
      <c r="X45" s="47"/>
      <c r="Y45" s="47"/>
      <c r="Z45" s="47"/>
      <c r="AA45" s="47"/>
      <c r="AB45" s="241">
        <f t="shared" si="9"/>
        <v>9500000</v>
      </c>
      <c r="AC45" s="137"/>
      <c r="AD45" s="235"/>
    </row>
    <row r="46" ht="30.75" customHeight="1">
      <c r="A46" s="30"/>
      <c r="B46" s="177" t="s">
        <v>370</v>
      </c>
      <c r="C46" s="288">
        <v>46169.0</v>
      </c>
      <c r="D46" s="288">
        <v>46170.0</v>
      </c>
      <c r="E46" s="37"/>
      <c r="F46" s="263" t="s">
        <v>414</v>
      </c>
      <c r="G46" s="263" t="s">
        <v>535</v>
      </c>
      <c r="H46" s="264" t="s">
        <v>564</v>
      </c>
      <c r="I46" s="263" t="s">
        <v>565</v>
      </c>
      <c r="J46" s="263" t="s">
        <v>490</v>
      </c>
      <c r="K46" s="266" t="s">
        <v>379</v>
      </c>
      <c r="L46" s="263" t="s">
        <v>566</v>
      </c>
      <c r="M46" s="254">
        <v>1.0</v>
      </c>
      <c r="N46" s="268">
        <v>1.1664E7</v>
      </c>
      <c r="O46" s="291">
        <v>1.5E7</v>
      </c>
      <c r="P46" s="286">
        <v>1.0</v>
      </c>
      <c r="Q46" s="287">
        <v>1000000.0</v>
      </c>
      <c r="R46" s="60"/>
      <c r="S46" s="274">
        <v>800000.0</v>
      </c>
      <c r="T46" s="274">
        <v>600000.0</v>
      </c>
      <c r="U46" s="47"/>
      <c r="V46" s="287">
        <v>1000000.0</v>
      </c>
      <c r="W46" s="287">
        <v>2340000.0</v>
      </c>
      <c r="X46" s="47"/>
      <c r="Y46" s="47"/>
      <c r="Z46" s="47"/>
      <c r="AA46" s="47">
        <f>N46</f>
        <v>11664000</v>
      </c>
      <c r="AB46" s="241">
        <f>sum(O46,Q46:W46)</f>
        <v>20740000</v>
      </c>
      <c r="AC46" s="137"/>
      <c r="AD46" s="235"/>
    </row>
    <row r="47" ht="30.0" customHeight="1">
      <c r="A47" s="284" t="s">
        <v>429</v>
      </c>
      <c r="B47" s="262" t="s">
        <v>526</v>
      </c>
      <c r="C47" s="288">
        <v>46170.0</v>
      </c>
      <c r="D47" s="288">
        <v>46170.0</v>
      </c>
      <c r="E47" s="37"/>
      <c r="F47" s="263" t="s">
        <v>176</v>
      </c>
      <c r="G47" s="262" t="s">
        <v>526</v>
      </c>
      <c r="H47" s="49"/>
      <c r="I47" s="37"/>
      <c r="J47" s="37"/>
      <c r="K47" s="42"/>
      <c r="L47" s="37" t="s">
        <v>189</v>
      </c>
      <c r="M47" s="254"/>
      <c r="N47" s="268">
        <v>800000.0</v>
      </c>
      <c r="O47" s="274">
        <v>800000.0</v>
      </c>
      <c r="P47" s="59"/>
      <c r="Q47" s="47"/>
      <c r="R47" s="60"/>
      <c r="S47" s="47"/>
      <c r="T47" s="47"/>
      <c r="U47" s="47"/>
      <c r="V47" s="47"/>
      <c r="W47" s="47"/>
      <c r="X47" s="47"/>
      <c r="Y47" s="47"/>
      <c r="Z47" s="47"/>
      <c r="AA47" s="47"/>
      <c r="AB47" s="241">
        <f>O47</f>
        <v>800000</v>
      </c>
      <c r="AC47" s="137"/>
      <c r="AD47" s="235"/>
    </row>
    <row r="48" ht="30.0" customHeight="1">
      <c r="A48" s="30"/>
      <c r="B48" s="262" t="s">
        <v>526</v>
      </c>
      <c r="C48" s="288">
        <v>46170.0</v>
      </c>
      <c r="D48" s="44"/>
      <c r="E48" s="37"/>
      <c r="F48" s="263" t="s">
        <v>176</v>
      </c>
      <c r="G48" s="262" t="s">
        <v>526</v>
      </c>
      <c r="H48" s="49"/>
      <c r="I48" s="37"/>
      <c r="J48" s="37"/>
      <c r="K48" s="42"/>
      <c r="L48" s="263" t="s">
        <v>567</v>
      </c>
      <c r="M48" s="254">
        <v>1.0</v>
      </c>
      <c r="N48" s="268">
        <v>9360000.0</v>
      </c>
      <c r="O48" s="291">
        <v>6000000.0</v>
      </c>
      <c r="P48" s="286"/>
      <c r="Q48" s="47"/>
      <c r="R48" s="60"/>
      <c r="S48" s="274">
        <v>250000.0</v>
      </c>
      <c r="T48" s="274">
        <v>200000.0</v>
      </c>
      <c r="U48" s="47"/>
      <c r="V48" s="47"/>
      <c r="W48" s="287">
        <v>2646000.0</v>
      </c>
      <c r="X48" s="47"/>
      <c r="Y48" s="47"/>
      <c r="Z48" s="47"/>
      <c r="AA48" s="47"/>
      <c r="AB48" s="241">
        <f>sum(O48:W48)</f>
        <v>9096000</v>
      </c>
      <c r="AC48" s="137"/>
      <c r="AD48" s="235"/>
    </row>
    <row r="49" ht="30.0" customHeight="1">
      <c r="A49" s="284" t="s">
        <v>433</v>
      </c>
      <c r="B49" s="262" t="s">
        <v>528</v>
      </c>
      <c r="C49" s="288">
        <v>46170.0</v>
      </c>
      <c r="D49" s="288">
        <v>46171.0</v>
      </c>
      <c r="E49" s="37"/>
      <c r="F49" s="263" t="s">
        <v>561</v>
      </c>
      <c r="G49" s="263" t="s">
        <v>528</v>
      </c>
      <c r="H49" s="49"/>
      <c r="I49" s="37"/>
      <c r="K49" s="42"/>
      <c r="L49" s="263" t="s">
        <v>546</v>
      </c>
      <c r="M49" s="254"/>
      <c r="N49" s="43"/>
      <c r="O49" s="291">
        <v>3050452.0</v>
      </c>
      <c r="P49" s="59"/>
      <c r="Q49" s="47"/>
      <c r="R49" s="60"/>
      <c r="S49" s="241"/>
      <c r="T49" s="241"/>
      <c r="U49" s="47"/>
      <c r="V49" s="47"/>
      <c r="W49" s="47"/>
      <c r="X49" s="47"/>
      <c r="Y49" s="47"/>
      <c r="Z49" s="47"/>
      <c r="AA49" s="47"/>
      <c r="AB49" s="47">
        <f t="shared" ref="AB49:AB51" si="10">O49</f>
        <v>3050452</v>
      </c>
      <c r="AC49" s="137"/>
      <c r="AD49" s="235"/>
    </row>
    <row r="50" ht="30.0" customHeight="1">
      <c r="A50" s="219"/>
      <c r="B50" s="262" t="s">
        <v>528</v>
      </c>
      <c r="C50" s="288">
        <v>46170.0</v>
      </c>
      <c r="D50" s="288"/>
      <c r="E50" s="37"/>
      <c r="F50" s="263" t="s">
        <v>561</v>
      </c>
      <c r="G50" s="263" t="s">
        <v>528</v>
      </c>
      <c r="H50" s="49"/>
      <c r="I50" s="37"/>
      <c r="J50" s="263" t="s">
        <v>568</v>
      </c>
      <c r="K50" s="42"/>
      <c r="L50" s="263" t="s">
        <v>569</v>
      </c>
      <c r="M50" s="292">
        <v>1.0</v>
      </c>
      <c r="N50" s="43"/>
      <c r="O50" s="291">
        <v>6.2773737E7</v>
      </c>
      <c r="P50" s="59"/>
      <c r="Q50" s="47"/>
      <c r="R50" s="60"/>
      <c r="S50" s="241"/>
      <c r="T50" s="241"/>
      <c r="U50" s="47"/>
      <c r="V50" s="47"/>
      <c r="W50" s="47"/>
      <c r="X50" s="47"/>
      <c r="Y50" s="47"/>
      <c r="Z50" s="47"/>
      <c r="AA50" s="47"/>
      <c r="AB50" s="47">
        <f t="shared" si="10"/>
        <v>62773737</v>
      </c>
      <c r="AC50" s="137"/>
      <c r="AD50" s="235"/>
    </row>
    <row r="51" ht="30.0" customHeight="1">
      <c r="A51" s="30"/>
      <c r="B51" s="262" t="s">
        <v>528</v>
      </c>
      <c r="C51" s="288">
        <v>46170.0</v>
      </c>
      <c r="D51" s="288"/>
      <c r="E51" s="37"/>
      <c r="F51" s="263" t="s">
        <v>561</v>
      </c>
      <c r="G51" s="263" t="s">
        <v>528</v>
      </c>
      <c r="H51" s="49"/>
      <c r="I51" s="37"/>
      <c r="J51" s="263" t="s">
        <v>570</v>
      </c>
      <c r="K51" s="42"/>
      <c r="L51" s="263" t="s">
        <v>571</v>
      </c>
      <c r="M51" s="292">
        <v>1.0</v>
      </c>
      <c r="N51" s="43"/>
      <c r="O51" s="291">
        <v>2.4304635E7</v>
      </c>
      <c r="P51" s="59"/>
      <c r="Q51" s="47"/>
      <c r="R51" s="60"/>
      <c r="S51" s="241"/>
      <c r="T51" s="241"/>
      <c r="U51" s="47"/>
      <c r="V51" s="47"/>
      <c r="W51" s="47"/>
      <c r="X51" s="47"/>
      <c r="Y51" s="47"/>
      <c r="Z51" s="47"/>
      <c r="AA51" s="47"/>
      <c r="AB51" s="47">
        <f t="shared" si="10"/>
        <v>24304635</v>
      </c>
      <c r="AC51" s="137"/>
      <c r="AD51" s="235"/>
    </row>
    <row r="52" ht="30.0" hidden="1" customHeight="1">
      <c r="A52" s="218" t="s">
        <v>439</v>
      </c>
      <c r="B52" s="177" t="s">
        <v>370</v>
      </c>
      <c r="C52" s="44"/>
      <c r="D52" s="44"/>
      <c r="E52" s="37"/>
      <c r="F52" s="37"/>
      <c r="G52" s="37"/>
      <c r="H52" s="37"/>
      <c r="I52" s="37"/>
      <c r="J52" s="37"/>
      <c r="K52" s="42"/>
      <c r="L52" s="37" t="s">
        <v>291</v>
      </c>
      <c r="M52" s="254"/>
      <c r="N52" s="43"/>
      <c r="O52" s="241"/>
      <c r="P52" s="59"/>
      <c r="Q52" s="47"/>
      <c r="R52" s="60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137"/>
      <c r="AD52" s="235"/>
    </row>
    <row r="53" ht="30.0" hidden="1" customHeight="1">
      <c r="A53" s="219"/>
      <c r="B53" s="177" t="s">
        <v>370</v>
      </c>
      <c r="C53" s="44"/>
      <c r="D53" s="44"/>
      <c r="E53" s="37"/>
      <c r="F53" s="37"/>
      <c r="G53" s="37"/>
      <c r="H53" s="37"/>
      <c r="I53" s="37"/>
      <c r="J53" s="37"/>
      <c r="K53" s="42"/>
      <c r="L53" s="37" t="s">
        <v>189</v>
      </c>
      <c r="M53" s="254"/>
      <c r="N53" s="43"/>
      <c r="O53" s="241"/>
      <c r="P53" s="59"/>
      <c r="Q53" s="47"/>
      <c r="R53" s="60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137"/>
      <c r="AD53" s="235"/>
    </row>
    <row r="54" ht="30.0" hidden="1" customHeight="1">
      <c r="A54" s="30"/>
      <c r="B54" s="177" t="s">
        <v>370</v>
      </c>
      <c r="C54" s="44"/>
      <c r="D54" s="44"/>
      <c r="E54" s="37"/>
      <c r="F54" s="37"/>
      <c r="G54" s="37"/>
      <c r="H54" s="37"/>
      <c r="I54" s="37"/>
      <c r="J54" s="37"/>
      <c r="K54" s="42"/>
      <c r="L54" s="37" t="s">
        <v>343</v>
      </c>
      <c r="M54" s="254">
        <v>1.0</v>
      </c>
      <c r="N54" s="43"/>
      <c r="O54" s="214"/>
      <c r="P54" s="59"/>
      <c r="Q54" s="47"/>
      <c r="R54" s="60"/>
      <c r="S54" s="241"/>
      <c r="T54" s="241"/>
      <c r="U54" s="47"/>
      <c r="V54" s="47"/>
      <c r="W54" s="47"/>
      <c r="X54" s="47"/>
      <c r="Y54" s="47"/>
      <c r="Z54" s="47"/>
      <c r="AA54" s="47"/>
      <c r="AB54" s="47"/>
      <c r="AC54" s="137"/>
      <c r="AD54" s="235"/>
    </row>
    <row r="55" ht="30.0" hidden="1" customHeight="1">
      <c r="A55" s="218" t="s">
        <v>444</v>
      </c>
      <c r="B55" s="177" t="s">
        <v>528</v>
      </c>
      <c r="C55" s="44"/>
      <c r="D55" s="44"/>
      <c r="E55" s="37"/>
      <c r="F55" s="37"/>
      <c r="G55" s="37"/>
      <c r="H55" s="37"/>
      <c r="I55" s="37"/>
      <c r="J55" s="37"/>
      <c r="K55" s="42"/>
      <c r="L55" s="37" t="s">
        <v>572</v>
      </c>
      <c r="M55" s="254"/>
      <c r="N55" s="43"/>
      <c r="O55" s="194"/>
      <c r="P55" s="59"/>
      <c r="Q55" s="47"/>
      <c r="R55" s="60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137"/>
      <c r="AD55" s="40"/>
    </row>
    <row r="56" ht="30.0" hidden="1" customHeight="1">
      <c r="A56" s="30"/>
      <c r="B56" s="177" t="s">
        <v>528</v>
      </c>
      <c r="C56" s="44"/>
      <c r="D56" s="44"/>
      <c r="E56" s="37"/>
      <c r="F56" s="37"/>
      <c r="G56" s="37"/>
      <c r="H56" s="37"/>
      <c r="I56" s="37"/>
      <c r="J56" s="37"/>
      <c r="K56" s="42"/>
      <c r="L56" s="37"/>
      <c r="M56" s="254"/>
      <c r="N56" s="43"/>
      <c r="O56" s="43"/>
      <c r="P56" s="59"/>
      <c r="Q56" s="47"/>
      <c r="R56" s="60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137"/>
      <c r="AD56" s="40"/>
    </row>
    <row r="57" ht="30.0" hidden="1" customHeight="1">
      <c r="A57" s="265" t="s">
        <v>448</v>
      </c>
      <c r="B57" s="177" t="s">
        <v>528</v>
      </c>
      <c r="C57" s="44"/>
      <c r="D57" s="44"/>
      <c r="E57" s="37"/>
      <c r="F57" s="37"/>
      <c r="G57" s="37"/>
      <c r="H57" s="49"/>
      <c r="I57" s="37"/>
      <c r="J57" s="37"/>
      <c r="K57" s="42"/>
      <c r="L57" s="37" t="s">
        <v>573</v>
      </c>
      <c r="M57" s="254"/>
      <c r="N57" s="43"/>
      <c r="O57" s="194"/>
      <c r="P57" s="59"/>
      <c r="Q57" s="47"/>
      <c r="R57" s="60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137"/>
      <c r="AD57" s="40"/>
    </row>
    <row r="58" ht="30.0" hidden="1" customHeight="1">
      <c r="A58" s="218" t="s">
        <v>451</v>
      </c>
      <c r="B58" s="177" t="s">
        <v>370</v>
      </c>
      <c r="C58" s="44"/>
      <c r="D58" s="44"/>
      <c r="E58" s="37"/>
      <c r="F58" s="37"/>
      <c r="G58" s="37"/>
      <c r="H58" s="49"/>
      <c r="I58" s="37"/>
      <c r="J58" s="37"/>
      <c r="K58" s="42"/>
      <c r="L58" s="37" t="s">
        <v>291</v>
      </c>
      <c r="M58" s="254"/>
      <c r="N58" s="43"/>
      <c r="O58" s="194"/>
      <c r="P58" s="59"/>
      <c r="Q58" s="47"/>
      <c r="R58" s="60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137"/>
      <c r="AD58" s="40"/>
    </row>
    <row r="59" ht="30.0" hidden="1" customHeight="1">
      <c r="A59" s="219"/>
      <c r="B59" s="177" t="s">
        <v>370</v>
      </c>
      <c r="C59" s="44"/>
      <c r="D59" s="44"/>
      <c r="E59" s="37"/>
      <c r="F59" s="37"/>
      <c r="G59" s="37"/>
      <c r="H59" s="49"/>
      <c r="I59" s="37"/>
      <c r="J59" s="37"/>
      <c r="K59" s="42"/>
      <c r="L59" s="37" t="s">
        <v>189</v>
      </c>
      <c r="M59" s="254"/>
      <c r="N59" s="43"/>
      <c r="O59" s="43"/>
      <c r="P59" s="59"/>
      <c r="Q59" s="47"/>
      <c r="R59" s="60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137"/>
      <c r="AD59" s="40"/>
    </row>
    <row r="60" ht="30.0" hidden="1" customHeight="1">
      <c r="A60" s="30"/>
      <c r="B60" s="177" t="s">
        <v>370</v>
      </c>
      <c r="C60" s="44"/>
      <c r="D60" s="44"/>
      <c r="E60" s="37"/>
      <c r="F60" s="37"/>
      <c r="G60" s="37"/>
      <c r="H60" s="49"/>
      <c r="I60" s="37"/>
      <c r="J60" s="37"/>
      <c r="K60" s="42"/>
      <c r="L60" s="37" t="s">
        <v>343</v>
      </c>
      <c r="M60" s="254">
        <v>1.0</v>
      </c>
      <c r="N60" s="43"/>
      <c r="O60" s="214"/>
      <c r="P60" s="59"/>
      <c r="Q60" s="47"/>
      <c r="R60" s="60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137"/>
      <c r="AD60" s="40"/>
    </row>
    <row r="61">
      <c r="A61" s="79" t="s">
        <v>73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1"/>
      <c r="M61" s="270">
        <f>SUM(M13:M51)</f>
        <v>18</v>
      </c>
      <c r="N61" s="43"/>
      <c r="O61" s="214"/>
      <c r="P61" s="59"/>
      <c r="Q61" s="47"/>
      <c r="R61" s="60"/>
      <c r="S61" s="47"/>
      <c r="T61" s="47"/>
      <c r="U61" s="47"/>
      <c r="V61" s="47"/>
      <c r="W61" s="47"/>
      <c r="X61" s="47"/>
      <c r="Y61" s="47"/>
      <c r="Z61" s="47"/>
      <c r="AA61" s="47"/>
      <c r="AB61" s="91">
        <f>SUM(AB13:AB51)</f>
        <v>997912360.1</v>
      </c>
      <c r="AC61" s="272"/>
      <c r="AD61" s="273">
        <f>SUM(AD13:AD51)</f>
        <v>217305885.1</v>
      </c>
    </row>
    <row r="62" ht="17.25" customHeight="1">
      <c r="A62" s="79" t="s">
        <v>76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1"/>
      <c r="M62" s="83"/>
      <c r="N62" s="83"/>
      <c r="O62" s="83"/>
      <c r="P62" s="83"/>
      <c r="Q62" s="83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91">
        <f>AB61</f>
        <v>997912360.1</v>
      </c>
      <c r="AC62" s="85"/>
      <c r="AD62" s="85"/>
      <c r="AE62" s="275"/>
      <c r="AF62" s="276"/>
    </row>
    <row r="63">
      <c r="A63" s="79" t="s">
        <v>86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1"/>
      <c r="M63" s="83"/>
      <c r="N63" s="83"/>
      <c r="O63" s="83"/>
      <c r="P63" s="83"/>
      <c r="Q63" s="83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91">
        <f>AB62*8%</f>
        <v>79832988.81</v>
      </c>
      <c r="AC63" s="85"/>
      <c r="AD63" s="85"/>
      <c r="AE63" s="276"/>
      <c r="AF63" s="276"/>
    </row>
    <row r="64" ht="17.25" customHeight="1">
      <c r="A64" s="79" t="s">
        <v>88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1"/>
      <c r="M64" s="83"/>
      <c r="N64" s="83"/>
      <c r="O64" s="83"/>
      <c r="P64" s="83"/>
      <c r="Q64" s="83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91">
        <f>AB62+AB63</f>
        <v>1077745349</v>
      </c>
      <c r="AC64" s="85"/>
      <c r="AD64" s="85"/>
      <c r="AE64" s="279"/>
      <c r="AF64" s="276"/>
    </row>
    <row r="65">
      <c r="A65" s="93" t="s">
        <v>89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280"/>
      <c r="AD65" s="40"/>
    </row>
    <row r="66">
      <c r="F66" s="119"/>
      <c r="G66" s="119"/>
      <c r="H66" s="120"/>
      <c r="I66" s="119"/>
      <c r="J66" s="119"/>
      <c r="M66" s="2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4"/>
      <c r="AD66" s="237"/>
    </row>
    <row r="67">
      <c r="F67" s="119"/>
      <c r="G67" s="119"/>
      <c r="H67" s="120"/>
      <c r="I67" s="119"/>
      <c r="J67" s="119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4"/>
      <c r="AD67" s="237"/>
    </row>
    <row r="68">
      <c r="F68" s="119"/>
      <c r="G68" s="119"/>
      <c r="H68" s="120"/>
      <c r="I68" s="119"/>
      <c r="J68" s="119"/>
      <c r="M68" s="2"/>
      <c r="N68" s="2"/>
      <c r="O68" s="29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4"/>
      <c r="AD68" s="237"/>
    </row>
    <row r="69">
      <c r="F69" s="119"/>
      <c r="G69" s="119"/>
      <c r="H69" s="120"/>
      <c r="I69" s="119"/>
      <c r="J69" s="119"/>
      <c r="M69" s="2"/>
      <c r="N69" s="294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4"/>
      <c r="AD69" s="237"/>
    </row>
    <row r="70">
      <c r="F70" s="119"/>
      <c r="G70" s="119"/>
      <c r="H70" s="120"/>
      <c r="I70" s="119"/>
      <c r="J70" s="119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4"/>
      <c r="AD70" s="237"/>
    </row>
    <row r="71">
      <c r="F71" s="119"/>
      <c r="G71" s="119"/>
      <c r="H71" s="120"/>
      <c r="I71" s="119"/>
      <c r="J71" s="119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4"/>
      <c r="AD71" s="237"/>
    </row>
    <row r="72">
      <c r="F72" s="119"/>
      <c r="G72" s="119"/>
      <c r="H72" s="120"/>
      <c r="I72" s="119"/>
      <c r="J72" s="119"/>
      <c r="M72" s="2"/>
      <c r="N72" s="2"/>
      <c r="O72" s="28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4"/>
      <c r="AD72" s="237"/>
    </row>
    <row r="73">
      <c r="F73" s="119"/>
      <c r="G73" s="119"/>
      <c r="H73" s="120"/>
      <c r="I73" s="119"/>
      <c r="J73" s="119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4"/>
      <c r="AD73" s="237"/>
    </row>
    <row r="74">
      <c r="F74" s="119"/>
      <c r="G74" s="119"/>
      <c r="H74" s="120"/>
      <c r="I74" s="119"/>
      <c r="J74" s="119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4"/>
      <c r="AD74" s="237"/>
    </row>
    <row r="75">
      <c r="F75" s="119"/>
      <c r="G75" s="119"/>
      <c r="H75" s="120"/>
      <c r="I75" s="119"/>
      <c r="J75" s="119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4"/>
      <c r="AD75" s="237"/>
    </row>
    <row r="76">
      <c r="F76" s="119"/>
      <c r="G76" s="119"/>
      <c r="H76" s="120"/>
      <c r="I76" s="119"/>
      <c r="J76" s="119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4"/>
      <c r="AD76" s="237"/>
    </row>
    <row r="77">
      <c r="F77" s="119"/>
      <c r="G77" s="119"/>
      <c r="H77" s="120"/>
      <c r="I77" s="119"/>
      <c r="J77" s="119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4"/>
      <c r="AD77" s="237"/>
    </row>
    <row r="78">
      <c r="F78" s="119"/>
      <c r="G78" s="119"/>
      <c r="H78" s="120"/>
      <c r="I78" s="119"/>
      <c r="J78" s="119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4"/>
      <c r="AD78" s="237"/>
    </row>
    <row r="79">
      <c r="F79" s="119"/>
      <c r="G79" s="119"/>
      <c r="H79" s="120"/>
      <c r="I79" s="119"/>
      <c r="J79" s="119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4"/>
      <c r="AD79" s="237"/>
    </row>
    <row r="80">
      <c r="F80" s="119"/>
      <c r="G80" s="119"/>
      <c r="H80" s="120"/>
      <c r="I80" s="119"/>
      <c r="J80" s="119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4"/>
      <c r="AD80" s="237"/>
    </row>
    <row r="81">
      <c r="F81" s="119"/>
      <c r="G81" s="119"/>
      <c r="H81" s="120"/>
      <c r="I81" s="119"/>
      <c r="J81" s="119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4"/>
      <c r="AD81" s="237"/>
    </row>
    <row r="82">
      <c r="F82" s="119"/>
      <c r="G82" s="119"/>
      <c r="H82" s="120"/>
      <c r="I82" s="119"/>
      <c r="J82" s="119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4"/>
      <c r="AD82" s="237"/>
    </row>
    <row r="83">
      <c r="F83" s="119"/>
      <c r="G83" s="119"/>
      <c r="H83" s="120"/>
      <c r="I83" s="119"/>
      <c r="J83" s="119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4"/>
      <c r="AD83" s="237"/>
    </row>
    <row r="84">
      <c r="F84" s="119"/>
      <c r="G84" s="119"/>
      <c r="H84" s="120"/>
      <c r="I84" s="119"/>
      <c r="J84" s="119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4"/>
      <c r="AD84" s="237"/>
    </row>
    <row r="85">
      <c r="F85" s="119"/>
      <c r="G85" s="119"/>
      <c r="H85" s="120"/>
      <c r="I85" s="119"/>
      <c r="J85" s="119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4"/>
      <c r="AD85" s="237"/>
    </row>
    <row r="86">
      <c r="F86" s="119"/>
      <c r="G86" s="119"/>
      <c r="H86" s="120"/>
      <c r="I86" s="119"/>
      <c r="J86" s="119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4"/>
      <c r="AD86" s="237"/>
    </row>
    <row r="87">
      <c r="F87" s="119"/>
      <c r="G87" s="119"/>
      <c r="H87" s="120"/>
      <c r="I87" s="119"/>
      <c r="J87" s="119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4"/>
      <c r="AD87" s="237"/>
    </row>
    <row r="88">
      <c r="F88" s="119"/>
      <c r="G88" s="119"/>
      <c r="H88" s="120"/>
      <c r="I88" s="119"/>
      <c r="J88" s="119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4"/>
      <c r="AD88" s="237"/>
    </row>
    <row r="89">
      <c r="F89" s="119"/>
      <c r="G89" s="119"/>
      <c r="H89" s="120"/>
      <c r="I89" s="119"/>
      <c r="J89" s="119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4"/>
      <c r="AD89" s="237"/>
    </row>
    <row r="90">
      <c r="F90" s="119"/>
      <c r="G90" s="119"/>
      <c r="H90" s="120"/>
      <c r="I90" s="119"/>
      <c r="J90" s="119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4"/>
      <c r="AD90" s="237"/>
    </row>
    <row r="91">
      <c r="F91" s="119"/>
      <c r="G91" s="119"/>
      <c r="H91" s="120"/>
      <c r="I91" s="119"/>
      <c r="J91" s="119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4"/>
      <c r="AD91" s="237"/>
    </row>
    <row r="92">
      <c r="F92" s="119"/>
      <c r="G92" s="119"/>
      <c r="H92" s="120"/>
      <c r="I92" s="119"/>
      <c r="J92" s="119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4"/>
      <c r="AD92" s="237"/>
    </row>
    <row r="93">
      <c r="F93" s="119"/>
      <c r="G93" s="119"/>
      <c r="H93" s="120"/>
      <c r="I93" s="119"/>
      <c r="J93" s="119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4"/>
      <c r="AD93" s="237"/>
    </row>
    <row r="94">
      <c r="F94" s="119"/>
      <c r="G94" s="119"/>
      <c r="H94" s="120"/>
      <c r="I94" s="119"/>
      <c r="J94" s="119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4"/>
      <c r="AD94" s="237"/>
    </row>
    <row r="95">
      <c r="F95" s="119"/>
      <c r="G95" s="119"/>
      <c r="H95" s="120"/>
      <c r="I95" s="119"/>
      <c r="J95" s="119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4"/>
      <c r="AD95" s="237"/>
    </row>
    <row r="96">
      <c r="F96" s="119"/>
      <c r="G96" s="119"/>
      <c r="H96" s="120"/>
      <c r="I96" s="119"/>
      <c r="J96" s="119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4"/>
      <c r="AD96" s="237"/>
    </row>
    <row r="97">
      <c r="F97" s="119"/>
      <c r="G97" s="119"/>
      <c r="H97" s="120"/>
      <c r="I97" s="119"/>
      <c r="J97" s="119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4"/>
      <c r="AD97" s="237"/>
    </row>
    <row r="98">
      <c r="F98" s="119"/>
      <c r="G98" s="119"/>
      <c r="H98" s="120"/>
      <c r="I98" s="119"/>
      <c r="J98" s="119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4"/>
      <c r="AD98" s="237"/>
    </row>
    <row r="99">
      <c r="F99" s="119"/>
      <c r="G99" s="119"/>
      <c r="H99" s="120"/>
      <c r="I99" s="119"/>
      <c r="J99" s="119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4"/>
      <c r="AD99" s="237"/>
    </row>
    <row r="100">
      <c r="F100" s="119"/>
      <c r="G100" s="119"/>
      <c r="H100" s="120"/>
      <c r="I100" s="119"/>
      <c r="J100" s="119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4"/>
      <c r="AD100" s="237"/>
    </row>
    <row r="101">
      <c r="F101" s="119"/>
      <c r="G101" s="119"/>
      <c r="H101" s="120"/>
      <c r="I101" s="119"/>
      <c r="J101" s="119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4"/>
      <c r="AD101" s="237"/>
    </row>
    <row r="102">
      <c r="F102" s="119"/>
      <c r="G102" s="119"/>
      <c r="H102" s="120"/>
      <c r="I102" s="119"/>
      <c r="J102" s="119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4"/>
      <c r="AD102" s="237"/>
    </row>
    <row r="103">
      <c r="F103" s="119"/>
      <c r="G103" s="119"/>
      <c r="H103" s="120"/>
      <c r="I103" s="119"/>
      <c r="J103" s="119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4"/>
      <c r="AD103" s="237"/>
    </row>
    <row r="104">
      <c r="F104" s="119"/>
      <c r="G104" s="119"/>
      <c r="H104" s="120"/>
      <c r="I104" s="119"/>
      <c r="J104" s="119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4"/>
      <c r="AD104" s="237"/>
    </row>
    <row r="105">
      <c r="F105" s="119"/>
      <c r="G105" s="119"/>
      <c r="H105" s="120"/>
      <c r="I105" s="119"/>
      <c r="J105" s="119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4"/>
      <c r="AD105" s="237"/>
    </row>
    <row r="106">
      <c r="F106" s="119"/>
      <c r="G106" s="119"/>
      <c r="H106" s="120"/>
      <c r="I106" s="119"/>
      <c r="J106" s="119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4"/>
      <c r="AD106" s="237"/>
    </row>
    <row r="107">
      <c r="F107" s="119"/>
      <c r="G107" s="119"/>
      <c r="H107" s="120"/>
      <c r="I107" s="119"/>
      <c r="J107" s="119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4"/>
      <c r="AD107" s="237"/>
    </row>
    <row r="108">
      <c r="F108" s="119"/>
      <c r="G108" s="119"/>
      <c r="H108" s="120"/>
      <c r="I108" s="119"/>
      <c r="J108" s="119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4"/>
      <c r="AD108" s="237"/>
    </row>
    <row r="109">
      <c r="F109" s="119"/>
      <c r="G109" s="119"/>
      <c r="H109" s="120"/>
      <c r="I109" s="119"/>
      <c r="J109" s="119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4"/>
      <c r="AD109" s="237"/>
    </row>
    <row r="110">
      <c r="F110" s="119"/>
      <c r="G110" s="119"/>
      <c r="H110" s="120"/>
      <c r="I110" s="119"/>
      <c r="J110" s="119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4"/>
      <c r="AD110" s="237"/>
    </row>
    <row r="111">
      <c r="F111" s="119"/>
      <c r="G111" s="119"/>
      <c r="H111" s="120"/>
      <c r="I111" s="119"/>
      <c r="J111" s="119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4"/>
      <c r="AD111" s="237"/>
    </row>
    <row r="112">
      <c r="F112" s="119"/>
      <c r="G112" s="119"/>
      <c r="H112" s="120"/>
      <c r="I112" s="119"/>
      <c r="J112" s="119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4"/>
      <c r="AD112" s="237"/>
    </row>
    <row r="113">
      <c r="F113" s="119"/>
      <c r="G113" s="119"/>
      <c r="H113" s="120"/>
      <c r="I113" s="119"/>
      <c r="J113" s="119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4"/>
      <c r="AD113" s="237"/>
    </row>
    <row r="114">
      <c r="F114" s="119"/>
      <c r="G114" s="119"/>
      <c r="H114" s="120"/>
      <c r="I114" s="119"/>
      <c r="J114" s="119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4"/>
      <c r="AD114" s="237"/>
    </row>
    <row r="115">
      <c r="F115" s="119"/>
      <c r="G115" s="119"/>
      <c r="H115" s="120"/>
      <c r="I115" s="119"/>
      <c r="J115" s="119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4"/>
      <c r="AD115" s="237"/>
    </row>
    <row r="116">
      <c r="F116" s="119"/>
      <c r="G116" s="119"/>
      <c r="H116" s="120"/>
      <c r="I116" s="119"/>
      <c r="J116" s="119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4"/>
      <c r="AD116" s="237"/>
    </row>
    <row r="117">
      <c r="F117" s="119"/>
      <c r="G117" s="119"/>
      <c r="H117" s="120"/>
      <c r="I117" s="119"/>
      <c r="J117" s="119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4"/>
      <c r="AD117" s="237"/>
    </row>
    <row r="118">
      <c r="F118" s="119"/>
      <c r="G118" s="119"/>
      <c r="H118" s="120"/>
      <c r="I118" s="119"/>
      <c r="J118" s="119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4"/>
      <c r="AD118" s="237"/>
    </row>
    <row r="119">
      <c r="F119" s="119"/>
      <c r="G119" s="119"/>
      <c r="H119" s="120"/>
      <c r="I119" s="119"/>
      <c r="J119" s="119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4"/>
      <c r="AD119" s="237"/>
    </row>
    <row r="120">
      <c r="F120" s="119"/>
      <c r="G120" s="119"/>
      <c r="H120" s="120"/>
      <c r="I120" s="119"/>
      <c r="J120" s="119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4"/>
      <c r="AD120" s="237"/>
    </row>
    <row r="121">
      <c r="F121" s="119"/>
      <c r="G121" s="119"/>
      <c r="H121" s="120"/>
      <c r="I121" s="119"/>
      <c r="J121" s="119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4"/>
      <c r="AD121" s="237"/>
    </row>
    <row r="122">
      <c r="F122" s="119"/>
      <c r="G122" s="119"/>
      <c r="H122" s="120"/>
      <c r="I122" s="119"/>
      <c r="J122" s="119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4"/>
      <c r="AD122" s="237"/>
    </row>
    <row r="123">
      <c r="F123" s="119"/>
      <c r="G123" s="119"/>
      <c r="H123" s="120"/>
      <c r="I123" s="119"/>
      <c r="J123" s="119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4"/>
      <c r="AD123" s="237"/>
    </row>
    <row r="124">
      <c r="F124" s="119"/>
      <c r="G124" s="119"/>
      <c r="H124" s="120"/>
      <c r="I124" s="119"/>
      <c r="J124" s="119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4"/>
      <c r="AD124" s="237"/>
    </row>
    <row r="125">
      <c r="F125" s="119"/>
      <c r="G125" s="119"/>
      <c r="H125" s="120"/>
      <c r="I125" s="119"/>
      <c r="J125" s="119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4"/>
      <c r="AD125" s="237"/>
    </row>
    <row r="126">
      <c r="F126" s="119"/>
      <c r="G126" s="119"/>
      <c r="H126" s="120"/>
      <c r="I126" s="119"/>
      <c r="J126" s="119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4"/>
      <c r="AD126" s="237"/>
    </row>
    <row r="127">
      <c r="F127" s="119"/>
      <c r="G127" s="119"/>
      <c r="H127" s="120"/>
      <c r="I127" s="119"/>
      <c r="J127" s="119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4"/>
      <c r="AD127" s="237"/>
    </row>
    <row r="128">
      <c r="F128" s="119"/>
      <c r="G128" s="119"/>
      <c r="H128" s="120"/>
      <c r="I128" s="119"/>
      <c r="J128" s="119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4"/>
      <c r="AD128" s="237"/>
    </row>
    <row r="129">
      <c r="F129" s="119"/>
      <c r="G129" s="119"/>
      <c r="H129" s="120"/>
      <c r="I129" s="119"/>
      <c r="J129" s="119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4"/>
      <c r="AD129" s="237"/>
    </row>
    <row r="130">
      <c r="F130" s="119"/>
      <c r="G130" s="119"/>
      <c r="H130" s="120"/>
      <c r="I130" s="119"/>
      <c r="J130" s="119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4"/>
      <c r="AD130" s="237"/>
    </row>
    <row r="131">
      <c r="F131" s="119"/>
      <c r="G131" s="119"/>
      <c r="H131" s="120"/>
      <c r="I131" s="119"/>
      <c r="J131" s="119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4"/>
      <c r="AD131" s="237"/>
    </row>
    <row r="132">
      <c r="F132" s="119"/>
      <c r="G132" s="119"/>
      <c r="H132" s="120"/>
      <c r="I132" s="119"/>
      <c r="J132" s="119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4"/>
      <c r="AD132" s="237"/>
    </row>
    <row r="133">
      <c r="F133" s="119"/>
      <c r="G133" s="119"/>
      <c r="H133" s="120"/>
      <c r="I133" s="119"/>
      <c r="J133" s="119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4"/>
      <c r="AD133" s="237"/>
    </row>
    <row r="134">
      <c r="F134" s="119"/>
      <c r="G134" s="119"/>
      <c r="H134" s="120"/>
      <c r="I134" s="119"/>
      <c r="J134" s="119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4"/>
      <c r="AD134" s="237"/>
    </row>
    <row r="135">
      <c r="F135" s="119"/>
      <c r="G135" s="119"/>
      <c r="H135" s="120"/>
      <c r="I135" s="119"/>
      <c r="J135" s="119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4"/>
      <c r="AD135" s="237"/>
    </row>
    <row r="136">
      <c r="F136" s="119"/>
      <c r="G136" s="119"/>
      <c r="H136" s="120"/>
      <c r="I136" s="119"/>
      <c r="J136" s="119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4"/>
      <c r="AD136" s="237"/>
    </row>
    <row r="137">
      <c r="F137" s="119"/>
      <c r="G137" s="119"/>
      <c r="H137" s="120"/>
      <c r="I137" s="119"/>
      <c r="J137" s="119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4"/>
      <c r="AD137" s="237"/>
    </row>
    <row r="138">
      <c r="F138" s="119"/>
      <c r="G138" s="119"/>
      <c r="H138" s="120"/>
      <c r="I138" s="119"/>
      <c r="J138" s="119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4"/>
      <c r="AD138" s="237"/>
    </row>
    <row r="139">
      <c r="F139" s="119"/>
      <c r="G139" s="119"/>
      <c r="H139" s="120"/>
      <c r="I139" s="119"/>
      <c r="J139" s="119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4"/>
      <c r="AD139" s="237"/>
    </row>
    <row r="140">
      <c r="F140" s="119"/>
      <c r="G140" s="119"/>
      <c r="H140" s="120"/>
      <c r="I140" s="119"/>
      <c r="J140" s="119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4"/>
      <c r="AD140" s="237"/>
    </row>
    <row r="141">
      <c r="F141" s="119"/>
      <c r="G141" s="119"/>
      <c r="H141" s="120"/>
      <c r="I141" s="119"/>
      <c r="J141" s="119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4"/>
      <c r="AD141" s="237"/>
    </row>
    <row r="142">
      <c r="F142" s="119"/>
      <c r="G142" s="119"/>
      <c r="H142" s="120"/>
      <c r="I142" s="119"/>
      <c r="J142" s="119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4"/>
      <c r="AD142" s="237"/>
    </row>
    <row r="143">
      <c r="F143" s="119"/>
      <c r="G143" s="119"/>
      <c r="H143" s="120"/>
      <c r="I143" s="119"/>
      <c r="J143" s="119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4"/>
      <c r="AD143" s="237"/>
    </row>
    <row r="144">
      <c r="F144" s="119"/>
      <c r="G144" s="119"/>
      <c r="H144" s="120"/>
      <c r="I144" s="119"/>
      <c r="J144" s="119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4"/>
      <c r="AD144" s="237"/>
    </row>
    <row r="145">
      <c r="F145" s="119"/>
      <c r="G145" s="119"/>
      <c r="H145" s="120"/>
      <c r="I145" s="119"/>
      <c r="J145" s="119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4"/>
      <c r="AD145" s="237"/>
    </row>
    <row r="146">
      <c r="F146" s="119"/>
      <c r="G146" s="119"/>
      <c r="H146" s="120"/>
      <c r="I146" s="119"/>
      <c r="J146" s="119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4"/>
      <c r="AD146" s="237"/>
    </row>
    <row r="147">
      <c r="F147" s="119"/>
      <c r="G147" s="119"/>
      <c r="H147" s="120"/>
      <c r="I147" s="119"/>
      <c r="J147" s="119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4"/>
      <c r="AD147" s="237"/>
    </row>
    <row r="148">
      <c r="F148" s="119"/>
      <c r="G148" s="119"/>
      <c r="H148" s="120"/>
      <c r="I148" s="119"/>
      <c r="J148" s="119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4"/>
      <c r="AD148" s="237"/>
    </row>
    <row r="149">
      <c r="F149" s="119"/>
      <c r="G149" s="119"/>
      <c r="H149" s="120"/>
      <c r="I149" s="119"/>
      <c r="J149" s="119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4"/>
      <c r="AD149" s="237"/>
    </row>
    <row r="150">
      <c r="F150" s="119"/>
      <c r="G150" s="119"/>
      <c r="H150" s="120"/>
      <c r="I150" s="119"/>
      <c r="J150" s="119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4"/>
      <c r="AD150" s="237"/>
    </row>
    <row r="151">
      <c r="F151" s="119"/>
      <c r="G151" s="119"/>
      <c r="H151" s="120"/>
      <c r="I151" s="119"/>
      <c r="J151" s="119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4"/>
      <c r="AD151" s="237"/>
    </row>
    <row r="152">
      <c r="F152" s="119"/>
      <c r="G152" s="119"/>
      <c r="H152" s="120"/>
      <c r="I152" s="119"/>
      <c r="J152" s="119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4"/>
      <c r="AD152" s="237"/>
    </row>
    <row r="153">
      <c r="F153" s="119"/>
      <c r="G153" s="119"/>
      <c r="H153" s="120"/>
      <c r="I153" s="119"/>
      <c r="J153" s="119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4"/>
      <c r="AD153" s="237"/>
    </row>
    <row r="154">
      <c r="F154" s="119"/>
      <c r="G154" s="119"/>
      <c r="H154" s="120"/>
      <c r="I154" s="119"/>
      <c r="J154" s="119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4"/>
      <c r="AD154" s="237"/>
    </row>
    <row r="155">
      <c r="F155" s="119"/>
      <c r="G155" s="119"/>
      <c r="H155" s="120"/>
      <c r="I155" s="119"/>
      <c r="J155" s="119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4"/>
      <c r="AD155" s="237"/>
    </row>
    <row r="156">
      <c r="F156" s="119"/>
      <c r="G156" s="119"/>
      <c r="H156" s="120"/>
      <c r="I156" s="119"/>
      <c r="J156" s="119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4"/>
      <c r="AD156" s="237"/>
    </row>
    <row r="157">
      <c r="F157" s="119"/>
      <c r="G157" s="119"/>
      <c r="H157" s="120"/>
      <c r="I157" s="119"/>
      <c r="J157" s="119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4"/>
      <c r="AD157" s="237"/>
    </row>
    <row r="158">
      <c r="F158" s="119"/>
      <c r="G158" s="119"/>
      <c r="H158" s="120"/>
      <c r="I158" s="119"/>
      <c r="J158" s="119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4"/>
      <c r="AD158" s="237"/>
    </row>
    <row r="159">
      <c r="F159" s="119"/>
      <c r="G159" s="119"/>
      <c r="H159" s="120"/>
      <c r="I159" s="119"/>
      <c r="J159" s="119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4"/>
      <c r="AD159" s="237"/>
    </row>
    <row r="160">
      <c r="F160" s="119"/>
      <c r="G160" s="119"/>
      <c r="H160" s="120"/>
      <c r="I160" s="119"/>
      <c r="J160" s="119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4"/>
      <c r="AD160" s="237"/>
    </row>
    <row r="161">
      <c r="F161" s="119"/>
      <c r="G161" s="119"/>
      <c r="H161" s="120"/>
      <c r="I161" s="119"/>
      <c r="J161" s="119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4"/>
      <c r="AD161" s="237"/>
    </row>
    <row r="162">
      <c r="F162" s="119"/>
      <c r="G162" s="119"/>
      <c r="H162" s="120"/>
      <c r="I162" s="119"/>
      <c r="J162" s="119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4"/>
      <c r="AD162" s="237"/>
    </row>
    <row r="163">
      <c r="F163" s="119"/>
      <c r="G163" s="119"/>
      <c r="H163" s="120"/>
      <c r="I163" s="119"/>
      <c r="J163" s="119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4"/>
      <c r="AD163" s="237"/>
    </row>
    <row r="164">
      <c r="F164" s="119"/>
      <c r="G164" s="119"/>
      <c r="H164" s="120"/>
      <c r="I164" s="119"/>
      <c r="J164" s="119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4"/>
      <c r="AD164" s="237"/>
    </row>
    <row r="165">
      <c r="F165" s="119"/>
      <c r="G165" s="119"/>
      <c r="H165" s="120"/>
      <c r="I165" s="119"/>
      <c r="J165" s="119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4"/>
      <c r="AD165" s="237"/>
    </row>
    <row r="166">
      <c r="F166" s="119"/>
      <c r="G166" s="119"/>
      <c r="H166" s="120"/>
      <c r="I166" s="119"/>
      <c r="J166" s="119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4"/>
      <c r="AD166" s="237"/>
    </row>
    <row r="167">
      <c r="F167" s="119"/>
      <c r="G167" s="119"/>
      <c r="H167" s="120"/>
      <c r="I167" s="119"/>
      <c r="J167" s="119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4"/>
      <c r="AD167" s="237"/>
    </row>
    <row r="168">
      <c r="F168" s="119"/>
      <c r="G168" s="119"/>
      <c r="H168" s="120"/>
      <c r="I168" s="119"/>
      <c r="J168" s="119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4"/>
      <c r="AD168" s="237"/>
    </row>
    <row r="169">
      <c r="F169" s="119"/>
      <c r="G169" s="119"/>
      <c r="H169" s="120"/>
      <c r="I169" s="119"/>
      <c r="J169" s="119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4"/>
      <c r="AD169" s="237"/>
    </row>
    <row r="170">
      <c r="F170" s="119"/>
      <c r="G170" s="119"/>
      <c r="H170" s="120"/>
      <c r="I170" s="119"/>
      <c r="J170" s="119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4"/>
      <c r="AD170" s="237"/>
    </row>
    <row r="171">
      <c r="F171" s="119"/>
      <c r="G171" s="119"/>
      <c r="H171" s="120"/>
      <c r="I171" s="119"/>
      <c r="J171" s="119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4"/>
      <c r="AD171" s="237"/>
    </row>
    <row r="172">
      <c r="F172" s="119"/>
      <c r="G172" s="119"/>
      <c r="H172" s="120"/>
      <c r="I172" s="119"/>
      <c r="J172" s="119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4"/>
      <c r="AD172" s="237"/>
    </row>
    <row r="173">
      <c r="F173" s="119"/>
      <c r="G173" s="119"/>
      <c r="H173" s="120"/>
      <c r="I173" s="119"/>
      <c r="J173" s="119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4"/>
      <c r="AD173" s="237"/>
    </row>
    <row r="174">
      <c r="F174" s="119"/>
      <c r="G174" s="119"/>
      <c r="H174" s="120"/>
      <c r="I174" s="119"/>
      <c r="J174" s="119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4"/>
      <c r="AD174" s="237"/>
    </row>
    <row r="175">
      <c r="F175" s="119"/>
      <c r="G175" s="119"/>
      <c r="H175" s="120"/>
      <c r="I175" s="119"/>
      <c r="J175" s="119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4"/>
      <c r="AD175" s="237"/>
    </row>
    <row r="176">
      <c r="F176" s="119"/>
      <c r="G176" s="119"/>
      <c r="H176" s="120"/>
      <c r="I176" s="119"/>
      <c r="J176" s="119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4"/>
      <c r="AD176" s="237"/>
    </row>
    <row r="177">
      <c r="F177" s="119"/>
      <c r="G177" s="119"/>
      <c r="H177" s="120"/>
      <c r="I177" s="119"/>
      <c r="J177" s="119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4"/>
      <c r="AD177" s="237"/>
    </row>
    <row r="178">
      <c r="F178" s="119"/>
      <c r="G178" s="119"/>
      <c r="H178" s="120"/>
      <c r="I178" s="119"/>
      <c r="J178" s="119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4"/>
      <c r="AD178" s="237"/>
    </row>
    <row r="179">
      <c r="F179" s="119"/>
      <c r="G179" s="119"/>
      <c r="H179" s="120"/>
      <c r="I179" s="119"/>
      <c r="J179" s="119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4"/>
      <c r="AD179" s="237"/>
    </row>
    <row r="180">
      <c r="F180" s="119"/>
      <c r="G180" s="119"/>
      <c r="H180" s="120"/>
      <c r="I180" s="119"/>
      <c r="J180" s="119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4"/>
      <c r="AD180" s="237"/>
    </row>
    <row r="181">
      <c r="F181" s="119"/>
      <c r="G181" s="119"/>
      <c r="H181" s="120"/>
      <c r="I181" s="119"/>
      <c r="J181" s="119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4"/>
      <c r="AD181" s="237"/>
    </row>
    <row r="182">
      <c r="F182" s="119"/>
      <c r="G182" s="119"/>
      <c r="H182" s="120"/>
      <c r="I182" s="119"/>
      <c r="J182" s="119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4"/>
      <c r="AD182" s="237"/>
    </row>
    <row r="183">
      <c r="F183" s="119"/>
      <c r="G183" s="119"/>
      <c r="H183" s="120"/>
      <c r="I183" s="119"/>
      <c r="J183" s="119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4"/>
      <c r="AD183" s="237"/>
    </row>
    <row r="184">
      <c r="F184" s="119"/>
      <c r="G184" s="119"/>
      <c r="H184" s="120"/>
      <c r="I184" s="119"/>
      <c r="J184" s="119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4"/>
      <c r="AD184" s="237"/>
    </row>
    <row r="185">
      <c r="F185" s="119"/>
      <c r="G185" s="119"/>
      <c r="H185" s="120"/>
      <c r="I185" s="119"/>
      <c r="J185" s="119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4"/>
      <c r="AD185" s="237"/>
    </row>
    <row r="186">
      <c r="F186" s="119"/>
      <c r="G186" s="119"/>
      <c r="H186" s="120"/>
      <c r="I186" s="119"/>
      <c r="J186" s="119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4"/>
      <c r="AD186" s="237"/>
    </row>
    <row r="187">
      <c r="F187" s="119"/>
      <c r="G187" s="119"/>
      <c r="H187" s="120"/>
      <c r="I187" s="119"/>
      <c r="J187" s="119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4"/>
      <c r="AD187" s="237"/>
    </row>
    <row r="188">
      <c r="F188" s="119"/>
      <c r="G188" s="119"/>
      <c r="H188" s="120"/>
      <c r="I188" s="119"/>
      <c r="J188" s="119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4"/>
      <c r="AD188" s="237"/>
    </row>
    <row r="189">
      <c r="F189" s="119"/>
      <c r="G189" s="119"/>
      <c r="H189" s="120"/>
      <c r="I189" s="119"/>
      <c r="J189" s="119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4"/>
      <c r="AD189" s="237"/>
    </row>
    <row r="190">
      <c r="F190" s="119"/>
      <c r="G190" s="119"/>
      <c r="H190" s="120"/>
      <c r="I190" s="119"/>
      <c r="J190" s="119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4"/>
      <c r="AD190" s="237"/>
    </row>
    <row r="191">
      <c r="F191" s="119"/>
      <c r="G191" s="119"/>
      <c r="H191" s="120"/>
      <c r="I191" s="119"/>
      <c r="J191" s="119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4"/>
      <c r="AD191" s="237"/>
    </row>
    <row r="192">
      <c r="F192" s="119"/>
      <c r="G192" s="119"/>
      <c r="H192" s="120"/>
      <c r="I192" s="119"/>
      <c r="J192" s="119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4"/>
      <c r="AD192" s="237"/>
    </row>
    <row r="193">
      <c r="F193" s="119"/>
      <c r="G193" s="119"/>
      <c r="H193" s="120"/>
      <c r="I193" s="119"/>
      <c r="J193" s="119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4"/>
      <c r="AD193" s="237"/>
    </row>
    <row r="194">
      <c r="F194" s="119"/>
      <c r="G194" s="119"/>
      <c r="H194" s="120"/>
      <c r="I194" s="119"/>
      <c r="J194" s="119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4"/>
      <c r="AD194" s="237"/>
    </row>
    <row r="195">
      <c r="F195" s="119"/>
      <c r="G195" s="119"/>
      <c r="H195" s="120"/>
      <c r="I195" s="119"/>
      <c r="J195" s="119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4"/>
      <c r="AD195" s="237"/>
    </row>
    <row r="196">
      <c r="F196" s="119"/>
      <c r="G196" s="119"/>
      <c r="H196" s="120"/>
      <c r="I196" s="119"/>
      <c r="J196" s="119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4"/>
      <c r="AD196" s="237"/>
    </row>
    <row r="197">
      <c r="F197" s="119"/>
      <c r="G197" s="119"/>
      <c r="H197" s="120"/>
      <c r="I197" s="119"/>
      <c r="J197" s="119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4"/>
      <c r="AD197" s="237"/>
    </row>
    <row r="198">
      <c r="F198" s="119"/>
      <c r="G198" s="119"/>
      <c r="H198" s="120"/>
      <c r="I198" s="119"/>
      <c r="J198" s="119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4"/>
      <c r="AD198" s="237"/>
    </row>
    <row r="199">
      <c r="F199" s="119"/>
      <c r="G199" s="119"/>
      <c r="H199" s="120"/>
      <c r="I199" s="119"/>
      <c r="J199" s="119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4"/>
      <c r="AD199" s="237"/>
    </row>
    <row r="200">
      <c r="F200" s="119"/>
      <c r="G200" s="119"/>
      <c r="H200" s="120"/>
      <c r="I200" s="119"/>
      <c r="J200" s="119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4"/>
      <c r="AD200" s="237"/>
    </row>
    <row r="201">
      <c r="F201" s="119"/>
      <c r="G201" s="119"/>
      <c r="H201" s="120"/>
      <c r="I201" s="119"/>
      <c r="J201" s="119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4"/>
      <c r="AD201" s="237"/>
    </row>
    <row r="202">
      <c r="F202" s="119"/>
      <c r="G202" s="119"/>
      <c r="H202" s="120"/>
      <c r="I202" s="119"/>
      <c r="J202" s="119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4"/>
      <c r="AD202" s="237"/>
    </row>
    <row r="203">
      <c r="F203" s="119"/>
      <c r="G203" s="119"/>
      <c r="H203" s="120"/>
      <c r="I203" s="119"/>
      <c r="J203" s="119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4"/>
      <c r="AD203" s="237"/>
    </row>
    <row r="204">
      <c r="F204" s="119"/>
      <c r="G204" s="119"/>
      <c r="H204" s="120"/>
      <c r="I204" s="119"/>
      <c r="J204" s="119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4"/>
      <c r="AD204" s="237"/>
    </row>
    <row r="205">
      <c r="F205" s="119"/>
      <c r="G205" s="119"/>
      <c r="H205" s="120"/>
      <c r="I205" s="119"/>
      <c r="J205" s="119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4"/>
      <c r="AD205" s="237"/>
    </row>
    <row r="206">
      <c r="F206" s="119"/>
      <c r="G206" s="119"/>
      <c r="H206" s="120"/>
      <c r="I206" s="119"/>
      <c r="J206" s="119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4"/>
      <c r="AD206" s="237"/>
    </row>
    <row r="207">
      <c r="F207" s="119"/>
      <c r="G207" s="119"/>
      <c r="H207" s="120"/>
      <c r="I207" s="119"/>
      <c r="J207" s="119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4"/>
      <c r="AD207" s="237"/>
    </row>
    <row r="208">
      <c r="F208" s="119"/>
      <c r="G208" s="119"/>
      <c r="H208" s="120"/>
      <c r="I208" s="119"/>
      <c r="J208" s="119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4"/>
      <c r="AD208" s="237"/>
    </row>
    <row r="209">
      <c r="F209" s="119"/>
      <c r="G209" s="119"/>
      <c r="H209" s="120"/>
      <c r="I209" s="119"/>
      <c r="J209" s="119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4"/>
      <c r="AD209" s="237"/>
    </row>
    <row r="210">
      <c r="F210" s="119"/>
      <c r="G210" s="119"/>
      <c r="H210" s="120"/>
      <c r="I210" s="119"/>
      <c r="J210" s="119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4"/>
      <c r="AD210" s="237"/>
    </row>
    <row r="211">
      <c r="F211" s="119"/>
      <c r="G211" s="119"/>
      <c r="H211" s="120"/>
      <c r="I211" s="119"/>
      <c r="J211" s="119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4"/>
      <c r="AD211" s="237"/>
    </row>
    <row r="212">
      <c r="F212" s="119"/>
      <c r="G212" s="119"/>
      <c r="H212" s="120"/>
      <c r="I212" s="119"/>
      <c r="J212" s="119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4"/>
      <c r="AD212" s="237"/>
    </row>
    <row r="213">
      <c r="F213" s="119"/>
      <c r="G213" s="119"/>
      <c r="H213" s="120"/>
      <c r="I213" s="119"/>
      <c r="J213" s="119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4"/>
      <c r="AD213" s="237"/>
    </row>
    <row r="214">
      <c r="F214" s="119"/>
      <c r="G214" s="119"/>
      <c r="H214" s="120"/>
      <c r="I214" s="119"/>
      <c r="J214" s="119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4"/>
      <c r="AD214" s="237"/>
    </row>
    <row r="215">
      <c r="F215" s="119"/>
      <c r="G215" s="119"/>
      <c r="H215" s="120"/>
      <c r="I215" s="119"/>
      <c r="J215" s="119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4"/>
      <c r="AD215" s="237"/>
    </row>
    <row r="216">
      <c r="F216" s="119"/>
      <c r="G216" s="119"/>
      <c r="H216" s="120"/>
      <c r="I216" s="119"/>
      <c r="J216" s="119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4"/>
      <c r="AD216" s="237"/>
    </row>
    <row r="217">
      <c r="F217" s="119"/>
      <c r="G217" s="119"/>
      <c r="H217" s="120"/>
      <c r="I217" s="119"/>
      <c r="J217" s="119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4"/>
      <c r="AD217" s="237"/>
    </row>
    <row r="218">
      <c r="F218" s="119"/>
      <c r="G218" s="119"/>
      <c r="H218" s="120"/>
      <c r="I218" s="119"/>
      <c r="J218" s="119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4"/>
      <c r="AD218" s="237"/>
    </row>
    <row r="219">
      <c r="F219" s="119"/>
      <c r="G219" s="119"/>
      <c r="H219" s="120"/>
      <c r="I219" s="119"/>
      <c r="J219" s="119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4"/>
      <c r="AD219" s="237"/>
    </row>
    <row r="220">
      <c r="F220" s="119"/>
      <c r="G220" s="119"/>
      <c r="H220" s="120"/>
      <c r="I220" s="119"/>
      <c r="J220" s="119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4"/>
      <c r="AD220" s="237"/>
    </row>
    <row r="221">
      <c r="F221" s="119"/>
      <c r="G221" s="119"/>
      <c r="H221" s="120"/>
      <c r="I221" s="119"/>
      <c r="J221" s="119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4"/>
      <c r="AD221" s="237"/>
    </row>
    <row r="222">
      <c r="F222" s="119"/>
      <c r="G222" s="119"/>
      <c r="H222" s="120"/>
      <c r="I222" s="119"/>
      <c r="J222" s="119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4"/>
      <c r="AD222" s="237"/>
    </row>
    <row r="223">
      <c r="F223" s="119"/>
      <c r="G223" s="119"/>
      <c r="H223" s="120"/>
      <c r="I223" s="119"/>
      <c r="J223" s="119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4"/>
      <c r="AD223" s="237"/>
    </row>
    <row r="224">
      <c r="F224" s="119"/>
      <c r="G224" s="119"/>
      <c r="H224" s="120"/>
      <c r="I224" s="119"/>
      <c r="J224" s="119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4"/>
      <c r="AD224" s="237"/>
    </row>
    <row r="225">
      <c r="F225" s="119"/>
      <c r="G225" s="119"/>
      <c r="H225" s="120"/>
      <c r="I225" s="119"/>
      <c r="J225" s="119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4"/>
      <c r="AD225" s="237"/>
    </row>
    <row r="226">
      <c r="F226" s="119"/>
      <c r="G226" s="119"/>
      <c r="H226" s="120"/>
      <c r="I226" s="119"/>
      <c r="J226" s="119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4"/>
      <c r="AD226" s="237"/>
    </row>
    <row r="227">
      <c r="F227" s="119"/>
      <c r="G227" s="119"/>
      <c r="H227" s="120"/>
      <c r="I227" s="119"/>
      <c r="J227" s="119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4"/>
      <c r="AD227" s="237"/>
    </row>
    <row r="228">
      <c r="F228" s="119"/>
      <c r="G228" s="119"/>
      <c r="H228" s="120"/>
      <c r="I228" s="119"/>
      <c r="J228" s="119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4"/>
      <c r="AD228" s="237"/>
    </row>
    <row r="229">
      <c r="F229" s="119"/>
      <c r="G229" s="119"/>
      <c r="H229" s="120"/>
      <c r="I229" s="119"/>
      <c r="J229" s="119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4"/>
      <c r="AD229" s="237"/>
    </row>
    <row r="230">
      <c r="F230" s="119"/>
      <c r="G230" s="119"/>
      <c r="H230" s="120"/>
      <c r="I230" s="119"/>
      <c r="J230" s="119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4"/>
      <c r="AD230" s="237"/>
    </row>
    <row r="231">
      <c r="F231" s="119"/>
      <c r="G231" s="119"/>
      <c r="H231" s="120"/>
      <c r="I231" s="119"/>
      <c r="J231" s="119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4"/>
      <c r="AD231" s="237"/>
    </row>
    <row r="232">
      <c r="F232" s="119"/>
      <c r="G232" s="119"/>
      <c r="H232" s="120"/>
      <c r="I232" s="119"/>
      <c r="J232" s="119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4"/>
      <c r="AD232" s="237"/>
    </row>
    <row r="233">
      <c r="F233" s="119"/>
      <c r="G233" s="119"/>
      <c r="H233" s="120"/>
      <c r="I233" s="119"/>
      <c r="J233" s="119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4"/>
      <c r="AD233" s="237"/>
    </row>
    <row r="234">
      <c r="F234" s="119"/>
      <c r="G234" s="119"/>
      <c r="H234" s="120"/>
      <c r="I234" s="119"/>
      <c r="J234" s="119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4"/>
      <c r="AD234" s="237"/>
    </row>
    <row r="235">
      <c r="F235" s="119"/>
      <c r="G235" s="119"/>
      <c r="H235" s="120"/>
      <c r="I235" s="119"/>
      <c r="J235" s="119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4"/>
      <c r="AD235" s="237"/>
    </row>
    <row r="236">
      <c r="F236" s="119"/>
      <c r="G236" s="119"/>
      <c r="H236" s="120"/>
      <c r="I236" s="119"/>
      <c r="J236" s="119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4"/>
      <c r="AD236" s="237"/>
    </row>
    <row r="237">
      <c r="F237" s="119"/>
      <c r="G237" s="119"/>
      <c r="H237" s="120"/>
      <c r="I237" s="119"/>
      <c r="J237" s="119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4"/>
      <c r="AD237" s="237"/>
    </row>
    <row r="238">
      <c r="F238" s="119"/>
      <c r="G238" s="119"/>
      <c r="H238" s="120"/>
      <c r="I238" s="119"/>
      <c r="J238" s="119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4"/>
      <c r="AD238" s="237"/>
    </row>
    <row r="239">
      <c r="F239" s="119"/>
      <c r="G239" s="119"/>
      <c r="H239" s="120"/>
      <c r="I239" s="119"/>
      <c r="J239" s="119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4"/>
      <c r="AD239" s="237"/>
    </row>
    <row r="240">
      <c r="F240" s="119"/>
      <c r="G240" s="119"/>
      <c r="H240" s="120"/>
      <c r="I240" s="119"/>
      <c r="J240" s="119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4"/>
      <c r="AD240" s="237"/>
    </row>
    <row r="241">
      <c r="F241" s="119"/>
      <c r="G241" s="119"/>
      <c r="H241" s="120"/>
      <c r="I241" s="119"/>
      <c r="J241" s="119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4"/>
      <c r="AD241" s="237"/>
    </row>
    <row r="242">
      <c r="F242" s="119"/>
      <c r="G242" s="119"/>
      <c r="H242" s="120"/>
      <c r="I242" s="119"/>
      <c r="J242" s="119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4"/>
      <c r="AD242" s="237"/>
    </row>
    <row r="243">
      <c r="F243" s="119"/>
      <c r="G243" s="119"/>
      <c r="H243" s="120"/>
      <c r="I243" s="119"/>
      <c r="J243" s="119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4"/>
      <c r="AD243" s="237"/>
    </row>
    <row r="244">
      <c r="F244" s="119"/>
      <c r="G244" s="119"/>
      <c r="H244" s="120"/>
      <c r="I244" s="119"/>
      <c r="J244" s="119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4"/>
      <c r="AD244" s="237"/>
    </row>
    <row r="245">
      <c r="F245" s="119"/>
      <c r="G245" s="119"/>
      <c r="H245" s="120"/>
      <c r="I245" s="119"/>
      <c r="J245" s="119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4"/>
      <c r="AD245" s="237"/>
    </row>
    <row r="246">
      <c r="F246" s="119"/>
      <c r="G246" s="119"/>
      <c r="H246" s="120"/>
      <c r="I246" s="119"/>
      <c r="J246" s="119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4"/>
      <c r="AD246" s="237"/>
    </row>
    <row r="247">
      <c r="F247" s="119"/>
      <c r="G247" s="119"/>
      <c r="H247" s="120"/>
      <c r="I247" s="119"/>
      <c r="J247" s="119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4"/>
      <c r="AD247" s="237"/>
    </row>
    <row r="248">
      <c r="F248" s="119"/>
      <c r="G248" s="119"/>
      <c r="H248" s="120"/>
      <c r="I248" s="119"/>
      <c r="J248" s="119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4"/>
      <c r="AD248" s="237"/>
    </row>
    <row r="249">
      <c r="F249" s="119"/>
      <c r="G249" s="119"/>
      <c r="H249" s="120"/>
      <c r="I249" s="119"/>
      <c r="J249" s="119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4"/>
      <c r="AD249" s="237"/>
    </row>
    <row r="250">
      <c r="F250" s="119"/>
      <c r="G250" s="119"/>
      <c r="H250" s="120"/>
      <c r="I250" s="119"/>
      <c r="J250" s="119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4"/>
      <c r="AD250" s="237"/>
    </row>
    <row r="251">
      <c r="F251" s="119"/>
      <c r="G251" s="119"/>
      <c r="H251" s="120"/>
      <c r="I251" s="119"/>
      <c r="J251" s="119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4"/>
      <c r="AD251" s="237"/>
    </row>
    <row r="252">
      <c r="F252" s="119"/>
      <c r="G252" s="119"/>
      <c r="H252" s="120"/>
      <c r="I252" s="119"/>
      <c r="J252" s="119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4"/>
      <c r="AD252" s="237"/>
    </row>
    <row r="253">
      <c r="F253" s="119"/>
      <c r="G253" s="119"/>
      <c r="H253" s="120"/>
      <c r="I253" s="119"/>
      <c r="J253" s="119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4"/>
      <c r="AD253" s="237"/>
    </row>
    <row r="254">
      <c r="F254" s="119"/>
      <c r="G254" s="119"/>
      <c r="H254" s="120"/>
      <c r="I254" s="119"/>
      <c r="J254" s="119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4"/>
      <c r="AD254" s="237"/>
    </row>
    <row r="255">
      <c r="F255" s="119"/>
      <c r="G255" s="119"/>
      <c r="H255" s="120"/>
      <c r="I255" s="119"/>
      <c r="J255" s="119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4"/>
      <c r="AD255" s="237"/>
    </row>
    <row r="256">
      <c r="F256" s="119"/>
      <c r="G256" s="119"/>
      <c r="H256" s="120"/>
      <c r="I256" s="119"/>
      <c r="J256" s="119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4"/>
      <c r="AD256" s="237"/>
    </row>
    <row r="257">
      <c r="F257" s="119"/>
      <c r="G257" s="119"/>
      <c r="H257" s="120"/>
      <c r="I257" s="119"/>
      <c r="J257" s="119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4"/>
      <c r="AD257" s="237"/>
    </row>
    <row r="258">
      <c r="F258" s="119"/>
      <c r="G258" s="119"/>
      <c r="H258" s="120"/>
      <c r="I258" s="119"/>
      <c r="J258" s="119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4"/>
      <c r="AD258" s="237"/>
    </row>
    <row r="259">
      <c r="F259" s="119"/>
      <c r="G259" s="119"/>
      <c r="H259" s="120"/>
      <c r="I259" s="119"/>
      <c r="J259" s="119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4"/>
      <c r="AD259" s="237"/>
    </row>
    <row r="260">
      <c r="F260" s="119"/>
      <c r="G260" s="119"/>
      <c r="H260" s="120"/>
      <c r="I260" s="119"/>
      <c r="J260" s="119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4"/>
      <c r="AD260" s="237"/>
    </row>
    <row r="261">
      <c r="F261" s="119"/>
      <c r="G261" s="119"/>
      <c r="H261" s="120"/>
      <c r="I261" s="119"/>
      <c r="J261" s="119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4"/>
      <c r="AD261" s="237"/>
    </row>
    <row r="262">
      <c r="F262" s="119"/>
      <c r="G262" s="119"/>
      <c r="H262" s="120"/>
      <c r="I262" s="119"/>
      <c r="J262" s="119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4"/>
      <c r="AD262" s="237"/>
    </row>
    <row r="263">
      <c r="F263" s="119"/>
      <c r="G263" s="119"/>
      <c r="H263" s="120"/>
      <c r="I263" s="119"/>
      <c r="J263" s="119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4"/>
      <c r="AD263" s="237"/>
    </row>
    <row r="264">
      <c r="F264" s="119"/>
      <c r="G264" s="119"/>
      <c r="H264" s="120"/>
      <c r="I264" s="119"/>
      <c r="J264" s="119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4"/>
      <c r="AD264" s="237"/>
    </row>
    <row r="265">
      <c r="F265" s="119"/>
      <c r="G265" s="119"/>
      <c r="H265" s="120"/>
      <c r="I265" s="119"/>
      <c r="J265" s="119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4"/>
      <c r="AD265" s="237"/>
    </row>
    <row r="266">
      <c r="F266" s="119"/>
      <c r="G266" s="119"/>
      <c r="H266" s="120"/>
      <c r="I266" s="119"/>
      <c r="J266" s="119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4"/>
      <c r="AD266" s="237"/>
    </row>
    <row r="267">
      <c r="F267" s="119"/>
      <c r="G267" s="119"/>
      <c r="H267" s="120"/>
      <c r="I267" s="119"/>
      <c r="J267" s="119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4"/>
      <c r="AD267" s="237"/>
    </row>
    <row r="268">
      <c r="F268" s="119"/>
      <c r="G268" s="119"/>
      <c r="H268" s="120"/>
      <c r="I268" s="119"/>
      <c r="J268" s="119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4"/>
      <c r="AD268" s="237"/>
    </row>
    <row r="269">
      <c r="F269" s="119"/>
      <c r="G269" s="119"/>
      <c r="H269" s="120"/>
      <c r="I269" s="119"/>
      <c r="J269" s="119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4"/>
      <c r="AD269" s="237"/>
    </row>
    <row r="270">
      <c r="F270" s="119"/>
      <c r="G270" s="119"/>
      <c r="H270" s="120"/>
      <c r="I270" s="119"/>
      <c r="J270" s="119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4"/>
      <c r="AD270" s="237"/>
    </row>
    <row r="271">
      <c r="F271" s="119"/>
      <c r="G271" s="119"/>
      <c r="H271" s="120"/>
      <c r="I271" s="119"/>
      <c r="J271" s="119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4"/>
      <c r="AD271" s="237"/>
    </row>
    <row r="272">
      <c r="F272" s="119"/>
      <c r="G272" s="119"/>
      <c r="H272" s="120"/>
      <c r="I272" s="119"/>
      <c r="J272" s="119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4"/>
      <c r="AD272" s="237"/>
    </row>
    <row r="273">
      <c r="F273" s="119"/>
      <c r="G273" s="119"/>
      <c r="H273" s="120"/>
      <c r="I273" s="119"/>
      <c r="J273" s="119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4"/>
      <c r="AD273" s="237"/>
    </row>
    <row r="274">
      <c r="F274" s="119"/>
      <c r="G274" s="119"/>
      <c r="H274" s="120"/>
      <c r="I274" s="119"/>
      <c r="J274" s="119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4"/>
      <c r="AD274" s="237"/>
    </row>
    <row r="275">
      <c r="F275" s="119"/>
      <c r="G275" s="119"/>
      <c r="H275" s="120"/>
      <c r="I275" s="119"/>
      <c r="J275" s="119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4"/>
      <c r="AD275" s="237"/>
    </row>
    <row r="276">
      <c r="F276" s="119"/>
      <c r="G276" s="119"/>
      <c r="H276" s="120"/>
      <c r="I276" s="119"/>
      <c r="J276" s="119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4"/>
      <c r="AD276" s="237"/>
    </row>
    <row r="277">
      <c r="F277" s="119"/>
      <c r="G277" s="119"/>
      <c r="H277" s="120"/>
      <c r="I277" s="119"/>
      <c r="J277" s="119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4"/>
      <c r="AD277" s="237"/>
    </row>
    <row r="278">
      <c r="F278" s="119"/>
      <c r="G278" s="119"/>
      <c r="H278" s="120"/>
      <c r="I278" s="119"/>
      <c r="J278" s="119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4"/>
      <c r="AD278" s="237"/>
    </row>
    <row r="279">
      <c r="F279" s="119"/>
      <c r="G279" s="119"/>
      <c r="H279" s="120"/>
      <c r="I279" s="119"/>
      <c r="J279" s="119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4"/>
      <c r="AD279" s="237"/>
    </row>
    <row r="280">
      <c r="F280" s="119"/>
      <c r="G280" s="119"/>
      <c r="H280" s="120"/>
      <c r="I280" s="119"/>
      <c r="J280" s="119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4"/>
      <c r="AD280" s="237"/>
    </row>
    <row r="281">
      <c r="F281" s="119"/>
      <c r="G281" s="119"/>
      <c r="H281" s="120"/>
      <c r="I281" s="119"/>
      <c r="J281" s="119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4"/>
      <c r="AD281" s="237"/>
    </row>
    <row r="282">
      <c r="F282" s="119"/>
      <c r="G282" s="119"/>
      <c r="H282" s="120"/>
      <c r="I282" s="119"/>
      <c r="J282" s="119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4"/>
      <c r="AD282" s="237"/>
    </row>
    <row r="283">
      <c r="F283" s="119"/>
      <c r="G283" s="119"/>
      <c r="H283" s="120"/>
      <c r="I283" s="119"/>
      <c r="J283" s="119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4"/>
      <c r="AD283" s="237"/>
    </row>
    <row r="284">
      <c r="F284" s="119"/>
      <c r="G284" s="119"/>
      <c r="H284" s="120"/>
      <c r="I284" s="119"/>
      <c r="J284" s="119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4"/>
      <c r="AD284" s="237"/>
    </row>
    <row r="285">
      <c r="F285" s="119"/>
      <c r="G285" s="119"/>
      <c r="H285" s="120"/>
      <c r="I285" s="119"/>
      <c r="J285" s="119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4"/>
      <c r="AD285" s="237"/>
    </row>
    <row r="286">
      <c r="F286" s="119"/>
      <c r="G286" s="119"/>
      <c r="H286" s="120"/>
      <c r="I286" s="119"/>
      <c r="J286" s="119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4"/>
      <c r="AD286" s="237"/>
    </row>
    <row r="287">
      <c r="F287" s="119"/>
      <c r="G287" s="119"/>
      <c r="H287" s="120"/>
      <c r="I287" s="119"/>
      <c r="J287" s="119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4"/>
      <c r="AD287" s="237"/>
    </row>
    <row r="288">
      <c r="F288" s="119"/>
      <c r="G288" s="119"/>
      <c r="H288" s="120"/>
      <c r="I288" s="119"/>
      <c r="J288" s="119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4"/>
      <c r="AD288" s="237"/>
    </row>
    <row r="289">
      <c r="F289" s="119"/>
      <c r="G289" s="119"/>
      <c r="H289" s="120"/>
      <c r="I289" s="119"/>
      <c r="J289" s="119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4"/>
      <c r="AD289" s="237"/>
    </row>
    <row r="290">
      <c r="F290" s="119"/>
      <c r="G290" s="119"/>
      <c r="H290" s="120"/>
      <c r="I290" s="119"/>
      <c r="J290" s="119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4"/>
      <c r="AD290" s="237"/>
    </row>
    <row r="291">
      <c r="F291" s="119"/>
      <c r="G291" s="119"/>
      <c r="H291" s="120"/>
      <c r="I291" s="119"/>
      <c r="J291" s="119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4"/>
      <c r="AD291" s="237"/>
    </row>
    <row r="292">
      <c r="F292" s="119"/>
      <c r="G292" s="119"/>
      <c r="H292" s="120"/>
      <c r="I292" s="119"/>
      <c r="J292" s="119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4"/>
      <c r="AD292" s="237"/>
    </row>
    <row r="293">
      <c r="F293" s="119"/>
      <c r="G293" s="119"/>
      <c r="H293" s="120"/>
      <c r="I293" s="119"/>
      <c r="J293" s="119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4"/>
      <c r="AD293" s="237"/>
    </row>
    <row r="294">
      <c r="F294" s="119"/>
      <c r="G294" s="119"/>
      <c r="H294" s="120"/>
      <c r="I294" s="119"/>
      <c r="J294" s="119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4"/>
      <c r="AD294" s="237"/>
    </row>
    <row r="295">
      <c r="F295" s="119"/>
      <c r="G295" s="119"/>
      <c r="H295" s="120"/>
      <c r="I295" s="119"/>
      <c r="J295" s="119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4"/>
      <c r="AD295" s="237"/>
    </row>
    <row r="296">
      <c r="F296" s="119"/>
      <c r="G296" s="119"/>
      <c r="H296" s="120"/>
      <c r="I296" s="119"/>
      <c r="J296" s="119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4"/>
      <c r="AD296" s="237"/>
    </row>
    <row r="297">
      <c r="F297" s="119"/>
      <c r="G297" s="119"/>
      <c r="H297" s="120"/>
      <c r="I297" s="119"/>
      <c r="J297" s="119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4"/>
      <c r="AD297" s="237"/>
    </row>
    <row r="298">
      <c r="F298" s="119"/>
      <c r="G298" s="119"/>
      <c r="H298" s="120"/>
      <c r="I298" s="119"/>
      <c r="J298" s="119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4"/>
      <c r="AD298" s="237"/>
    </row>
    <row r="299">
      <c r="F299" s="119"/>
      <c r="G299" s="119"/>
      <c r="H299" s="120"/>
      <c r="I299" s="119"/>
      <c r="J299" s="119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4"/>
      <c r="AD299" s="237"/>
    </row>
    <row r="300">
      <c r="F300" s="119"/>
      <c r="G300" s="119"/>
      <c r="H300" s="120"/>
      <c r="I300" s="119"/>
      <c r="J300" s="119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4"/>
      <c r="AD300" s="237"/>
    </row>
    <row r="301">
      <c r="F301" s="119"/>
      <c r="G301" s="119"/>
      <c r="H301" s="120"/>
      <c r="I301" s="119"/>
      <c r="J301" s="119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4"/>
      <c r="AD301" s="237"/>
    </row>
    <row r="302">
      <c r="F302" s="119"/>
      <c r="G302" s="119"/>
      <c r="H302" s="120"/>
      <c r="I302" s="119"/>
      <c r="J302" s="119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4"/>
      <c r="AD302" s="237"/>
    </row>
    <row r="303">
      <c r="F303" s="119"/>
      <c r="G303" s="119"/>
      <c r="H303" s="120"/>
      <c r="I303" s="119"/>
      <c r="J303" s="119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4"/>
      <c r="AD303" s="237"/>
    </row>
    <row r="304">
      <c r="F304" s="119"/>
      <c r="G304" s="119"/>
      <c r="H304" s="120"/>
      <c r="I304" s="119"/>
      <c r="J304" s="119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4"/>
      <c r="AD304" s="237"/>
    </row>
    <row r="305">
      <c r="F305" s="119"/>
      <c r="G305" s="119"/>
      <c r="H305" s="120"/>
      <c r="I305" s="119"/>
      <c r="J305" s="119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4"/>
      <c r="AD305" s="237"/>
    </row>
    <row r="306">
      <c r="F306" s="119"/>
      <c r="G306" s="119"/>
      <c r="H306" s="120"/>
      <c r="I306" s="119"/>
      <c r="J306" s="119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4"/>
      <c r="AD306" s="237"/>
    </row>
    <row r="307">
      <c r="F307" s="119"/>
      <c r="G307" s="119"/>
      <c r="H307" s="120"/>
      <c r="I307" s="119"/>
      <c r="J307" s="119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4"/>
      <c r="AD307" s="237"/>
    </row>
    <row r="308">
      <c r="F308" s="119"/>
      <c r="G308" s="119"/>
      <c r="H308" s="120"/>
      <c r="I308" s="119"/>
      <c r="J308" s="119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4"/>
      <c r="AD308" s="237"/>
    </row>
    <row r="309">
      <c r="F309" s="119"/>
      <c r="G309" s="119"/>
      <c r="H309" s="120"/>
      <c r="I309" s="119"/>
      <c r="J309" s="119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4"/>
      <c r="AD309" s="237"/>
    </row>
    <row r="310">
      <c r="F310" s="119"/>
      <c r="G310" s="119"/>
      <c r="H310" s="120"/>
      <c r="I310" s="119"/>
      <c r="J310" s="119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4"/>
      <c r="AD310" s="237"/>
    </row>
    <row r="311">
      <c r="F311" s="119"/>
      <c r="G311" s="119"/>
      <c r="H311" s="120"/>
      <c r="I311" s="119"/>
      <c r="J311" s="119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4"/>
      <c r="AD311" s="237"/>
    </row>
    <row r="312">
      <c r="F312" s="119"/>
      <c r="G312" s="119"/>
      <c r="H312" s="120"/>
      <c r="I312" s="119"/>
      <c r="J312" s="119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4"/>
      <c r="AD312" s="237"/>
    </row>
    <row r="313">
      <c r="F313" s="119"/>
      <c r="G313" s="119"/>
      <c r="H313" s="120"/>
      <c r="I313" s="119"/>
      <c r="J313" s="119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4"/>
      <c r="AD313" s="237"/>
    </row>
    <row r="314">
      <c r="F314" s="119"/>
      <c r="G314" s="119"/>
      <c r="H314" s="120"/>
      <c r="I314" s="119"/>
      <c r="J314" s="119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4"/>
      <c r="AD314" s="237"/>
    </row>
    <row r="315">
      <c r="F315" s="119"/>
      <c r="G315" s="119"/>
      <c r="H315" s="120"/>
      <c r="I315" s="119"/>
      <c r="J315" s="119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4"/>
      <c r="AD315" s="237"/>
    </row>
    <row r="316">
      <c r="F316" s="119"/>
      <c r="G316" s="119"/>
      <c r="H316" s="120"/>
      <c r="I316" s="119"/>
      <c r="J316" s="119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4"/>
      <c r="AD316" s="237"/>
    </row>
    <row r="317">
      <c r="F317" s="119"/>
      <c r="G317" s="119"/>
      <c r="H317" s="120"/>
      <c r="I317" s="119"/>
      <c r="J317" s="119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4"/>
      <c r="AD317" s="237"/>
    </row>
    <row r="318">
      <c r="F318" s="119"/>
      <c r="G318" s="119"/>
      <c r="H318" s="120"/>
      <c r="I318" s="119"/>
      <c r="J318" s="119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4"/>
      <c r="AD318" s="237"/>
    </row>
    <row r="319">
      <c r="F319" s="119"/>
      <c r="G319" s="119"/>
      <c r="H319" s="120"/>
      <c r="I319" s="119"/>
      <c r="J319" s="119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4"/>
      <c r="AD319" s="237"/>
    </row>
    <row r="320">
      <c r="F320" s="119"/>
      <c r="G320" s="119"/>
      <c r="H320" s="120"/>
      <c r="I320" s="119"/>
      <c r="J320" s="119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4"/>
      <c r="AD320" s="237"/>
    </row>
    <row r="321">
      <c r="F321" s="119"/>
      <c r="G321" s="119"/>
      <c r="H321" s="120"/>
      <c r="I321" s="119"/>
      <c r="J321" s="119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4"/>
      <c r="AD321" s="237"/>
    </row>
    <row r="322">
      <c r="F322" s="119"/>
      <c r="G322" s="119"/>
      <c r="H322" s="120"/>
      <c r="I322" s="119"/>
      <c r="J322" s="119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4"/>
      <c r="AD322" s="237"/>
    </row>
    <row r="323">
      <c r="F323" s="119"/>
      <c r="G323" s="119"/>
      <c r="H323" s="120"/>
      <c r="I323" s="119"/>
      <c r="J323" s="119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4"/>
      <c r="AD323" s="237"/>
    </row>
    <row r="324">
      <c r="F324" s="119"/>
      <c r="G324" s="119"/>
      <c r="H324" s="120"/>
      <c r="I324" s="119"/>
      <c r="J324" s="119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4"/>
      <c r="AD324" s="237"/>
    </row>
    <row r="325">
      <c r="F325" s="119"/>
      <c r="G325" s="119"/>
      <c r="H325" s="120"/>
      <c r="I325" s="119"/>
      <c r="J325" s="119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4"/>
      <c r="AD325" s="237"/>
    </row>
    <row r="326">
      <c r="F326" s="119"/>
      <c r="G326" s="119"/>
      <c r="H326" s="120"/>
      <c r="I326" s="119"/>
      <c r="J326" s="119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4"/>
      <c r="AD326" s="237"/>
    </row>
    <row r="327">
      <c r="F327" s="119"/>
      <c r="G327" s="119"/>
      <c r="H327" s="120"/>
      <c r="I327" s="119"/>
      <c r="J327" s="119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4"/>
      <c r="AD327" s="237"/>
    </row>
    <row r="328">
      <c r="F328" s="119"/>
      <c r="G328" s="119"/>
      <c r="H328" s="120"/>
      <c r="I328" s="119"/>
      <c r="J328" s="119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4"/>
      <c r="AD328" s="237"/>
    </row>
    <row r="329">
      <c r="F329" s="119"/>
      <c r="G329" s="119"/>
      <c r="H329" s="120"/>
      <c r="I329" s="119"/>
      <c r="J329" s="119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4"/>
      <c r="AD329" s="237"/>
    </row>
    <row r="330">
      <c r="F330" s="119"/>
      <c r="G330" s="119"/>
      <c r="H330" s="120"/>
      <c r="I330" s="119"/>
      <c r="J330" s="119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4"/>
      <c r="AD330" s="237"/>
    </row>
    <row r="331">
      <c r="F331" s="119"/>
      <c r="G331" s="119"/>
      <c r="H331" s="120"/>
      <c r="I331" s="119"/>
      <c r="J331" s="119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4"/>
      <c r="AD331" s="237"/>
    </row>
    <row r="332">
      <c r="F332" s="119"/>
      <c r="G332" s="119"/>
      <c r="H332" s="120"/>
      <c r="I332" s="119"/>
      <c r="J332" s="119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4"/>
      <c r="AD332" s="237"/>
    </row>
    <row r="333">
      <c r="F333" s="119"/>
      <c r="G333" s="119"/>
      <c r="H333" s="120"/>
      <c r="I333" s="119"/>
      <c r="J333" s="119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4"/>
      <c r="AD333" s="237"/>
    </row>
    <row r="334">
      <c r="F334" s="119"/>
      <c r="G334" s="119"/>
      <c r="H334" s="120"/>
      <c r="I334" s="119"/>
      <c r="J334" s="119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4"/>
      <c r="AD334" s="237"/>
    </row>
    <row r="335">
      <c r="F335" s="119"/>
      <c r="G335" s="119"/>
      <c r="H335" s="120"/>
      <c r="I335" s="119"/>
      <c r="J335" s="119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4"/>
      <c r="AD335" s="237"/>
    </row>
    <row r="336">
      <c r="F336" s="119"/>
      <c r="G336" s="119"/>
      <c r="H336" s="120"/>
      <c r="I336" s="119"/>
      <c r="J336" s="119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4"/>
      <c r="AD336" s="237"/>
    </row>
    <row r="337">
      <c r="F337" s="119"/>
      <c r="G337" s="119"/>
      <c r="H337" s="120"/>
      <c r="I337" s="119"/>
      <c r="J337" s="119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4"/>
      <c r="AD337" s="237"/>
    </row>
    <row r="338">
      <c r="F338" s="119"/>
      <c r="G338" s="119"/>
      <c r="H338" s="120"/>
      <c r="I338" s="119"/>
      <c r="J338" s="119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4"/>
      <c r="AD338" s="237"/>
    </row>
    <row r="339">
      <c r="F339" s="119"/>
      <c r="G339" s="119"/>
      <c r="H339" s="120"/>
      <c r="I339" s="119"/>
      <c r="J339" s="119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4"/>
      <c r="AD339" s="237"/>
    </row>
    <row r="340">
      <c r="F340" s="119"/>
      <c r="G340" s="119"/>
      <c r="H340" s="120"/>
      <c r="I340" s="119"/>
      <c r="J340" s="119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4"/>
      <c r="AD340" s="237"/>
    </row>
    <row r="341">
      <c r="F341" s="119"/>
      <c r="G341" s="119"/>
      <c r="H341" s="120"/>
      <c r="I341" s="119"/>
      <c r="J341" s="119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4"/>
      <c r="AD341" s="237"/>
    </row>
    <row r="342">
      <c r="F342" s="119"/>
      <c r="G342" s="119"/>
      <c r="H342" s="120"/>
      <c r="I342" s="119"/>
      <c r="J342" s="119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4"/>
      <c r="AD342" s="237"/>
    </row>
    <row r="343">
      <c r="F343" s="119"/>
      <c r="G343" s="119"/>
      <c r="H343" s="120"/>
      <c r="I343" s="119"/>
      <c r="J343" s="119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4"/>
      <c r="AD343" s="237"/>
    </row>
    <row r="344">
      <c r="F344" s="119"/>
      <c r="G344" s="119"/>
      <c r="H344" s="120"/>
      <c r="I344" s="119"/>
      <c r="J344" s="119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4"/>
      <c r="AD344" s="237"/>
    </row>
    <row r="345">
      <c r="F345" s="119"/>
      <c r="G345" s="119"/>
      <c r="H345" s="120"/>
      <c r="I345" s="119"/>
      <c r="J345" s="119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4"/>
      <c r="AD345" s="237"/>
    </row>
    <row r="346">
      <c r="F346" s="119"/>
      <c r="G346" s="119"/>
      <c r="H346" s="120"/>
      <c r="I346" s="119"/>
      <c r="J346" s="119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4"/>
      <c r="AD346" s="237"/>
    </row>
    <row r="347">
      <c r="F347" s="119"/>
      <c r="G347" s="119"/>
      <c r="H347" s="120"/>
      <c r="I347" s="119"/>
      <c r="J347" s="119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4"/>
      <c r="AD347" s="237"/>
    </row>
    <row r="348">
      <c r="F348" s="119"/>
      <c r="G348" s="119"/>
      <c r="H348" s="120"/>
      <c r="I348" s="119"/>
      <c r="J348" s="119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4"/>
      <c r="AD348" s="237"/>
    </row>
    <row r="349">
      <c r="F349" s="119"/>
      <c r="G349" s="119"/>
      <c r="H349" s="120"/>
      <c r="I349" s="119"/>
      <c r="J349" s="119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4"/>
      <c r="AD349" s="237"/>
    </row>
    <row r="350">
      <c r="F350" s="119"/>
      <c r="G350" s="119"/>
      <c r="H350" s="120"/>
      <c r="I350" s="119"/>
      <c r="J350" s="119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4"/>
      <c r="AD350" s="237"/>
    </row>
    <row r="351">
      <c r="F351" s="119"/>
      <c r="G351" s="119"/>
      <c r="H351" s="120"/>
      <c r="I351" s="119"/>
      <c r="J351" s="119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4"/>
      <c r="AD351" s="237"/>
    </row>
    <row r="352">
      <c r="F352" s="119"/>
      <c r="G352" s="119"/>
      <c r="H352" s="120"/>
      <c r="I352" s="119"/>
      <c r="J352" s="119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4"/>
      <c r="AD352" s="237"/>
    </row>
    <row r="353">
      <c r="F353" s="119"/>
      <c r="G353" s="119"/>
      <c r="H353" s="120"/>
      <c r="I353" s="119"/>
      <c r="J353" s="119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4"/>
      <c r="AD353" s="237"/>
    </row>
    <row r="354">
      <c r="F354" s="119"/>
      <c r="G354" s="119"/>
      <c r="H354" s="120"/>
      <c r="I354" s="119"/>
      <c r="J354" s="119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4"/>
      <c r="AD354" s="237"/>
    </row>
    <row r="355">
      <c r="F355" s="119"/>
      <c r="G355" s="119"/>
      <c r="H355" s="120"/>
      <c r="I355" s="119"/>
      <c r="J355" s="119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4"/>
      <c r="AD355" s="237"/>
    </row>
    <row r="356">
      <c r="F356" s="119"/>
      <c r="G356" s="119"/>
      <c r="H356" s="120"/>
      <c r="I356" s="119"/>
      <c r="J356" s="119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4"/>
      <c r="AD356" s="237"/>
    </row>
    <row r="357">
      <c r="F357" s="119"/>
      <c r="G357" s="119"/>
      <c r="H357" s="120"/>
      <c r="I357" s="119"/>
      <c r="J357" s="119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4"/>
      <c r="AD357" s="237"/>
    </row>
    <row r="358">
      <c r="F358" s="119"/>
      <c r="G358" s="119"/>
      <c r="H358" s="120"/>
      <c r="I358" s="119"/>
      <c r="J358" s="119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4"/>
      <c r="AD358" s="237"/>
    </row>
    <row r="359">
      <c r="F359" s="119"/>
      <c r="G359" s="119"/>
      <c r="H359" s="120"/>
      <c r="I359" s="119"/>
      <c r="J359" s="119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4"/>
      <c r="AD359" s="237"/>
    </row>
    <row r="360">
      <c r="F360" s="119"/>
      <c r="G360" s="119"/>
      <c r="H360" s="120"/>
      <c r="I360" s="119"/>
      <c r="J360" s="119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4"/>
      <c r="AD360" s="237"/>
    </row>
    <row r="361">
      <c r="F361" s="119"/>
      <c r="G361" s="119"/>
      <c r="H361" s="120"/>
      <c r="I361" s="119"/>
      <c r="J361" s="119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4"/>
      <c r="AD361" s="237"/>
    </row>
    <row r="362">
      <c r="F362" s="119"/>
      <c r="G362" s="119"/>
      <c r="H362" s="120"/>
      <c r="I362" s="119"/>
      <c r="J362" s="119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4"/>
      <c r="AD362" s="237"/>
    </row>
    <row r="363">
      <c r="F363" s="119"/>
      <c r="G363" s="119"/>
      <c r="H363" s="120"/>
      <c r="I363" s="119"/>
      <c r="J363" s="119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4"/>
      <c r="AD363" s="237"/>
    </row>
    <row r="364">
      <c r="F364" s="119"/>
      <c r="G364" s="119"/>
      <c r="H364" s="120"/>
      <c r="I364" s="119"/>
      <c r="J364" s="119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4"/>
      <c r="AD364" s="237"/>
    </row>
    <row r="365">
      <c r="F365" s="119"/>
      <c r="G365" s="119"/>
      <c r="H365" s="120"/>
      <c r="I365" s="119"/>
      <c r="J365" s="119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4"/>
      <c r="AD365" s="237"/>
    </row>
    <row r="366">
      <c r="F366" s="119"/>
      <c r="G366" s="119"/>
      <c r="H366" s="120"/>
      <c r="I366" s="119"/>
      <c r="J366" s="119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4"/>
      <c r="AD366" s="237"/>
    </row>
    <row r="367">
      <c r="F367" s="119"/>
      <c r="G367" s="119"/>
      <c r="H367" s="120"/>
      <c r="I367" s="119"/>
      <c r="J367" s="119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4"/>
      <c r="AD367" s="237"/>
    </row>
    <row r="368">
      <c r="F368" s="119"/>
      <c r="G368" s="119"/>
      <c r="H368" s="120"/>
      <c r="I368" s="119"/>
      <c r="J368" s="119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4"/>
      <c r="AD368" s="237"/>
    </row>
    <row r="369">
      <c r="F369" s="119"/>
      <c r="G369" s="119"/>
      <c r="H369" s="120"/>
      <c r="I369" s="119"/>
      <c r="J369" s="119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4"/>
      <c r="AD369" s="237"/>
    </row>
    <row r="370">
      <c r="F370" s="119"/>
      <c r="G370" s="119"/>
      <c r="H370" s="120"/>
      <c r="I370" s="119"/>
      <c r="J370" s="119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4"/>
      <c r="AD370" s="237"/>
    </row>
    <row r="371">
      <c r="F371" s="119"/>
      <c r="G371" s="119"/>
      <c r="H371" s="120"/>
      <c r="I371" s="119"/>
      <c r="J371" s="119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4"/>
      <c r="AD371" s="237"/>
    </row>
    <row r="372">
      <c r="F372" s="119"/>
      <c r="G372" s="119"/>
      <c r="H372" s="120"/>
      <c r="I372" s="119"/>
      <c r="J372" s="119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4"/>
      <c r="AD372" s="237"/>
    </row>
    <row r="373">
      <c r="F373" s="119"/>
      <c r="G373" s="119"/>
      <c r="H373" s="120"/>
      <c r="I373" s="119"/>
      <c r="J373" s="119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4"/>
      <c r="AD373" s="237"/>
    </row>
    <row r="374">
      <c r="F374" s="119"/>
      <c r="G374" s="119"/>
      <c r="H374" s="120"/>
      <c r="I374" s="119"/>
      <c r="J374" s="119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4"/>
      <c r="AD374" s="237"/>
    </row>
    <row r="375">
      <c r="F375" s="119"/>
      <c r="G375" s="119"/>
      <c r="H375" s="120"/>
      <c r="I375" s="119"/>
      <c r="J375" s="119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4"/>
      <c r="AD375" s="237"/>
    </row>
    <row r="376">
      <c r="F376" s="119"/>
      <c r="G376" s="119"/>
      <c r="H376" s="120"/>
      <c r="I376" s="119"/>
      <c r="J376" s="119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4"/>
      <c r="AD376" s="237"/>
    </row>
    <row r="377">
      <c r="F377" s="119"/>
      <c r="G377" s="119"/>
      <c r="H377" s="120"/>
      <c r="I377" s="119"/>
      <c r="J377" s="119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4"/>
      <c r="AD377" s="237"/>
    </row>
    <row r="378">
      <c r="F378" s="119"/>
      <c r="G378" s="119"/>
      <c r="H378" s="120"/>
      <c r="I378" s="119"/>
      <c r="J378" s="119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4"/>
      <c r="AD378" s="237"/>
    </row>
    <row r="379">
      <c r="F379" s="119"/>
      <c r="G379" s="119"/>
      <c r="H379" s="120"/>
      <c r="I379" s="119"/>
      <c r="J379" s="119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4"/>
      <c r="AD379" s="237"/>
    </row>
    <row r="380">
      <c r="F380" s="119"/>
      <c r="G380" s="119"/>
      <c r="H380" s="120"/>
      <c r="I380" s="119"/>
      <c r="J380" s="119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4"/>
      <c r="AD380" s="237"/>
    </row>
    <row r="381">
      <c r="F381" s="119"/>
      <c r="G381" s="119"/>
      <c r="H381" s="120"/>
      <c r="I381" s="119"/>
      <c r="J381" s="119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4"/>
      <c r="AD381" s="237"/>
    </row>
    <row r="382">
      <c r="F382" s="119"/>
      <c r="G382" s="119"/>
      <c r="H382" s="120"/>
      <c r="I382" s="119"/>
      <c r="J382" s="119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4"/>
      <c r="AD382" s="237"/>
    </row>
    <row r="383">
      <c r="F383" s="119"/>
      <c r="G383" s="119"/>
      <c r="H383" s="120"/>
      <c r="I383" s="119"/>
      <c r="J383" s="119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4"/>
      <c r="AD383" s="237"/>
    </row>
    <row r="384">
      <c r="F384" s="119"/>
      <c r="G384" s="119"/>
      <c r="H384" s="120"/>
      <c r="I384" s="119"/>
      <c r="J384" s="119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4"/>
      <c r="AD384" s="237"/>
    </row>
    <row r="385">
      <c r="F385" s="119"/>
      <c r="G385" s="119"/>
      <c r="H385" s="120"/>
      <c r="I385" s="119"/>
      <c r="J385" s="119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4"/>
      <c r="AD385" s="237"/>
    </row>
    <row r="386">
      <c r="F386" s="119"/>
      <c r="G386" s="119"/>
      <c r="H386" s="120"/>
      <c r="I386" s="119"/>
      <c r="J386" s="119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4"/>
      <c r="AD386" s="237"/>
    </row>
    <row r="387">
      <c r="F387" s="119"/>
      <c r="G387" s="119"/>
      <c r="H387" s="120"/>
      <c r="I387" s="119"/>
      <c r="J387" s="119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4"/>
      <c r="AD387" s="237"/>
    </row>
    <row r="388">
      <c r="F388" s="119"/>
      <c r="G388" s="119"/>
      <c r="H388" s="120"/>
      <c r="I388" s="119"/>
      <c r="J388" s="119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4"/>
      <c r="AD388" s="237"/>
    </row>
    <row r="389">
      <c r="F389" s="119"/>
      <c r="G389" s="119"/>
      <c r="H389" s="120"/>
      <c r="I389" s="119"/>
      <c r="J389" s="119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4"/>
      <c r="AD389" s="237"/>
    </row>
    <row r="390">
      <c r="F390" s="119"/>
      <c r="G390" s="119"/>
      <c r="H390" s="120"/>
      <c r="I390" s="119"/>
      <c r="J390" s="119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4"/>
      <c r="AD390" s="237"/>
    </row>
    <row r="391">
      <c r="F391" s="119"/>
      <c r="G391" s="119"/>
      <c r="H391" s="120"/>
      <c r="I391" s="119"/>
      <c r="J391" s="119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4"/>
      <c r="AD391" s="237"/>
    </row>
    <row r="392">
      <c r="F392" s="119"/>
      <c r="G392" s="119"/>
      <c r="H392" s="120"/>
      <c r="I392" s="119"/>
      <c r="J392" s="119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4"/>
      <c r="AD392" s="237"/>
    </row>
    <row r="393">
      <c r="F393" s="119"/>
      <c r="G393" s="119"/>
      <c r="H393" s="120"/>
      <c r="I393" s="119"/>
      <c r="J393" s="119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4"/>
      <c r="AD393" s="237"/>
    </row>
    <row r="394">
      <c r="F394" s="119"/>
      <c r="G394" s="119"/>
      <c r="H394" s="120"/>
      <c r="I394" s="119"/>
      <c r="J394" s="119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4"/>
      <c r="AD394" s="237"/>
    </row>
    <row r="395">
      <c r="F395" s="119"/>
      <c r="G395" s="119"/>
      <c r="H395" s="120"/>
      <c r="I395" s="119"/>
      <c r="J395" s="119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4"/>
      <c r="AD395" s="237"/>
    </row>
    <row r="396">
      <c r="F396" s="119"/>
      <c r="G396" s="119"/>
      <c r="H396" s="120"/>
      <c r="I396" s="119"/>
      <c r="J396" s="119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4"/>
      <c r="AD396" s="237"/>
    </row>
    <row r="397">
      <c r="F397" s="119"/>
      <c r="G397" s="119"/>
      <c r="H397" s="120"/>
      <c r="I397" s="119"/>
      <c r="J397" s="119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4"/>
      <c r="AD397" s="237"/>
    </row>
    <row r="398">
      <c r="F398" s="119"/>
      <c r="G398" s="119"/>
      <c r="H398" s="120"/>
      <c r="I398" s="119"/>
      <c r="J398" s="119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4"/>
      <c r="AD398" s="237"/>
    </row>
    <row r="399">
      <c r="F399" s="119"/>
      <c r="G399" s="119"/>
      <c r="H399" s="120"/>
      <c r="I399" s="119"/>
      <c r="J399" s="119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4"/>
      <c r="AD399" s="237"/>
    </row>
    <row r="400">
      <c r="F400" s="119"/>
      <c r="G400" s="119"/>
      <c r="H400" s="120"/>
      <c r="I400" s="119"/>
      <c r="J400" s="119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4"/>
      <c r="AD400" s="237"/>
    </row>
    <row r="401">
      <c r="F401" s="119"/>
      <c r="G401" s="119"/>
      <c r="H401" s="120"/>
      <c r="I401" s="119"/>
      <c r="J401" s="119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4"/>
      <c r="AD401" s="237"/>
    </row>
    <row r="402">
      <c r="F402" s="119"/>
      <c r="G402" s="119"/>
      <c r="H402" s="120"/>
      <c r="I402" s="119"/>
      <c r="J402" s="119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4"/>
      <c r="AD402" s="237"/>
    </row>
    <row r="403">
      <c r="F403" s="119"/>
      <c r="G403" s="119"/>
      <c r="H403" s="120"/>
      <c r="I403" s="119"/>
      <c r="J403" s="119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4"/>
      <c r="AD403" s="237"/>
    </row>
    <row r="404">
      <c r="F404" s="119"/>
      <c r="G404" s="119"/>
      <c r="H404" s="120"/>
      <c r="I404" s="119"/>
      <c r="J404" s="119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4"/>
      <c r="AD404" s="237"/>
    </row>
    <row r="405">
      <c r="F405" s="119"/>
      <c r="G405" s="119"/>
      <c r="H405" s="120"/>
      <c r="I405" s="119"/>
      <c r="J405" s="119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4"/>
      <c r="AD405" s="237"/>
    </row>
    <row r="406">
      <c r="F406" s="119"/>
      <c r="G406" s="119"/>
      <c r="H406" s="120"/>
      <c r="I406" s="119"/>
      <c r="J406" s="119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4"/>
      <c r="AD406" s="237"/>
    </row>
    <row r="407">
      <c r="F407" s="119"/>
      <c r="G407" s="119"/>
      <c r="H407" s="120"/>
      <c r="I407" s="119"/>
      <c r="J407" s="119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4"/>
      <c r="AD407" s="237"/>
    </row>
    <row r="408">
      <c r="F408" s="119"/>
      <c r="G408" s="119"/>
      <c r="H408" s="120"/>
      <c r="I408" s="119"/>
      <c r="J408" s="119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4"/>
      <c r="AD408" s="237"/>
    </row>
    <row r="409">
      <c r="F409" s="119"/>
      <c r="G409" s="119"/>
      <c r="H409" s="120"/>
      <c r="I409" s="119"/>
      <c r="J409" s="119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4"/>
      <c r="AD409" s="237"/>
    </row>
    <row r="410">
      <c r="F410" s="119"/>
      <c r="G410" s="119"/>
      <c r="H410" s="120"/>
      <c r="I410" s="119"/>
      <c r="J410" s="119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4"/>
      <c r="AD410" s="237"/>
    </row>
    <row r="411">
      <c r="F411" s="119"/>
      <c r="G411" s="119"/>
      <c r="H411" s="120"/>
      <c r="I411" s="119"/>
      <c r="J411" s="119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4"/>
      <c r="AD411" s="237"/>
    </row>
    <row r="412">
      <c r="F412" s="119"/>
      <c r="G412" s="119"/>
      <c r="H412" s="120"/>
      <c r="I412" s="119"/>
      <c r="J412" s="119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4"/>
      <c r="AD412" s="237"/>
    </row>
    <row r="413">
      <c r="F413" s="119"/>
      <c r="G413" s="119"/>
      <c r="H413" s="120"/>
      <c r="I413" s="119"/>
      <c r="J413" s="119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4"/>
      <c r="AD413" s="237"/>
    </row>
    <row r="414">
      <c r="F414" s="119"/>
      <c r="G414" s="119"/>
      <c r="H414" s="120"/>
      <c r="I414" s="119"/>
      <c r="J414" s="119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4"/>
      <c r="AD414" s="237"/>
    </row>
    <row r="415">
      <c r="F415" s="119"/>
      <c r="G415" s="119"/>
      <c r="H415" s="120"/>
      <c r="I415" s="119"/>
      <c r="J415" s="119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4"/>
      <c r="AD415" s="237"/>
    </row>
    <row r="416">
      <c r="F416" s="119"/>
      <c r="G416" s="119"/>
      <c r="H416" s="120"/>
      <c r="I416" s="119"/>
      <c r="J416" s="119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4"/>
      <c r="AD416" s="237"/>
    </row>
    <row r="417">
      <c r="F417" s="119"/>
      <c r="G417" s="119"/>
      <c r="H417" s="120"/>
      <c r="I417" s="119"/>
      <c r="J417" s="119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4"/>
      <c r="AD417" s="237"/>
    </row>
    <row r="418">
      <c r="F418" s="119"/>
      <c r="G418" s="119"/>
      <c r="H418" s="120"/>
      <c r="I418" s="119"/>
      <c r="J418" s="119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4"/>
      <c r="AD418" s="237"/>
    </row>
    <row r="419">
      <c r="F419" s="119"/>
      <c r="G419" s="119"/>
      <c r="H419" s="120"/>
      <c r="I419" s="119"/>
      <c r="J419" s="119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4"/>
      <c r="AD419" s="237"/>
    </row>
    <row r="420">
      <c r="F420" s="119"/>
      <c r="G420" s="119"/>
      <c r="H420" s="120"/>
      <c r="I420" s="119"/>
      <c r="J420" s="119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4"/>
      <c r="AD420" s="237"/>
    </row>
    <row r="421">
      <c r="F421" s="119"/>
      <c r="G421" s="119"/>
      <c r="H421" s="120"/>
      <c r="I421" s="119"/>
      <c r="J421" s="119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4"/>
      <c r="AD421" s="237"/>
    </row>
    <row r="422">
      <c r="F422" s="119"/>
      <c r="G422" s="119"/>
      <c r="H422" s="120"/>
      <c r="I422" s="119"/>
      <c r="J422" s="119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4"/>
      <c r="AD422" s="237"/>
    </row>
    <row r="423">
      <c r="F423" s="119"/>
      <c r="G423" s="119"/>
      <c r="H423" s="120"/>
      <c r="I423" s="119"/>
      <c r="J423" s="119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4"/>
      <c r="AD423" s="237"/>
    </row>
    <row r="424">
      <c r="F424" s="119"/>
      <c r="G424" s="119"/>
      <c r="H424" s="120"/>
      <c r="I424" s="119"/>
      <c r="J424" s="119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4"/>
      <c r="AD424" s="237"/>
    </row>
    <row r="425">
      <c r="F425" s="119"/>
      <c r="G425" s="119"/>
      <c r="H425" s="120"/>
      <c r="I425" s="119"/>
      <c r="J425" s="119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4"/>
      <c r="AD425" s="237"/>
    </row>
    <row r="426">
      <c r="F426" s="119"/>
      <c r="G426" s="119"/>
      <c r="H426" s="120"/>
      <c r="I426" s="119"/>
      <c r="J426" s="119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4"/>
      <c r="AD426" s="237"/>
    </row>
    <row r="427">
      <c r="F427" s="119"/>
      <c r="G427" s="119"/>
      <c r="H427" s="120"/>
      <c r="I427" s="119"/>
      <c r="J427" s="119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4"/>
      <c r="AD427" s="237"/>
    </row>
    <row r="428">
      <c r="F428" s="119"/>
      <c r="G428" s="119"/>
      <c r="H428" s="120"/>
      <c r="I428" s="119"/>
      <c r="J428" s="119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4"/>
      <c r="AD428" s="237"/>
    </row>
    <row r="429">
      <c r="F429" s="119"/>
      <c r="G429" s="119"/>
      <c r="H429" s="120"/>
      <c r="I429" s="119"/>
      <c r="J429" s="119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4"/>
      <c r="AD429" s="237"/>
    </row>
    <row r="430">
      <c r="F430" s="119"/>
      <c r="G430" s="119"/>
      <c r="H430" s="120"/>
      <c r="I430" s="119"/>
      <c r="J430" s="119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4"/>
      <c r="AD430" s="237"/>
    </row>
    <row r="431">
      <c r="F431" s="119"/>
      <c r="G431" s="119"/>
      <c r="H431" s="120"/>
      <c r="I431" s="119"/>
      <c r="J431" s="119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4"/>
      <c r="AD431" s="237"/>
    </row>
    <row r="432">
      <c r="F432" s="119"/>
      <c r="G432" s="119"/>
      <c r="H432" s="120"/>
      <c r="I432" s="119"/>
      <c r="J432" s="119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4"/>
      <c r="AD432" s="237"/>
    </row>
    <row r="433">
      <c r="F433" s="119"/>
      <c r="G433" s="119"/>
      <c r="H433" s="120"/>
      <c r="I433" s="119"/>
      <c r="J433" s="119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4"/>
      <c r="AD433" s="237"/>
    </row>
    <row r="434">
      <c r="F434" s="119"/>
      <c r="G434" s="119"/>
      <c r="H434" s="120"/>
      <c r="I434" s="119"/>
      <c r="J434" s="119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4"/>
      <c r="AD434" s="237"/>
    </row>
    <row r="435">
      <c r="F435" s="119"/>
      <c r="G435" s="119"/>
      <c r="H435" s="120"/>
      <c r="I435" s="119"/>
      <c r="J435" s="119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4"/>
      <c r="AD435" s="237"/>
    </row>
    <row r="436">
      <c r="F436" s="119"/>
      <c r="G436" s="119"/>
      <c r="H436" s="120"/>
      <c r="I436" s="119"/>
      <c r="J436" s="119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4"/>
      <c r="AD436" s="237"/>
    </row>
    <row r="437">
      <c r="F437" s="119"/>
      <c r="G437" s="119"/>
      <c r="H437" s="120"/>
      <c r="I437" s="119"/>
      <c r="J437" s="119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4"/>
      <c r="AD437" s="237"/>
    </row>
    <row r="438">
      <c r="F438" s="119"/>
      <c r="G438" s="119"/>
      <c r="H438" s="120"/>
      <c r="I438" s="119"/>
      <c r="J438" s="119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4"/>
      <c r="AD438" s="237"/>
    </row>
    <row r="439">
      <c r="F439" s="119"/>
      <c r="G439" s="119"/>
      <c r="H439" s="120"/>
      <c r="I439" s="119"/>
      <c r="J439" s="119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4"/>
      <c r="AD439" s="237"/>
    </row>
    <row r="440">
      <c r="F440" s="119"/>
      <c r="G440" s="119"/>
      <c r="H440" s="120"/>
      <c r="I440" s="119"/>
      <c r="J440" s="119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4"/>
      <c r="AD440" s="237"/>
    </row>
    <row r="441">
      <c r="F441" s="119"/>
      <c r="G441" s="119"/>
      <c r="H441" s="120"/>
      <c r="I441" s="119"/>
      <c r="J441" s="119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4"/>
      <c r="AD441" s="237"/>
    </row>
    <row r="442">
      <c r="F442" s="119"/>
      <c r="G442" s="119"/>
      <c r="H442" s="120"/>
      <c r="I442" s="119"/>
      <c r="J442" s="119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4"/>
      <c r="AD442" s="237"/>
    </row>
    <row r="443">
      <c r="F443" s="119"/>
      <c r="G443" s="119"/>
      <c r="H443" s="120"/>
      <c r="I443" s="119"/>
      <c r="J443" s="119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4"/>
      <c r="AD443" s="237"/>
    </row>
    <row r="444">
      <c r="F444" s="119"/>
      <c r="G444" s="119"/>
      <c r="H444" s="120"/>
      <c r="I444" s="119"/>
      <c r="J444" s="119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4"/>
      <c r="AD444" s="237"/>
    </row>
    <row r="445">
      <c r="F445" s="119"/>
      <c r="G445" s="119"/>
      <c r="H445" s="120"/>
      <c r="I445" s="119"/>
      <c r="J445" s="119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4"/>
      <c r="AD445" s="237"/>
    </row>
    <row r="446">
      <c r="F446" s="119"/>
      <c r="G446" s="119"/>
      <c r="H446" s="120"/>
      <c r="I446" s="119"/>
      <c r="J446" s="119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4"/>
      <c r="AD446" s="237"/>
    </row>
    <row r="447">
      <c r="F447" s="119"/>
      <c r="G447" s="119"/>
      <c r="H447" s="120"/>
      <c r="I447" s="119"/>
      <c r="J447" s="119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4"/>
      <c r="AD447" s="237"/>
    </row>
    <row r="448">
      <c r="F448" s="119"/>
      <c r="G448" s="119"/>
      <c r="H448" s="120"/>
      <c r="I448" s="119"/>
      <c r="J448" s="119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4"/>
      <c r="AD448" s="237"/>
    </row>
    <row r="449">
      <c r="F449" s="119"/>
      <c r="G449" s="119"/>
      <c r="H449" s="120"/>
      <c r="I449" s="119"/>
      <c r="J449" s="119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4"/>
      <c r="AD449" s="237"/>
    </row>
    <row r="450">
      <c r="F450" s="119"/>
      <c r="G450" s="119"/>
      <c r="H450" s="120"/>
      <c r="I450" s="119"/>
      <c r="J450" s="119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4"/>
      <c r="AD450" s="237"/>
    </row>
    <row r="451">
      <c r="F451" s="119"/>
      <c r="G451" s="119"/>
      <c r="H451" s="120"/>
      <c r="I451" s="119"/>
      <c r="J451" s="119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4"/>
      <c r="AD451" s="237"/>
    </row>
    <row r="452">
      <c r="F452" s="119"/>
      <c r="G452" s="119"/>
      <c r="H452" s="120"/>
      <c r="I452" s="119"/>
      <c r="J452" s="119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4"/>
      <c r="AD452" s="237"/>
    </row>
    <row r="453">
      <c r="F453" s="119"/>
      <c r="G453" s="119"/>
      <c r="H453" s="120"/>
      <c r="I453" s="119"/>
      <c r="J453" s="119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4"/>
      <c r="AD453" s="237"/>
    </row>
    <row r="454">
      <c r="F454" s="119"/>
      <c r="G454" s="119"/>
      <c r="H454" s="120"/>
      <c r="I454" s="119"/>
      <c r="J454" s="119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4"/>
      <c r="AD454" s="237"/>
    </row>
    <row r="455">
      <c r="F455" s="119"/>
      <c r="G455" s="119"/>
      <c r="H455" s="120"/>
      <c r="I455" s="119"/>
      <c r="J455" s="119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4"/>
      <c r="AD455" s="237"/>
    </row>
    <row r="456">
      <c r="F456" s="119"/>
      <c r="G456" s="119"/>
      <c r="H456" s="120"/>
      <c r="I456" s="119"/>
      <c r="J456" s="119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4"/>
      <c r="AD456" s="237"/>
    </row>
    <row r="457">
      <c r="F457" s="119"/>
      <c r="G457" s="119"/>
      <c r="H457" s="120"/>
      <c r="I457" s="119"/>
      <c r="J457" s="119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4"/>
      <c r="AD457" s="237"/>
    </row>
    <row r="458">
      <c r="F458" s="119"/>
      <c r="G458" s="119"/>
      <c r="H458" s="120"/>
      <c r="I458" s="119"/>
      <c r="J458" s="119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4"/>
      <c r="AD458" s="237"/>
    </row>
    <row r="459">
      <c r="F459" s="119"/>
      <c r="G459" s="119"/>
      <c r="H459" s="120"/>
      <c r="I459" s="119"/>
      <c r="J459" s="119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4"/>
      <c r="AD459" s="237"/>
    </row>
    <row r="460">
      <c r="F460" s="119"/>
      <c r="G460" s="119"/>
      <c r="H460" s="120"/>
      <c r="I460" s="119"/>
      <c r="J460" s="119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4"/>
      <c r="AD460" s="237"/>
    </row>
    <row r="461">
      <c r="F461" s="119"/>
      <c r="G461" s="119"/>
      <c r="H461" s="120"/>
      <c r="I461" s="119"/>
      <c r="J461" s="119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4"/>
      <c r="AD461" s="237"/>
    </row>
    <row r="462">
      <c r="F462" s="119"/>
      <c r="G462" s="119"/>
      <c r="H462" s="120"/>
      <c r="I462" s="119"/>
      <c r="J462" s="119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4"/>
      <c r="AD462" s="237"/>
    </row>
    <row r="463">
      <c r="F463" s="119"/>
      <c r="G463" s="119"/>
      <c r="H463" s="120"/>
      <c r="I463" s="119"/>
      <c r="J463" s="119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4"/>
      <c r="AD463" s="237"/>
    </row>
    <row r="464">
      <c r="F464" s="119"/>
      <c r="G464" s="119"/>
      <c r="H464" s="120"/>
      <c r="I464" s="119"/>
      <c r="J464" s="119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4"/>
      <c r="AD464" s="237"/>
    </row>
    <row r="465">
      <c r="F465" s="119"/>
      <c r="G465" s="119"/>
      <c r="H465" s="120"/>
      <c r="I465" s="119"/>
      <c r="J465" s="119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4"/>
      <c r="AD465" s="237"/>
    </row>
    <row r="466">
      <c r="F466" s="119"/>
      <c r="G466" s="119"/>
      <c r="H466" s="120"/>
      <c r="I466" s="119"/>
      <c r="J466" s="119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4"/>
      <c r="AD466" s="237"/>
    </row>
    <row r="467">
      <c r="F467" s="119"/>
      <c r="G467" s="119"/>
      <c r="H467" s="120"/>
      <c r="I467" s="119"/>
      <c r="J467" s="119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4"/>
      <c r="AD467" s="237"/>
    </row>
    <row r="468">
      <c r="F468" s="119"/>
      <c r="G468" s="119"/>
      <c r="H468" s="120"/>
      <c r="I468" s="119"/>
      <c r="J468" s="119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4"/>
      <c r="AD468" s="237"/>
    </row>
    <row r="469">
      <c r="F469" s="119"/>
      <c r="G469" s="119"/>
      <c r="H469" s="120"/>
      <c r="I469" s="119"/>
      <c r="J469" s="119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4"/>
      <c r="AD469" s="237"/>
    </row>
    <row r="470">
      <c r="F470" s="119"/>
      <c r="G470" s="119"/>
      <c r="H470" s="120"/>
      <c r="I470" s="119"/>
      <c r="J470" s="119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4"/>
      <c r="AD470" s="237"/>
    </row>
    <row r="471">
      <c r="F471" s="119"/>
      <c r="G471" s="119"/>
      <c r="H471" s="120"/>
      <c r="I471" s="119"/>
      <c r="J471" s="119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4"/>
      <c r="AD471" s="237"/>
    </row>
    <row r="472">
      <c r="F472" s="119"/>
      <c r="G472" s="119"/>
      <c r="H472" s="120"/>
      <c r="I472" s="119"/>
      <c r="J472" s="119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4"/>
      <c r="AD472" s="237"/>
    </row>
    <row r="473">
      <c r="F473" s="119"/>
      <c r="G473" s="119"/>
      <c r="H473" s="120"/>
      <c r="I473" s="119"/>
      <c r="J473" s="119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4"/>
      <c r="AD473" s="237"/>
    </row>
    <row r="474">
      <c r="F474" s="119"/>
      <c r="G474" s="119"/>
      <c r="H474" s="120"/>
      <c r="I474" s="119"/>
      <c r="J474" s="119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4"/>
      <c r="AD474" s="237"/>
    </row>
    <row r="475">
      <c r="F475" s="119"/>
      <c r="G475" s="119"/>
      <c r="H475" s="120"/>
      <c r="I475" s="119"/>
      <c r="J475" s="119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4"/>
      <c r="AD475" s="237"/>
    </row>
    <row r="476">
      <c r="F476" s="119"/>
      <c r="G476" s="119"/>
      <c r="H476" s="120"/>
      <c r="I476" s="119"/>
      <c r="J476" s="119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4"/>
      <c r="AD476" s="237"/>
    </row>
    <row r="477">
      <c r="F477" s="119"/>
      <c r="G477" s="119"/>
      <c r="H477" s="120"/>
      <c r="I477" s="119"/>
      <c r="J477" s="119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4"/>
      <c r="AD477" s="237"/>
    </row>
    <row r="478">
      <c r="F478" s="119"/>
      <c r="G478" s="119"/>
      <c r="H478" s="120"/>
      <c r="I478" s="119"/>
      <c r="J478" s="119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4"/>
      <c r="AD478" s="237"/>
    </row>
    <row r="479">
      <c r="F479" s="119"/>
      <c r="G479" s="119"/>
      <c r="H479" s="120"/>
      <c r="I479" s="119"/>
      <c r="J479" s="119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4"/>
      <c r="AD479" s="237"/>
    </row>
    <row r="480">
      <c r="F480" s="119"/>
      <c r="G480" s="119"/>
      <c r="H480" s="120"/>
      <c r="I480" s="119"/>
      <c r="J480" s="119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4"/>
      <c r="AD480" s="237"/>
    </row>
    <row r="481">
      <c r="F481" s="119"/>
      <c r="G481" s="119"/>
      <c r="H481" s="120"/>
      <c r="I481" s="119"/>
      <c r="J481" s="119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4"/>
      <c r="AD481" s="237"/>
    </row>
    <row r="482">
      <c r="F482" s="119"/>
      <c r="G482" s="119"/>
      <c r="H482" s="120"/>
      <c r="I482" s="119"/>
      <c r="J482" s="119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4"/>
      <c r="AD482" s="237"/>
    </row>
    <row r="483">
      <c r="F483" s="119"/>
      <c r="G483" s="119"/>
      <c r="H483" s="120"/>
      <c r="I483" s="119"/>
      <c r="J483" s="119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4"/>
      <c r="AD483" s="237"/>
    </row>
    <row r="484">
      <c r="F484" s="119"/>
      <c r="G484" s="119"/>
      <c r="H484" s="120"/>
      <c r="I484" s="119"/>
      <c r="J484" s="119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4"/>
      <c r="AD484" s="237"/>
    </row>
    <row r="485">
      <c r="F485" s="119"/>
      <c r="G485" s="119"/>
      <c r="H485" s="120"/>
      <c r="I485" s="119"/>
      <c r="J485" s="119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4"/>
      <c r="AD485" s="237"/>
    </row>
    <row r="486">
      <c r="F486" s="119"/>
      <c r="G486" s="119"/>
      <c r="H486" s="120"/>
      <c r="I486" s="119"/>
      <c r="J486" s="119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4"/>
      <c r="AD486" s="237"/>
    </row>
    <row r="487">
      <c r="F487" s="119"/>
      <c r="G487" s="119"/>
      <c r="H487" s="120"/>
      <c r="I487" s="119"/>
      <c r="J487" s="119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4"/>
      <c r="AD487" s="237"/>
    </row>
    <row r="488">
      <c r="F488" s="119"/>
      <c r="G488" s="119"/>
      <c r="H488" s="120"/>
      <c r="I488" s="119"/>
      <c r="J488" s="119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4"/>
      <c r="AD488" s="237"/>
    </row>
    <row r="489">
      <c r="F489" s="119"/>
      <c r="G489" s="119"/>
      <c r="H489" s="120"/>
      <c r="I489" s="119"/>
      <c r="J489" s="119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4"/>
      <c r="AD489" s="237"/>
    </row>
    <row r="490">
      <c r="F490" s="119"/>
      <c r="G490" s="119"/>
      <c r="H490" s="120"/>
      <c r="I490" s="119"/>
      <c r="J490" s="119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4"/>
      <c r="AD490" s="237"/>
    </row>
    <row r="491">
      <c r="F491" s="119"/>
      <c r="G491" s="119"/>
      <c r="H491" s="120"/>
      <c r="I491" s="119"/>
      <c r="J491" s="119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4"/>
      <c r="AD491" s="237"/>
    </row>
    <row r="492">
      <c r="F492" s="119"/>
      <c r="G492" s="119"/>
      <c r="H492" s="120"/>
      <c r="I492" s="119"/>
      <c r="J492" s="119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4"/>
      <c r="AD492" s="237"/>
    </row>
    <row r="493">
      <c r="F493" s="119"/>
      <c r="G493" s="119"/>
      <c r="H493" s="120"/>
      <c r="I493" s="119"/>
      <c r="J493" s="119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4"/>
      <c r="AD493" s="237"/>
    </row>
    <row r="494">
      <c r="F494" s="119"/>
      <c r="G494" s="119"/>
      <c r="H494" s="120"/>
      <c r="I494" s="119"/>
      <c r="J494" s="119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4"/>
      <c r="AD494" s="237"/>
    </row>
    <row r="495">
      <c r="F495" s="119"/>
      <c r="G495" s="119"/>
      <c r="H495" s="120"/>
      <c r="I495" s="119"/>
      <c r="J495" s="119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4"/>
      <c r="AD495" s="237"/>
    </row>
    <row r="496">
      <c r="F496" s="119"/>
      <c r="G496" s="119"/>
      <c r="H496" s="120"/>
      <c r="I496" s="119"/>
      <c r="J496" s="119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4"/>
      <c r="AD496" s="237"/>
    </row>
    <row r="497">
      <c r="F497" s="119"/>
      <c r="G497" s="119"/>
      <c r="H497" s="120"/>
      <c r="I497" s="119"/>
      <c r="J497" s="119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4"/>
      <c r="AD497" s="237"/>
    </row>
    <row r="498">
      <c r="F498" s="119"/>
      <c r="G498" s="119"/>
      <c r="H498" s="120"/>
      <c r="I498" s="119"/>
      <c r="J498" s="119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4"/>
      <c r="AD498" s="237"/>
    </row>
    <row r="499">
      <c r="F499" s="119"/>
      <c r="G499" s="119"/>
      <c r="H499" s="120"/>
      <c r="I499" s="119"/>
      <c r="J499" s="119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4"/>
      <c r="AD499" s="237"/>
    </row>
    <row r="500">
      <c r="F500" s="119"/>
      <c r="G500" s="119"/>
      <c r="H500" s="120"/>
      <c r="I500" s="119"/>
      <c r="J500" s="119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4"/>
      <c r="AD500" s="237"/>
    </row>
    <row r="501">
      <c r="F501" s="119"/>
      <c r="G501" s="119"/>
      <c r="H501" s="120"/>
      <c r="I501" s="119"/>
      <c r="J501" s="119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4"/>
      <c r="AD501" s="237"/>
    </row>
    <row r="502">
      <c r="F502" s="119"/>
      <c r="G502" s="119"/>
      <c r="H502" s="120"/>
      <c r="I502" s="119"/>
      <c r="J502" s="119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4"/>
      <c r="AD502" s="237"/>
    </row>
    <row r="503">
      <c r="F503" s="119"/>
      <c r="G503" s="119"/>
      <c r="H503" s="120"/>
      <c r="I503" s="119"/>
      <c r="J503" s="119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4"/>
      <c r="AD503" s="237"/>
    </row>
    <row r="504">
      <c r="F504" s="119"/>
      <c r="G504" s="119"/>
      <c r="H504" s="120"/>
      <c r="I504" s="119"/>
      <c r="J504" s="119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4"/>
      <c r="AD504" s="237"/>
    </row>
    <row r="505">
      <c r="F505" s="119"/>
      <c r="G505" s="119"/>
      <c r="H505" s="120"/>
      <c r="I505" s="119"/>
      <c r="J505" s="119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4"/>
      <c r="AD505" s="237"/>
    </row>
    <row r="506">
      <c r="F506" s="119"/>
      <c r="G506" s="119"/>
      <c r="H506" s="120"/>
      <c r="I506" s="119"/>
      <c r="J506" s="119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4"/>
      <c r="AD506" s="237"/>
    </row>
    <row r="507">
      <c r="F507" s="119"/>
      <c r="G507" s="119"/>
      <c r="H507" s="120"/>
      <c r="I507" s="119"/>
      <c r="J507" s="119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4"/>
      <c r="AD507" s="237"/>
    </row>
    <row r="508">
      <c r="F508" s="119"/>
      <c r="G508" s="119"/>
      <c r="H508" s="120"/>
      <c r="I508" s="119"/>
      <c r="J508" s="119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4"/>
      <c r="AD508" s="237"/>
    </row>
    <row r="509">
      <c r="F509" s="119"/>
      <c r="G509" s="119"/>
      <c r="H509" s="120"/>
      <c r="I509" s="119"/>
      <c r="J509" s="119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4"/>
      <c r="AD509" s="237"/>
    </row>
    <row r="510">
      <c r="F510" s="119"/>
      <c r="G510" s="119"/>
      <c r="H510" s="120"/>
      <c r="I510" s="119"/>
      <c r="J510" s="119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4"/>
      <c r="AD510" s="237"/>
    </row>
    <row r="511">
      <c r="F511" s="119"/>
      <c r="G511" s="119"/>
      <c r="H511" s="120"/>
      <c r="I511" s="119"/>
      <c r="J511" s="119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4"/>
      <c r="AD511" s="237"/>
    </row>
    <row r="512">
      <c r="F512" s="119"/>
      <c r="G512" s="119"/>
      <c r="H512" s="120"/>
      <c r="I512" s="119"/>
      <c r="J512" s="119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4"/>
      <c r="AD512" s="237"/>
    </row>
    <row r="513">
      <c r="F513" s="119"/>
      <c r="G513" s="119"/>
      <c r="H513" s="120"/>
      <c r="I513" s="119"/>
      <c r="J513" s="119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4"/>
      <c r="AD513" s="237"/>
    </row>
    <row r="514">
      <c r="F514" s="119"/>
      <c r="G514" s="119"/>
      <c r="H514" s="120"/>
      <c r="I514" s="119"/>
      <c r="J514" s="119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4"/>
      <c r="AD514" s="237"/>
    </row>
    <row r="515">
      <c r="F515" s="119"/>
      <c r="G515" s="119"/>
      <c r="H515" s="120"/>
      <c r="I515" s="119"/>
      <c r="J515" s="119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4"/>
      <c r="AD515" s="237"/>
    </row>
    <row r="516">
      <c r="F516" s="119"/>
      <c r="G516" s="119"/>
      <c r="H516" s="120"/>
      <c r="I516" s="119"/>
      <c r="J516" s="119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4"/>
      <c r="AD516" s="237"/>
    </row>
    <row r="517">
      <c r="F517" s="119"/>
      <c r="G517" s="119"/>
      <c r="H517" s="120"/>
      <c r="I517" s="119"/>
      <c r="J517" s="119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4"/>
      <c r="AD517" s="237"/>
    </row>
    <row r="518">
      <c r="F518" s="119"/>
      <c r="G518" s="119"/>
      <c r="H518" s="120"/>
      <c r="I518" s="119"/>
      <c r="J518" s="119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4"/>
      <c r="AD518" s="237"/>
    </row>
    <row r="519">
      <c r="F519" s="119"/>
      <c r="G519" s="119"/>
      <c r="H519" s="120"/>
      <c r="I519" s="119"/>
      <c r="J519" s="119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4"/>
      <c r="AD519" s="237"/>
    </row>
    <row r="520">
      <c r="F520" s="119"/>
      <c r="G520" s="119"/>
      <c r="H520" s="120"/>
      <c r="I520" s="119"/>
      <c r="J520" s="119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4"/>
      <c r="AD520" s="237"/>
    </row>
    <row r="521">
      <c r="F521" s="119"/>
      <c r="G521" s="119"/>
      <c r="H521" s="120"/>
      <c r="I521" s="119"/>
      <c r="J521" s="119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4"/>
      <c r="AD521" s="237"/>
    </row>
    <row r="522">
      <c r="F522" s="119"/>
      <c r="G522" s="119"/>
      <c r="H522" s="120"/>
      <c r="I522" s="119"/>
      <c r="J522" s="119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4"/>
      <c r="AD522" s="237"/>
    </row>
    <row r="523">
      <c r="F523" s="119"/>
      <c r="G523" s="119"/>
      <c r="H523" s="120"/>
      <c r="I523" s="119"/>
      <c r="J523" s="119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4"/>
      <c r="AD523" s="237"/>
    </row>
    <row r="524">
      <c r="F524" s="119"/>
      <c r="G524" s="119"/>
      <c r="H524" s="120"/>
      <c r="I524" s="119"/>
      <c r="J524" s="119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4"/>
      <c r="AD524" s="237"/>
    </row>
    <row r="525">
      <c r="F525" s="119"/>
      <c r="G525" s="119"/>
      <c r="H525" s="120"/>
      <c r="I525" s="119"/>
      <c r="J525" s="119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4"/>
      <c r="AD525" s="237"/>
    </row>
    <row r="526">
      <c r="F526" s="119"/>
      <c r="G526" s="119"/>
      <c r="H526" s="120"/>
      <c r="I526" s="119"/>
      <c r="J526" s="119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4"/>
      <c r="AD526" s="237"/>
    </row>
    <row r="527">
      <c r="F527" s="119"/>
      <c r="G527" s="119"/>
      <c r="H527" s="120"/>
      <c r="I527" s="119"/>
      <c r="J527" s="119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4"/>
      <c r="AD527" s="237"/>
    </row>
    <row r="528">
      <c r="F528" s="119"/>
      <c r="G528" s="119"/>
      <c r="H528" s="120"/>
      <c r="I528" s="119"/>
      <c r="J528" s="119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4"/>
      <c r="AD528" s="237"/>
    </row>
    <row r="529">
      <c r="F529" s="119"/>
      <c r="G529" s="119"/>
      <c r="H529" s="120"/>
      <c r="I529" s="119"/>
      <c r="J529" s="119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4"/>
      <c r="AD529" s="237"/>
    </row>
    <row r="530">
      <c r="F530" s="119"/>
      <c r="G530" s="119"/>
      <c r="H530" s="120"/>
      <c r="I530" s="119"/>
      <c r="J530" s="119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4"/>
      <c r="AD530" s="237"/>
    </row>
    <row r="531">
      <c r="F531" s="119"/>
      <c r="G531" s="119"/>
      <c r="H531" s="120"/>
      <c r="I531" s="119"/>
      <c r="J531" s="119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4"/>
      <c r="AD531" s="237"/>
    </row>
    <row r="532">
      <c r="F532" s="119"/>
      <c r="G532" s="119"/>
      <c r="H532" s="120"/>
      <c r="I532" s="119"/>
      <c r="J532" s="119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4"/>
      <c r="AD532" s="237"/>
    </row>
    <row r="533">
      <c r="F533" s="119"/>
      <c r="G533" s="119"/>
      <c r="H533" s="120"/>
      <c r="I533" s="119"/>
      <c r="J533" s="119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4"/>
      <c r="AD533" s="237"/>
    </row>
    <row r="534">
      <c r="F534" s="119"/>
      <c r="G534" s="119"/>
      <c r="H534" s="120"/>
      <c r="I534" s="119"/>
      <c r="J534" s="119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4"/>
      <c r="AD534" s="237"/>
    </row>
    <row r="535">
      <c r="F535" s="119"/>
      <c r="G535" s="119"/>
      <c r="H535" s="120"/>
      <c r="I535" s="119"/>
      <c r="J535" s="119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4"/>
      <c r="AD535" s="237"/>
    </row>
    <row r="536">
      <c r="F536" s="119"/>
      <c r="G536" s="119"/>
      <c r="H536" s="120"/>
      <c r="I536" s="119"/>
      <c r="J536" s="119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4"/>
      <c r="AD536" s="237"/>
    </row>
    <row r="537">
      <c r="F537" s="119"/>
      <c r="G537" s="119"/>
      <c r="H537" s="120"/>
      <c r="I537" s="119"/>
      <c r="J537" s="119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4"/>
      <c r="AD537" s="237"/>
    </row>
    <row r="538">
      <c r="F538" s="119"/>
      <c r="G538" s="119"/>
      <c r="H538" s="120"/>
      <c r="I538" s="119"/>
      <c r="J538" s="119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4"/>
      <c r="AD538" s="237"/>
    </row>
    <row r="539">
      <c r="F539" s="119"/>
      <c r="G539" s="119"/>
      <c r="H539" s="120"/>
      <c r="I539" s="119"/>
      <c r="J539" s="119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4"/>
      <c r="AD539" s="237"/>
    </row>
    <row r="540">
      <c r="F540" s="119"/>
      <c r="G540" s="119"/>
      <c r="H540" s="120"/>
      <c r="I540" s="119"/>
      <c r="J540" s="119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4"/>
      <c r="AD540" s="237"/>
    </row>
    <row r="541">
      <c r="F541" s="119"/>
      <c r="G541" s="119"/>
      <c r="H541" s="120"/>
      <c r="I541" s="119"/>
      <c r="J541" s="119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4"/>
      <c r="AD541" s="237"/>
    </row>
    <row r="542">
      <c r="F542" s="119"/>
      <c r="G542" s="119"/>
      <c r="H542" s="120"/>
      <c r="I542" s="119"/>
      <c r="J542" s="119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4"/>
      <c r="AD542" s="237"/>
    </row>
    <row r="543">
      <c r="F543" s="119"/>
      <c r="G543" s="119"/>
      <c r="H543" s="120"/>
      <c r="I543" s="119"/>
      <c r="J543" s="119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4"/>
      <c r="AD543" s="237"/>
    </row>
    <row r="544">
      <c r="F544" s="119"/>
      <c r="G544" s="119"/>
      <c r="H544" s="120"/>
      <c r="I544" s="119"/>
      <c r="J544" s="119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4"/>
      <c r="AD544" s="237"/>
    </row>
    <row r="545">
      <c r="F545" s="119"/>
      <c r="G545" s="119"/>
      <c r="H545" s="120"/>
      <c r="I545" s="119"/>
      <c r="J545" s="119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4"/>
      <c r="AD545" s="237"/>
    </row>
    <row r="546">
      <c r="F546" s="119"/>
      <c r="G546" s="119"/>
      <c r="H546" s="120"/>
      <c r="I546" s="119"/>
      <c r="J546" s="119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4"/>
      <c r="AD546" s="237"/>
    </row>
    <row r="547">
      <c r="F547" s="119"/>
      <c r="G547" s="119"/>
      <c r="H547" s="120"/>
      <c r="I547" s="119"/>
      <c r="J547" s="119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4"/>
      <c r="AD547" s="237"/>
    </row>
    <row r="548">
      <c r="F548" s="119"/>
      <c r="G548" s="119"/>
      <c r="H548" s="120"/>
      <c r="I548" s="119"/>
      <c r="J548" s="119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4"/>
      <c r="AD548" s="237"/>
    </row>
    <row r="549">
      <c r="F549" s="119"/>
      <c r="G549" s="119"/>
      <c r="H549" s="120"/>
      <c r="I549" s="119"/>
      <c r="J549" s="119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4"/>
      <c r="AD549" s="237"/>
    </row>
    <row r="550">
      <c r="F550" s="119"/>
      <c r="G550" s="119"/>
      <c r="H550" s="120"/>
      <c r="I550" s="119"/>
      <c r="J550" s="119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4"/>
      <c r="AD550" s="237"/>
    </row>
    <row r="551">
      <c r="F551" s="119"/>
      <c r="G551" s="119"/>
      <c r="H551" s="120"/>
      <c r="I551" s="119"/>
      <c r="J551" s="119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4"/>
      <c r="AD551" s="237"/>
    </row>
    <row r="552">
      <c r="F552" s="119"/>
      <c r="G552" s="119"/>
      <c r="H552" s="120"/>
      <c r="I552" s="119"/>
      <c r="J552" s="119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4"/>
      <c r="AD552" s="237"/>
    </row>
    <row r="553">
      <c r="F553" s="119"/>
      <c r="G553" s="119"/>
      <c r="H553" s="120"/>
      <c r="I553" s="119"/>
      <c r="J553" s="119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4"/>
      <c r="AD553" s="237"/>
    </row>
    <row r="554">
      <c r="F554" s="119"/>
      <c r="G554" s="119"/>
      <c r="H554" s="120"/>
      <c r="I554" s="119"/>
      <c r="J554" s="119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4"/>
      <c r="AD554" s="237"/>
    </row>
    <row r="555">
      <c r="F555" s="119"/>
      <c r="G555" s="119"/>
      <c r="H555" s="120"/>
      <c r="I555" s="119"/>
      <c r="J555" s="119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4"/>
      <c r="AD555" s="237"/>
    </row>
    <row r="556">
      <c r="F556" s="119"/>
      <c r="G556" s="119"/>
      <c r="H556" s="120"/>
      <c r="I556" s="119"/>
      <c r="J556" s="119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4"/>
      <c r="AD556" s="237"/>
    </row>
    <row r="557">
      <c r="F557" s="119"/>
      <c r="G557" s="119"/>
      <c r="H557" s="120"/>
      <c r="I557" s="119"/>
      <c r="J557" s="119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4"/>
      <c r="AD557" s="237"/>
    </row>
    <row r="558">
      <c r="F558" s="119"/>
      <c r="G558" s="119"/>
      <c r="H558" s="120"/>
      <c r="I558" s="119"/>
      <c r="J558" s="119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4"/>
      <c r="AD558" s="237"/>
    </row>
    <row r="559">
      <c r="F559" s="119"/>
      <c r="G559" s="119"/>
      <c r="H559" s="120"/>
      <c r="I559" s="119"/>
      <c r="J559" s="119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4"/>
      <c r="AD559" s="237"/>
    </row>
    <row r="560">
      <c r="F560" s="119"/>
      <c r="G560" s="119"/>
      <c r="H560" s="120"/>
      <c r="I560" s="119"/>
      <c r="J560" s="119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4"/>
      <c r="AD560" s="237"/>
    </row>
    <row r="561">
      <c r="F561" s="119"/>
      <c r="G561" s="119"/>
      <c r="H561" s="120"/>
      <c r="I561" s="119"/>
      <c r="J561" s="119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4"/>
      <c r="AD561" s="237"/>
    </row>
    <row r="562">
      <c r="F562" s="119"/>
      <c r="G562" s="119"/>
      <c r="H562" s="120"/>
      <c r="I562" s="119"/>
      <c r="J562" s="119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4"/>
      <c r="AD562" s="237"/>
    </row>
    <row r="563">
      <c r="F563" s="119"/>
      <c r="G563" s="119"/>
      <c r="H563" s="120"/>
      <c r="I563" s="119"/>
      <c r="J563" s="119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4"/>
      <c r="AD563" s="237"/>
    </row>
    <row r="564">
      <c r="F564" s="119"/>
      <c r="G564" s="119"/>
      <c r="H564" s="120"/>
      <c r="I564" s="119"/>
      <c r="J564" s="119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4"/>
      <c r="AD564" s="237"/>
    </row>
    <row r="565">
      <c r="F565" s="119"/>
      <c r="G565" s="119"/>
      <c r="H565" s="120"/>
      <c r="I565" s="119"/>
      <c r="J565" s="119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4"/>
      <c r="AD565" s="237"/>
    </row>
    <row r="566">
      <c r="F566" s="119"/>
      <c r="G566" s="119"/>
      <c r="H566" s="120"/>
      <c r="I566" s="119"/>
      <c r="J566" s="119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4"/>
      <c r="AD566" s="237"/>
    </row>
    <row r="567">
      <c r="F567" s="119"/>
      <c r="G567" s="119"/>
      <c r="H567" s="120"/>
      <c r="I567" s="119"/>
      <c r="J567" s="119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4"/>
      <c r="AD567" s="237"/>
    </row>
    <row r="568">
      <c r="F568" s="119"/>
      <c r="G568" s="119"/>
      <c r="H568" s="120"/>
      <c r="I568" s="119"/>
      <c r="J568" s="119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4"/>
      <c r="AD568" s="237"/>
    </row>
    <row r="569">
      <c r="F569" s="119"/>
      <c r="G569" s="119"/>
      <c r="H569" s="120"/>
      <c r="I569" s="119"/>
      <c r="J569" s="119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4"/>
      <c r="AD569" s="237"/>
    </row>
    <row r="570">
      <c r="F570" s="119"/>
      <c r="G570" s="119"/>
      <c r="H570" s="120"/>
      <c r="I570" s="119"/>
      <c r="J570" s="119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4"/>
      <c r="AD570" s="237"/>
    </row>
    <row r="571">
      <c r="F571" s="119"/>
      <c r="G571" s="119"/>
      <c r="H571" s="120"/>
      <c r="I571" s="119"/>
      <c r="J571" s="119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4"/>
      <c r="AD571" s="237"/>
    </row>
    <row r="572">
      <c r="F572" s="119"/>
      <c r="G572" s="119"/>
      <c r="H572" s="120"/>
      <c r="I572" s="119"/>
      <c r="J572" s="119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4"/>
      <c r="AD572" s="237"/>
    </row>
    <row r="573">
      <c r="F573" s="119"/>
      <c r="G573" s="119"/>
      <c r="H573" s="120"/>
      <c r="I573" s="119"/>
      <c r="J573" s="119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4"/>
      <c r="AD573" s="237"/>
    </row>
    <row r="574">
      <c r="F574" s="119"/>
      <c r="G574" s="119"/>
      <c r="H574" s="120"/>
      <c r="I574" s="119"/>
      <c r="J574" s="119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4"/>
      <c r="AD574" s="237"/>
    </row>
    <row r="575">
      <c r="F575" s="119"/>
      <c r="G575" s="119"/>
      <c r="H575" s="120"/>
      <c r="I575" s="119"/>
      <c r="J575" s="119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4"/>
      <c r="AD575" s="237"/>
    </row>
    <row r="576">
      <c r="F576" s="119"/>
      <c r="G576" s="119"/>
      <c r="H576" s="120"/>
      <c r="I576" s="119"/>
      <c r="J576" s="119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4"/>
      <c r="AD576" s="237"/>
    </row>
    <row r="577">
      <c r="F577" s="119"/>
      <c r="G577" s="119"/>
      <c r="H577" s="120"/>
      <c r="I577" s="119"/>
      <c r="J577" s="119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4"/>
      <c r="AD577" s="237"/>
    </row>
    <row r="578">
      <c r="F578" s="119"/>
      <c r="G578" s="119"/>
      <c r="H578" s="120"/>
      <c r="I578" s="119"/>
      <c r="J578" s="119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4"/>
      <c r="AD578" s="237"/>
    </row>
    <row r="579">
      <c r="F579" s="119"/>
      <c r="G579" s="119"/>
      <c r="H579" s="120"/>
      <c r="I579" s="119"/>
      <c r="J579" s="119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4"/>
      <c r="AD579" s="237"/>
    </row>
    <row r="580">
      <c r="F580" s="119"/>
      <c r="G580" s="119"/>
      <c r="H580" s="120"/>
      <c r="I580" s="119"/>
      <c r="J580" s="119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4"/>
      <c r="AD580" s="237"/>
    </row>
    <row r="581">
      <c r="F581" s="119"/>
      <c r="G581" s="119"/>
      <c r="H581" s="120"/>
      <c r="I581" s="119"/>
      <c r="J581" s="119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4"/>
      <c r="AD581" s="237"/>
    </row>
    <row r="582">
      <c r="F582" s="119"/>
      <c r="G582" s="119"/>
      <c r="H582" s="120"/>
      <c r="I582" s="119"/>
      <c r="J582" s="119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4"/>
      <c r="AD582" s="237"/>
    </row>
    <row r="583">
      <c r="F583" s="119"/>
      <c r="G583" s="119"/>
      <c r="H583" s="120"/>
      <c r="I583" s="119"/>
      <c r="J583" s="119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4"/>
      <c r="AD583" s="237"/>
    </row>
    <row r="584">
      <c r="F584" s="119"/>
      <c r="G584" s="119"/>
      <c r="H584" s="120"/>
      <c r="I584" s="119"/>
      <c r="J584" s="119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4"/>
      <c r="AD584" s="237"/>
    </row>
    <row r="585">
      <c r="F585" s="119"/>
      <c r="G585" s="119"/>
      <c r="H585" s="120"/>
      <c r="I585" s="119"/>
      <c r="J585" s="119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4"/>
      <c r="AD585" s="237"/>
    </row>
    <row r="586">
      <c r="F586" s="119"/>
      <c r="G586" s="119"/>
      <c r="H586" s="120"/>
      <c r="I586" s="119"/>
      <c r="J586" s="119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4"/>
      <c r="AD586" s="237"/>
    </row>
    <row r="587">
      <c r="F587" s="119"/>
      <c r="G587" s="119"/>
      <c r="H587" s="120"/>
      <c r="I587" s="119"/>
      <c r="J587" s="119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4"/>
      <c r="AD587" s="237"/>
    </row>
    <row r="588">
      <c r="F588" s="119"/>
      <c r="G588" s="119"/>
      <c r="H588" s="120"/>
      <c r="I588" s="119"/>
      <c r="J588" s="119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4"/>
      <c r="AD588" s="237"/>
    </row>
    <row r="589">
      <c r="F589" s="119"/>
      <c r="G589" s="119"/>
      <c r="H589" s="120"/>
      <c r="I589" s="119"/>
      <c r="J589" s="119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4"/>
      <c r="AD589" s="237"/>
    </row>
    <row r="590">
      <c r="F590" s="119"/>
      <c r="G590" s="119"/>
      <c r="H590" s="120"/>
      <c r="I590" s="119"/>
      <c r="J590" s="119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4"/>
      <c r="AD590" s="237"/>
    </row>
    <row r="591">
      <c r="F591" s="119"/>
      <c r="G591" s="119"/>
      <c r="H591" s="120"/>
      <c r="I591" s="119"/>
      <c r="J591" s="119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4"/>
      <c r="AD591" s="237"/>
    </row>
    <row r="592">
      <c r="F592" s="119"/>
      <c r="G592" s="119"/>
      <c r="H592" s="120"/>
      <c r="I592" s="119"/>
      <c r="J592" s="119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4"/>
      <c r="AD592" s="237"/>
    </row>
    <row r="593">
      <c r="F593" s="119"/>
      <c r="G593" s="119"/>
      <c r="H593" s="120"/>
      <c r="I593" s="119"/>
      <c r="J593" s="119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4"/>
      <c r="AD593" s="237"/>
    </row>
    <row r="594">
      <c r="F594" s="119"/>
      <c r="G594" s="119"/>
      <c r="H594" s="120"/>
      <c r="I594" s="119"/>
      <c r="J594" s="119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4"/>
      <c r="AD594" s="237"/>
    </row>
    <row r="595">
      <c r="F595" s="119"/>
      <c r="G595" s="119"/>
      <c r="H595" s="120"/>
      <c r="I595" s="119"/>
      <c r="J595" s="119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4"/>
      <c r="AD595" s="237"/>
    </row>
    <row r="596">
      <c r="F596" s="119"/>
      <c r="G596" s="119"/>
      <c r="H596" s="120"/>
      <c r="I596" s="119"/>
      <c r="J596" s="119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4"/>
      <c r="AD596" s="237"/>
    </row>
    <row r="597">
      <c r="F597" s="119"/>
      <c r="G597" s="119"/>
      <c r="H597" s="120"/>
      <c r="I597" s="119"/>
      <c r="J597" s="119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4"/>
      <c r="AD597" s="237"/>
    </row>
    <row r="598">
      <c r="F598" s="119"/>
      <c r="G598" s="119"/>
      <c r="H598" s="120"/>
      <c r="I598" s="119"/>
      <c r="J598" s="119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4"/>
      <c r="AD598" s="237"/>
    </row>
    <row r="599">
      <c r="F599" s="119"/>
      <c r="G599" s="119"/>
      <c r="H599" s="120"/>
      <c r="I599" s="119"/>
      <c r="J599" s="119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4"/>
      <c r="AD599" s="237"/>
    </row>
    <row r="600">
      <c r="F600" s="119"/>
      <c r="G600" s="119"/>
      <c r="H600" s="120"/>
      <c r="I600" s="119"/>
      <c r="J600" s="119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4"/>
      <c r="AD600" s="237"/>
    </row>
    <row r="601">
      <c r="F601" s="119"/>
      <c r="G601" s="119"/>
      <c r="H601" s="120"/>
      <c r="I601" s="119"/>
      <c r="J601" s="119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4"/>
      <c r="AD601" s="237"/>
    </row>
    <row r="602">
      <c r="F602" s="119"/>
      <c r="G602" s="119"/>
      <c r="H602" s="120"/>
      <c r="I602" s="119"/>
      <c r="J602" s="119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4"/>
      <c r="AD602" s="237"/>
    </row>
    <row r="603">
      <c r="F603" s="119"/>
      <c r="G603" s="119"/>
      <c r="H603" s="120"/>
      <c r="I603" s="119"/>
      <c r="J603" s="119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4"/>
      <c r="AD603" s="237"/>
    </row>
    <row r="604">
      <c r="F604" s="119"/>
      <c r="G604" s="119"/>
      <c r="H604" s="120"/>
      <c r="I604" s="119"/>
      <c r="J604" s="119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4"/>
      <c r="AD604" s="237"/>
    </row>
    <row r="605">
      <c r="F605" s="119"/>
      <c r="G605" s="119"/>
      <c r="H605" s="120"/>
      <c r="I605" s="119"/>
      <c r="J605" s="119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4"/>
      <c r="AD605" s="237"/>
    </row>
    <row r="606">
      <c r="F606" s="119"/>
      <c r="G606" s="119"/>
      <c r="H606" s="120"/>
      <c r="I606" s="119"/>
      <c r="J606" s="119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4"/>
      <c r="AD606" s="237"/>
    </row>
    <row r="607">
      <c r="F607" s="119"/>
      <c r="G607" s="119"/>
      <c r="H607" s="120"/>
      <c r="I607" s="119"/>
      <c r="J607" s="119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4"/>
      <c r="AD607" s="237"/>
    </row>
    <row r="608">
      <c r="F608" s="119"/>
      <c r="G608" s="119"/>
      <c r="H608" s="120"/>
      <c r="I608" s="119"/>
      <c r="J608" s="119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4"/>
      <c r="AD608" s="237"/>
    </row>
    <row r="609">
      <c r="F609" s="119"/>
      <c r="G609" s="119"/>
      <c r="H609" s="120"/>
      <c r="I609" s="119"/>
      <c r="J609" s="119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4"/>
      <c r="AD609" s="237"/>
    </row>
    <row r="610">
      <c r="F610" s="119"/>
      <c r="G610" s="119"/>
      <c r="H610" s="120"/>
      <c r="I610" s="119"/>
      <c r="J610" s="119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4"/>
      <c r="AD610" s="237"/>
    </row>
    <row r="611">
      <c r="F611" s="119"/>
      <c r="G611" s="119"/>
      <c r="H611" s="120"/>
      <c r="I611" s="119"/>
      <c r="J611" s="119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4"/>
      <c r="AD611" s="237"/>
    </row>
    <row r="612">
      <c r="F612" s="119"/>
      <c r="G612" s="119"/>
      <c r="H612" s="120"/>
      <c r="I612" s="119"/>
      <c r="J612" s="119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4"/>
      <c r="AD612" s="237"/>
    </row>
    <row r="613">
      <c r="F613" s="119"/>
      <c r="G613" s="119"/>
      <c r="H613" s="120"/>
      <c r="I613" s="119"/>
      <c r="J613" s="119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4"/>
      <c r="AD613" s="237"/>
    </row>
    <row r="614">
      <c r="F614" s="119"/>
      <c r="G614" s="119"/>
      <c r="H614" s="120"/>
      <c r="I614" s="119"/>
      <c r="J614" s="119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4"/>
      <c r="AD614" s="237"/>
    </row>
    <row r="615">
      <c r="F615" s="119"/>
      <c r="G615" s="119"/>
      <c r="H615" s="120"/>
      <c r="I615" s="119"/>
      <c r="J615" s="119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4"/>
      <c r="AD615" s="237"/>
    </row>
    <row r="616">
      <c r="F616" s="119"/>
      <c r="G616" s="119"/>
      <c r="H616" s="120"/>
      <c r="I616" s="119"/>
      <c r="J616" s="119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4"/>
      <c r="AD616" s="237"/>
    </row>
    <row r="617">
      <c r="F617" s="119"/>
      <c r="G617" s="119"/>
      <c r="H617" s="120"/>
      <c r="I617" s="119"/>
      <c r="J617" s="119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4"/>
      <c r="AD617" s="237"/>
    </row>
    <row r="618">
      <c r="F618" s="119"/>
      <c r="G618" s="119"/>
      <c r="H618" s="120"/>
      <c r="I618" s="119"/>
      <c r="J618" s="119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4"/>
      <c r="AD618" s="237"/>
    </row>
    <row r="619">
      <c r="F619" s="119"/>
      <c r="G619" s="119"/>
      <c r="H619" s="120"/>
      <c r="I619" s="119"/>
      <c r="J619" s="119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4"/>
      <c r="AD619" s="237"/>
    </row>
    <row r="620">
      <c r="F620" s="119"/>
      <c r="G620" s="119"/>
      <c r="H620" s="120"/>
      <c r="I620" s="119"/>
      <c r="J620" s="119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4"/>
      <c r="AD620" s="237"/>
    </row>
    <row r="621">
      <c r="F621" s="119"/>
      <c r="G621" s="119"/>
      <c r="H621" s="120"/>
      <c r="I621" s="119"/>
      <c r="J621" s="119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4"/>
      <c r="AD621" s="237"/>
    </row>
    <row r="622">
      <c r="F622" s="119"/>
      <c r="G622" s="119"/>
      <c r="H622" s="120"/>
      <c r="I622" s="119"/>
      <c r="J622" s="119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4"/>
      <c r="AD622" s="237"/>
    </row>
    <row r="623">
      <c r="F623" s="119"/>
      <c r="G623" s="119"/>
      <c r="H623" s="120"/>
      <c r="I623" s="119"/>
      <c r="J623" s="119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4"/>
      <c r="AD623" s="237"/>
    </row>
    <row r="624">
      <c r="F624" s="119"/>
      <c r="G624" s="119"/>
      <c r="H624" s="120"/>
      <c r="I624" s="119"/>
      <c r="J624" s="119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4"/>
      <c r="AD624" s="237"/>
    </row>
    <row r="625">
      <c r="F625" s="119"/>
      <c r="G625" s="119"/>
      <c r="H625" s="120"/>
      <c r="I625" s="119"/>
      <c r="J625" s="119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4"/>
      <c r="AD625" s="237"/>
    </row>
    <row r="626">
      <c r="F626" s="119"/>
      <c r="G626" s="119"/>
      <c r="H626" s="120"/>
      <c r="I626" s="119"/>
      <c r="J626" s="119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4"/>
      <c r="AD626" s="237"/>
    </row>
    <row r="627">
      <c r="F627" s="119"/>
      <c r="G627" s="119"/>
      <c r="H627" s="120"/>
      <c r="I627" s="119"/>
      <c r="J627" s="119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4"/>
      <c r="AD627" s="237"/>
    </row>
    <row r="628">
      <c r="F628" s="119"/>
      <c r="G628" s="119"/>
      <c r="H628" s="120"/>
      <c r="I628" s="119"/>
      <c r="J628" s="119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4"/>
      <c r="AD628" s="237"/>
    </row>
    <row r="629">
      <c r="F629" s="119"/>
      <c r="G629" s="119"/>
      <c r="H629" s="120"/>
      <c r="I629" s="119"/>
      <c r="J629" s="119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4"/>
      <c r="AD629" s="237"/>
    </row>
    <row r="630">
      <c r="F630" s="119"/>
      <c r="G630" s="119"/>
      <c r="H630" s="120"/>
      <c r="I630" s="119"/>
      <c r="J630" s="119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4"/>
      <c r="AD630" s="237"/>
    </row>
    <row r="631">
      <c r="F631" s="119"/>
      <c r="G631" s="119"/>
      <c r="H631" s="120"/>
      <c r="I631" s="119"/>
      <c r="J631" s="119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4"/>
      <c r="AD631" s="237"/>
    </row>
    <row r="632">
      <c r="F632" s="119"/>
      <c r="G632" s="119"/>
      <c r="H632" s="120"/>
      <c r="I632" s="119"/>
      <c r="J632" s="119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4"/>
      <c r="AD632" s="237"/>
    </row>
    <row r="633">
      <c r="F633" s="119"/>
      <c r="G633" s="119"/>
      <c r="H633" s="120"/>
      <c r="I633" s="119"/>
      <c r="J633" s="119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4"/>
      <c r="AD633" s="237"/>
    </row>
    <row r="634">
      <c r="F634" s="119"/>
      <c r="G634" s="119"/>
      <c r="H634" s="120"/>
      <c r="I634" s="119"/>
      <c r="J634" s="119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4"/>
      <c r="AD634" s="237"/>
    </row>
    <row r="635">
      <c r="F635" s="119"/>
      <c r="G635" s="119"/>
      <c r="H635" s="120"/>
      <c r="I635" s="119"/>
      <c r="J635" s="119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4"/>
      <c r="AD635" s="237"/>
    </row>
    <row r="636">
      <c r="F636" s="119"/>
      <c r="G636" s="119"/>
      <c r="H636" s="120"/>
      <c r="I636" s="119"/>
      <c r="J636" s="119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4"/>
      <c r="AD636" s="237"/>
    </row>
    <row r="637">
      <c r="F637" s="119"/>
      <c r="G637" s="119"/>
      <c r="H637" s="120"/>
      <c r="I637" s="119"/>
      <c r="J637" s="119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4"/>
      <c r="AD637" s="237"/>
    </row>
    <row r="638">
      <c r="F638" s="119"/>
      <c r="G638" s="119"/>
      <c r="H638" s="120"/>
      <c r="I638" s="119"/>
      <c r="J638" s="119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4"/>
      <c r="AD638" s="237"/>
    </row>
    <row r="639">
      <c r="F639" s="119"/>
      <c r="G639" s="119"/>
      <c r="H639" s="120"/>
      <c r="I639" s="119"/>
      <c r="J639" s="119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4"/>
      <c r="AD639" s="237"/>
    </row>
    <row r="640">
      <c r="F640" s="119"/>
      <c r="G640" s="119"/>
      <c r="H640" s="120"/>
      <c r="I640" s="119"/>
      <c r="J640" s="119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4"/>
      <c r="AD640" s="237"/>
    </row>
    <row r="641">
      <c r="F641" s="119"/>
      <c r="G641" s="119"/>
      <c r="H641" s="120"/>
      <c r="I641" s="119"/>
      <c r="J641" s="119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4"/>
      <c r="AD641" s="237"/>
    </row>
    <row r="642">
      <c r="F642" s="119"/>
      <c r="G642" s="119"/>
      <c r="H642" s="120"/>
      <c r="I642" s="119"/>
      <c r="J642" s="119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4"/>
      <c r="AD642" s="237"/>
    </row>
    <row r="643">
      <c r="F643" s="119"/>
      <c r="G643" s="119"/>
      <c r="H643" s="120"/>
      <c r="I643" s="119"/>
      <c r="J643" s="119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4"/>
      <c r="AD643" s="237"/>
    </row>
    <row r="644">
      <c r="F644" s="119"/>
      <c r="G644" s="119"/>
      <c r="H644" s="120"/>
      <c r="I644" s="119"/>
      <c r="J644" s="119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4"/>
      <c r="AD644" s="237"/>
    </row>
    <row r="645">
      <c r="F645" s="119"/>
      <c r="G645" s="119"/>
      <c r="H645" s="120"/>
      <c r="I645" s="119"/>
      <c r="J645" s="119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4"/>
      <c r="AD645" s="237"/>
    </row>
    <row r="646">
      <c r="F646" s="119"/>
      <c r="G646" s="119"/>
      <c r="H646" s="120"/>
      <c r="I646" s="119"/>
      <c r="J646" s="119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4"/>
      <c r="AD646" s="237"/>
    </row>
    <row r="647">
      <c r="F647" s="119"/>
      <c r="G647" s="119"/>
      <c r="H647" s="120"/>
      <c r="I647" s="119"/>
      <c r="J647" s="119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4"/>
      <c r="AD647" s="237"/>
    </row>
    <row r="648">
      <c r="F648" s="119"/>
      <c r="G648" s="119"/>
      <c r="H648" s="120"/>
      <c r="I648" s="119"/>
      <c r="J648" s="119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4"/>
      <c r="AD648" s="237"/>
    </row>
    <row r="649">
      <c r="F649" s="119"/>
      <c r="G649" s="119"/>
      <c r="H649" s="120"/>
      <c r="I649" s="119"/>
      <c r="J649" s="119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4"/>
      <c r="AD649" s="237"/>
    </row>
    <row r="650">
      <c r="F650" s="119"/>
      <c r="G650" s="119"/>
      <c r="H650" s="120"/>
      <c r="I650" s="119"/>
      <c r="J650" s="119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4"/>
      <c r="AD650" s="237"/>
    </row>
    <row r="651">
      <c r="F651" s="119"/>
      <c r="G651" s="119"/>
      <c r="H651" s="120"/>
      <c r="I651" s="119"/>
      <c r="J651" s="119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4"/>
      <c r="AD651" s="237"/>
    </row>
    <row r="652">
      <c r="F652" s="119"/>
      <c r="G652" s="119"/>
      <c r="H652" s="120"/>
      <c r="I652" s="119"/>
      <c r="J652" s="119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4"/>
      <c r="AD652" s="237"/>
    </row>
    <row r="653">
      <c r="F653" s="119"/>
      <c r="G653" s="119"/>
      <c r="H653" s="120"/>
      <c r="I653" s="119"/>
      <c r="J653" s="119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4"/>
      <c r="AD653" s="237"/>
    </row>
    <row r="654">
      <c r="F654" s="119"/>
      <c r="G654" s="119"/>
      <c r="H654" s="120"/>
      <c r="I654" s="119"/>
      <c r="J654" s="119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4"/>
      <c r="AD654" s="237"/>
    </row>
    <row r="655">
      <c r="F655" s="119"/>
      <c r="G655" s="119"/>
      <c r="H655" s="120"/>
      <c r="I655" s="119"/>
      <c r="J655" s="119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4"/>
      <c r="AD655" s="237"/>
    </row>
    <row r="656">
      <c r="F656" s="119"/>
      <c r="G656" s="119"/>
      <c r="H656" s="120"/>
      <c r="I656" s="119"/>
      <c r="J656" s="119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4"/>
      <c r="AD656" s="237"/>
    </row>
    <row r="657">
      <c r="F657" s="119"/>
      <c r="G657" s="119"/>
      <c r="H657" s="120"/>
      <c r="I657" s="119"/>
      <c r="J657" s="119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4"/>
      <c r="AD657" s="237"/>
    </row>
    <row r="658">
      <c r="F658" s="119"/>
      <c r="G658" s="119"/>
      <c r="H658" s="120"/>
      <c r="I658" s="119"/>
      <c r="J658" s="119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4"/>
      <c r="AD658" s="237"/>
    </row>
    <row r="659">
      <c r="F659" s="119"/>
      <c r="G659" s="119"/>
      <c r="H659" s="120"/>
      <c r="I659" s="119"/>
      <c r="J659" s="119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4"/>
      <c r="AD659" s="237"/>
    </row>
    <row r="660">
      <c r="F660" s="119"/>
      <c r="G660" s="119"/>
      <c r="H660" s="120"/>
      <c r="I660" s="119"/>
      <c r="J660" s="119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4"/>
      <c r="AD660" s="237"/>
    </row>
    <row r="661">
      <c r="F661" s="119"/>
      <c r="G661" s="119"/>
      <c r="H661" s="120"/>
      <c r="I661" s="119"/>
      <c r="J661" s="119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4"/>
      <c r="AD661" s="237"/>
    </row>
    <row r="662">
      <c r="F662" s="119"/>
      <c r="G662" s="119"/>
      <c r="H662" s="120"/>
      <c r="I662" s="119"/>
      <c r="J662" s="119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4"/>
      <c r="AD662" s="237"/>
    </row>
    <row r="663">
      <c r="F663" s="119"/>
      <c r="G663" s="119"/>
      <c r="H663" s="120"/>
      <c r="I663" s="119"/>
      <c r="J663" s="119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4"/>
      <c r="AD663" s="237"/>
    </row>
    <row r="664">
      <c r="F664" s="119"/>
      <c r="G664" s="119"/>
      <c r="H664" s="120"/>
      <c r="I664" s="119"/>
      <c r="J664" s="119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4"/>
      <c r="AD664" s="237"/>
    </row>
    <row r="665">
      <c r="F665" s="119"/>
      <c r="G665" s="119"/>
      <c r="H665" s="120"/>
      <c r="I665" s="119"/>
      <c r="J665" s="119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4"/>
      <c r="AD665" s="237"/>
    </row>
    <row r="666">
      <c r="F666" s="119"/>
      <c r="G666" s="119"/>
      <c r="H666" s="120"/>
      <c r="I666" s="119"/>
      <c r="J666" s="119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4"/>
      <c r="AD666" s="237"/>
    </row>
    <row r="667">
      <c r="F667" s="119"/>
      <c r="G667" s="119"/>
      <c r="H667" s="120"/>
      <c r="I667" s="119"/>
      <c r="J667" s="119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4"/>
      <c r="AD667" s="237"/>
    </row>
    <row r="668">
      <c r="F668" s="119"/>
      <c r="G668" s="119"/>
      <c r="H668" s="120"/>
      <c r="I668" s="119"/>
      <c r="J668" s="119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4"/>
      <c r="AD668" s="237"/>
    </row>
    <row r="669">
      <c r="F669" s="119"/>
      <c r="G669" s="119"/>
      <c r="H669" s="120"/>
      <c r="I669" s="119"/>
      <c r="J669" s="119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4"/>
      <c r="AD669" s="237"/>
    </row>
    <row r="670">
      <c r="F670" s="119"/>
      <c r="G670" s="119"/>
      <c r="H670" s="120"/>
      <c r="I670" s="119"/>
      <c r="J670" s="119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4"/>
      <c r="AD670" s="237"/>
    </row>
    <row r="671">
      <c r="F671" s="119"/>
      <c r="G671" s="119"/>
      <c r="H671" s="120"/>
      <c r="I671" s="119"/>
      <c r="J671" s="119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4"/>
      <c r="AD671" s="237"/>
    </row>
    <row r="672">
      <c r="F672" s="119"/>
      <c r="G672" s="119"/>
      <c r="H672" s="120"/>
      <c r="I672" s="119"/>
      <c r="J672" s="119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4"/>
      <c r="AD672" s="237"/>
    </row>
    <row r="673">
      <c r="F673" s="119"/>
      <c r="G673" s="119"/>
      <c r="H673" s="120"/>
      <c r="I673" s="119"/>
      <c r="J673" s="119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4"/>
      <c r="AD673" s="237"/>
    </row>
    <row r="674">
      <c r="F674" s="119"/>
      <c r="G674" s="119"/>
      <c r="H674" s="120"/>
      <c r="I674" s="119"/>
      <c r="J674" s="119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4"/>
      <c r="AD674" s="237"/>
    </row>
    <row r="675">
      <c r="F675" s="119"/>
      <c r="G675" s="119"/>
      <c r="H675" s="120"/>
      <c r="I675" s="119"/>
      <c r="J675" s="119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4"/>
      <c r="AD675" s="237"/>
    </row>
    <row r="676">
      <c r="F676" s="119"/>
      <c r="G676" s="119"/>
      <c r="H676" s="120"/>
      <c r="I676" s="119"/>
      <c r="J676" s="119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4"/>
      <c r="AD676" s="237"/>
    </row>
    <row r="677">
      <c r="F677" s="119"/>
      <c r="G677" s="119"/>
      <c r="H677" s="120"/>
      <c r="I677" s="119"/>
      <c r="J677" s="119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4"/>
      <c r="AD677" s="237"/>
    </row>
    <row r="678">
      <c r="F678" s="119"/>
      <c r="G678" s="119"/>
      <c r="H678" s="120"/>
      <c r="I678" s="119"/>
      <c r="J678" s="119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4"/>
      <c r="AD678" s="237"/>
    </row>
    <row r="679">
      <c r="F679" s="119"/>
      <c r="G679" s="119"/>
      <c r="H679" s="120"/>
      <c r="I679" s="119"/>
      <c r="J679" s="119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4"/>
      <c r="AD679" s="237"/>
    </row>
    <row r="680">
      <c r="F680" s="119"/>
      <c r="G680" s="119"/>
      <c r="H680" s="120"/>
      <c r="I680" s="119"/>
      <c r="J680" s="119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4"/>
      <c r="AD680" s="237"/>
    </row>
    <row r="681">
      <c r="F681" s="119"/>
      <c r="G681" s="119"/>
      <c r="H681" s="120"/>
      <c r="I681" s="119"/>
      <c r="J681" s="119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4"/>
      <c r="AD681" s="237"/>
    </row>
    <row r="682">
      <c r="F682" s="119"/>
      <c r="G682" s="119"/>
      <c r="H682" s="120"/>
      <c r="I682" s="119"/>
      <c r="J682" s="119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4"/>
      <c r="AD682" s="237"/>
    </row>
    <row r="683">
      <c r="F683" s="119"/>
      <c r="G683" s="119"/>
      <c r="H683" s="120"/>
      <c r="I683" s="119"/>
      <c r="J683" s="119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4"/>
      <c r="AD683" s="237"/>
    </row>
    <row r="684">
      <c r="F684" s="119"/>
      <c r="G684" s="119"/>
      <c r="H684" s="120"/>
      <c r="I684" s="119"/>
      <c r="J684" s="119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4"/>
      <c r="AD684" s="237"/>
    </row>
    <row r="685">
      <c r="F685" s="119"/>
      <c r="G685" s="119"/>
      <c r="H685" s="120"/>
      <c r="I685" s="119"/>
      <c r="J685" s="119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4"/>
      <c r="AD685" s="237"/>
    </row>
    <row r="686">
      <c r="F686" s="119"/>
      <c r="G686" s="119"/>
      <c r="H686" s="120"/>
      <c r="I686" s="119"/>
      <c r="J686" s="119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4"/>
      <c r="AD686" s="237"/>
    </row>
    <row r="687">
      <c r="F687" s="119"/>
      <c r="G687" s="119"/>
      <c r="H687" s="120"/>
      <c r="I687" s="119"/>
      <c r="J687" s="119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4"/>
      <c r="AD687" s="237"/>
    </row>
    <row r="688">
      <c r="F688" s="119"/>
      <c r="G688" s="119"/>
      <c r="H688" s="120"/>
      <c r="I688" s="119"/>
      <c r="J688" s="119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4"/>
      <c r="AD688" s="237"/>
    </row>
    <row r="689">
      <c r="F689" s="119"/>
      <c r="G689" s="119"/>
      <c r="H689" s="120"/>
      <c r="I689" s="119"/>
      <c r="J689" s="119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4"/>
      <c r="AD689" s="237"/>
    </row>
    <row r="690">
      <c r="F690" s="119"/>
      <c r="G690" s="119"/>
      <c r="H690" s="120"/>
      <c r="I690" s="119"/>
      <c r="J690" s="119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4"/>
      <c r="AD690" s="237"/>
    </row>
    <row r="691">
      <c r="F691" s="119"/>
      <c r="G691" s="119"/>
      <c r="H691" s="120"/>
      <c r="I691" s="119"/>
      <c r="J691" s="119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4"/>
      <c r="AD691" s="237"/>
    </row>
    <row r="692">
      <c r="F692" s="119"/>
      <c r="G692" s="119"/>
      <c r="H692" s="120"/>
      <c r="I692" s="119"/>
      <c r="J692" s="119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4"/>
      <c r="AD692" s="237"/>
    </row>
    <row r="693">
      <c r="F693" s="119"/>
      <c r="G693" s="119"/>
      <c r="H693" s="120"/>
      <c r="I693" s="119"/>
      <c r="J693" s="119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4"/>
      <c r="AD693" s="237"/>
    </row>
    <row r="694">
      <c r="F694" s="119"/>
      <c r="G694" s="119"/>
      <c r="H694" s="120"/>
      <c r="I694" s="119"/>
      <c r="J694" s="119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4"/>
      <c r="AD694" s="237"/>
    </row>
    <row r="695">
      <c r="F695" s="119"/>
      <c r="G695" s="119"/>
      <c r="H695" s="120"/>
      <c r="I695" s="119"/>
      <c r="J695" s="119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4"/>
      <c r="AD695" s="237"/>
    </row>
    <row r="696">
      <c r="F696" s="119"/>
      <c r="G696" s="119"/>
      <c r="H696" s="120"/>
      <c r="I696" s="119"/>
      <c r="J696" s="119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4"/>
      <c r="AD696" s="237"/>
    </row>
    <row r="697">
      <c r="F697" s="119"/>
      <c r="G697" s="119"/>
      <c r="H697" s="120"/>
      <c r="I697" s="119"/>
      <c r="J697" s="119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4"/>
      <c r="AD697" s="237"/>
    </row>
    <row r="698">
      <c r="F698" s="119"/>
      <c r="G698" s="119"/>
      <c r="H698" s="120"/>
      <c r="I698" s="119"/>
      <c r="J698" s="119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4"/>
      <c r="AD698" s="237"/>
    </row>
    <row r="699">
      <c r="F699" s="119"/>
      <c r="G699" s="119"/>
      <c r="H699" s="120"/>
      <c r="I699" s="119"/>
      <c r="J699" s="119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4"/>
      <c r="AD699" s="237"/>
    </row>
    <row r="700">
      <c r="F700" s="119"/>
      <c r="G700" s="119"/>
      <c r="H700" s="120"/>
      <c r="I700" s="119"/>
      <c r="J700" s="119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4"/>
      <c r="AD700" s="237"/>
    </row>
    <row r="701">
      <c r="F701" s="119"/>
      <c r="G701" s="119"/>
      <c r="H701" s="120"/>
      <c r="I701" s="119"/>
      <c r="J701" s="119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4"/>
      <c r="AD701" s="237"/>
    </row>
    <row r="702">
      <c r="F702" s="119"/>
      <c r="G702" s="119"/>
      <c r="H702" s="120"/>
      <c r="I702" s="119"/>
      <c r="J702" s="119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4"/>
      <c r="AD702" s="237"/>
    </row>
    <row r="703">
      <c r="F703" s="119"/>
      <c r="G703" s="119"/>
      <c r="H703" s="120"/>
      <c r="I703" s="119"/>
      <c r="J703" s="119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4"/>
      <c r="AD703" s="237"/>
    </row>
    <row r="704">
      <c r="F704" s="119"/>
      <c r="G704" s="119"/>
      <c r="H704" s="120"/>
      <c r="I704" s="119"/>
      <c r="J704" s="119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4"/>
      <c r="AD704" s="237"/>
    </row>
    <row r="705">
      <c r="F705" s="119"/>
      <c r="G705" s="119"/>
      <c r="H705" s="120"/>
      <c r="I705" s="119"/>
      <c r="J705" s="119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4"/>
      <c r="AD705" s="237"/>
    </row>
    <row r="706">
      <c r="F706" s="119"/>
      <c r="G706" s="119"/>
      <c r="H706" s="120"/>
      <c r="I706" s="119"/>
      <c r="J706" s="119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4"/>
      <c r="AD706" s="237"/>
    </row>
    <row r="707">
      <c r="F707" s="119"/>
      <c r="G707" s="119"/>
      <c r="H707" s="120"/>
      <c r="I707" s="119"/>
      <c r="J707" s="119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4"/>
      <c r="AD707" s="237"/>
    </row>
    <row r="708">
      <c r="F708" s="119"/>
      <c r="G708" s="119"/>
      <c r="H708" s="120"/>
      <c r="I708" s="119"/>
      <c r="J708" s="119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4"/>
      <c r="AD708" s="237"/>
    </row>
    <row r="709">
      <c r="F709" s="119"/>
      <c r="G709" s="119"/>
      <c r="H709" s="120"/>
      <c r="I709" s="119"/>
      <c r="J709" s="119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4"/>
      <c r="AD709" s="237"/>
    </row>
    <row r="710">
      <c r="F710" s="119"/>
      <c r="G710" s="119"/>
      <c r="H710" s="120"/>
      <c r="I710" s="119"/>
      <c r="J710" s="119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4"/>
      <c r="AD710" s="237"/>
    </row>
    <row r="711">
      <c r="F711" s="119"/>
      <c r="G711" s="119"/>
      <c r="H711" s="120"/>
      <c r="I711" s="119"/>
      <c r="J711" s="119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4"/>
      <c r="AD711" s="237"/>
    </row>
    <row r="712">
      <c r="F712" s="119"/>
      <c r="G712" s="119"/>
      <c r="H712" s="120"/>
      <c r="I712" s="119"/>
      <c r="J712" s="119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4"/>
      <c r="AD712" s="237"/>
    </row>
    <row r="713">
      <c r="F713" s="119"/>
      <c r="G713" s="119"/>
      <c r="H713" s="120"/>
      <c r="I713" s="119"/>
      <c r="J713" s="119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4"/>
      <c r="AD713" s="237"/>
    </row>
    <row r="714">
      <c r="F714" s="119"/>
      <c r="G714" s="119"/>
      <c r="H714" s="120"/>
      <c r="I714" s="119"/>
      <c r="J714" s="119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4"/>
      <c r="AD714" s="237"/>
    </row>
    <row r="715">
      <c r="F715" s="119"/>
      <c r="G715" s="119"/>
      <c r="H715" s="120"/>
      <c r="I715" s="119"/>
      <c r="J715" s="119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4"/>
      <c r="AD715" s="237"/>
    </row>
    <row r="716">
      <c r="F716" s="119"/>
      <c r="G716" s="119"/>
      <c r="H716" s="120"/>
      <c r="I716" s="119"/>
      <c r="J716" s="119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4"/>
      <c r="AD716" s="237"/>
    </row>
    <row r="717">
      <c r="F717" s="119"/>
      <c r="G717" s="119"/>
      <c r="H717" s="120"/>
      <c r="I717" s="119"/>
      <c r="J717" s="119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4"/>
      <c r="AD717" s="237"/>
    </row>
    <row r="718">
      <c r="F718" s="119"/>
      <c r="G718" s="119"/>
      <c r="H718" s="120"/>
      <c r="I718" s="119"/>
      <c r="J718" s="119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4"/>
      <c r="AD718" s="237"/>
    </row>
    <row r="719">
      <c r="F719" s="119"/>
      <c r="G719" s="119"/>
      <c r="H719" s="120"/>
      <c r="I719" s="119"/>
      <c r="J719" s="119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4"/>
      <c r="AD719" s="237"/>
    </row>
    <row r="720">
      <c r="F720" s="119"/>
      <c r="G720" s="119"/>
      <c r="H720" s="120"/>
      <c r="I720" s="119"/>
      <c r="J720" s="119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4"/>
      <c r="AD720" s="237"/>
    </row>
    <row r="721">
      <c r="F721" s="119"/>
      <c r="G721" s="119"/>
      <c r="H721" s="120"/>
      <c r="I721" s="119"/>
      <c r="J721" s="119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4"/>
      <c r="AD721" s="237"/>
    </row>
    <row r="722">
      <c r="F722" s="119"/>
      <c r="G722" s="119"/>
      <c r="H722" s="120"/>
      <c r="I722" s="119"/>
      <c r="J722" s="119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4"/>
      <c r="AD722" s="237"/>
    </row>
    <row r="723">
      <c r="F723" s="119"/>
      <c r="G723" s="119"/>
      <c r="H723" s="120"/>
      <c r="I723" s="119"/>
      <c r="J723" s="119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4"/>
      <c r="AD723" s="237"/>
    </row>
    <row r="724">
      <c r="F724" s="119"/>
      <c r="G724" s="119"/>
      <c r="H724" s="120"/>
      <c r="I724" s="119"/>
      <c r="J724" s="119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4"/>
      <c r="AD724" s="237"/>
    </row>
    <row r="725">
      <c r="F725" s="119"/>
      <c r="G725" s="119"/>
      <c r="H725" s="120"/>
      <c r="I725" s="119"/>
      <c r="J725" s="119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4"/>
      <c r="AD725" s="237"/>
    </row>
    <row r="726">
      <c r="F726" s="119"/>
      <c r="G726" s="119"/>
      <c r="H726" s="120"/>
      <c r="I726" s="119"/>
      <c r="J726" s="119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4"/>
      <c r="AD726" s="237"/>
    </row>
    <row r="727">
      <c r="F727" s="119"/>
      <c r="G727" s="119"/>
      <c r="H727" s="120"/>
      <c r="I727" s="119"/>
      <c r="J727" s="119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4"/>
      <c r="AD727" s="237"/>
    </row>
    <row r="728">
      <c r="F728" s="119"/>
      <c r="G728" s="119"/>
      <c r="H728" s="120"/>
      <c r="I728" s="119"/>
      <c r="J728" s="119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4"/>
      <c r="AD728" s="237"/>
    </row>
    <row r="729">
      <c r="F729" s="119"/>
      <c r="G729" s="119"/>
      <c r="H729" s="120"/>
      <c r="I729" s="119"/>
      <c r="J729" s="119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4"/>
      <c r="AD729" s="237"/>
    </row>
    <row r="730">
      <c r="F730" s="119"/>
      <c r="G730" s="119"/>
      <c r="H730" s="120"/>
      <c r="I730" s="119"/>
      <c r="J730" s="119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4"/>
      <c r="AD730" s="237"/>
    </row>
    <row r="731">
      <c r="F731" s="119"/>
      <c r="G731" s="119"/>
      <c r="H731" s="120"/>
      <c r="I731" s="119"/>
      <c r="J731" s="119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4"/>
      <c r="AD731" s="237"/>
    </row>
    <row r="732">
      <c r="F732" s="119"/>
      <c r="G732" s="119"/>
      <c r="H732" s="120"/>
      <c r="I732" s="119"/>
      <c r="J732" s="119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4"/>
      <c r="AD732" s="237"/>
    </row>
    <row r="733">
      <c r="F733" s="119"/>
      <c r="G733" s="119"/>
      <c r="H733" s="120"/>
      <c r="I733" s="119"/>
      <c r="J733" s="119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4"/>
      <c r="AD733" s="237"/>
    </row>
    <row r="734">
      <c r="F734" s="119"/>
      <c r="G734" s="119"/>
      <c r="H734" s="120"/>
      <c r="I734" s="119"/>
      <c r="J734" s="119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4"/>
      <c r="AD734" s="237"/>
    </row>
    <row r="735">
      <c r="F735" s="119"/>
      <c r="G735" s="119"/>
      <c r="H735" s="120"/>
      <c r="I735" s="119"/>
      <c r="J735" s="119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4"/>
      <c r="AD735" s="237"/>
    </row>
    <row r="736">
      <c r="F736" s="119"/>
      <c r="G736" s="119"/>
      <c r="H736" s="120"/>
      <c r="I736" s="119"/>
      <c r="J736" s="119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4"/>
      <c r="AD736" s="237"/>
    </row>
    <row r="737">
      <c r="F737" s="119"/>
      <c r="G737" s="119"/>
      <c r="H737" s="120"/>
      <c r="I737" s="119"/>
      <c r="J737" s="119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4"/>
      <c r="AD737" s="237"/>
    </row>
    <row r="738">
      <c r="F738" s="119"/>
      <c r="G738" s="119"/>
      <c r="H738" s="120"/>
      <c r="I738" s="119"/>
      <c r="J738" s="119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4"/>
      <c r="AD738" s="237"/>
    </row>
    <row r="739">
      <c r="F739" s="119"/>
      <c r="G739" s="119"/>
      <c r="H739" s="120"/>
      <c r="I739" s="119"/>
      <c r="J739" s="119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4"/>
      <c r="AD739" s="237"/>
    </row>
    <row r="740">
      <c r="F740" s="119"/>
      <c r="G740" s="119"/>
      <c r="H740" s="120"/>
      <c r="I740" s="119"/>
      <c r="J740" s="119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4"/>
      <c r="AD740" s="237"/>
    </row>
    <row r="741">
      <c r="F741" s="119"/>
      <c r="G741" s="119"/>
      <c r="H741" s="120"/>
      <c r="I741" s="119"/>
      <c r="J741" s="119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4"/>
      <c r="AD741" s="237"/>
    </row>
    <row r="742">
      <c r="F742" s="119"/>
      <c r="G742" s="119"/>
      <c r="H742" s="120"/>
      <c r="I742" s="119"/>
      <c r="J742" s="119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4"/>
      <c r="AD742" s="237"/>
    </row>
    <row r="743">
      <c r="F743" s="119"/>
      <c r="G743" s="119"/>
      <c r="H743" s="120"/>
      <c r="I743" s="119"/>
      <c r="J743" s="119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4"/>
      <c r="AD743" s="237"/>
    </row>
    <row r="744">
      <c r="F744" s="119"/>
      <c r="G744" s="119"/>
      <c r="H744" s="120"/>
      <c r="I744" s="119"/>
      <c r="J744" s="119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4"/>
      <c r="AD744" s="237"/>
    </row>
    <row r="745">
      <c r="F745" s="119"/>
      <c r="G745" s="119"/>
      <c r="H745" s="120"/>
      <c r="I745" s="119"/>
      <c r="J745" s="119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4"/>
      <c r="AD745" s="237"/>
    </row>
    <row r="746">
      <c r="F746" s="119"/>
      <c r="G746" s="119"/>
      <c r="H746" s="120"/>
      <c r="I746" s="119"/>
      <c r="J746" s="119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4"/>
      <c r="AD746" s="237"/>
    </row>
    <row r="747">
      <c r="F747" s="119"/>
      <c r="G747" s="119"/>
      <c r="H747" s="120"/>
      <c r="I747" s="119"/>
      <c r="J747" s="119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4"/>
      <c r="AD747" s="237"/>
    </row>
    <row r="748">
      <c r="F748" s="119"/>
      <c r="G748" s="119"/>
      <c r="H748" s="120"/>
      <c r="I748" s="119"/>
      <c r="J748" s="119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4"/>
      <c r="AD748" s="237"/>
    </row>
    <row r="749">
      <c r="F749" s="119"/>
      <c r="G749" s="119"/>
      <c r="H749" s="120"/>
      <c r="I749" s="119"/>
      <c r="J749" s="119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4"/>
      <c r="AD749" s="237"/>
    </row>
    <row r="750">
      <c r="F750" s="119"/>
      <c r="G750" s="119"/>
      <c r="H750" s="120"/>
      <c r="I750" s="119"/>
      <c r="J750" s="119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4"/>
      <c r="AD750" s="237"/>
    </row>
    <row r="751">
      <c r="F751" s="119"/>
      <c r="G751" s="119"/>
      <c r="H751" s="120"/>
      <c r="I751" s="119"/>
      <c r="J751" s="119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4"/>
      <c r="AD751" s="237"/>
    </row>
    <row r="752">
      <c r="F752" s="119"/>
      <c r="G752" s="119"/>
      <c r="H752" s="120"/>
      <c r="I752" s="119"/>
      <c r="J752" s="119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4"/>
      <c r="AD752" s="237"/>
    </row>
    <row r="753">
      <c r="F753" s="119"/>
      <c r="G753" s="119"/>
      <c r="H753" s="120"/>
      <c r="I753" s="119"/>
      <c r="J753" s="119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4"/>
      <c r="AD753" s="237"/>
    </row>
    <row r="754">
      <c r="F754" s="119"/>
      <c r="G754" s="119"/>
      <c r="H754" s="120"/>
      <c r="I754" s="119"/>
      <c r="J754" s="119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4"/>
      <c r="AD754" s="237"/>
    </row>
    <row r="755">
      <c r="F755" s="119"/>
      <c r="G755" s="119"/>
      <c r="H755" s="120"/>
      <c r="I755" s="119"/>
      <c r="J755" s="119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4"/>
      <c r="AD755" s="237"/>
    </row>
    <row r="756">
      <c r="F756" s="119"/>
      <c r="G756" s="119"/>
      <c r="H756" s="120"/>
      <c r="I756" s="119"/>
      <c r="J756" s="119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4"/>
      <c r="AD756" s="237"/>
    </row>
    <row r="757">
      <c r="F757" s="119"/>
      <c r="G757" s="119"/>
      <c r="H757" s="120"/>
      <c r="I757" s="119"/>
      <c r="J757" s="119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4"/>
      <c r="AD757" s="237"/>
    </row>
    <row r="758">
      <c r="F758" s="119"/>
      <c r="G758" s="119"/>
      <c r="H758" s="120"/>
      <c r="I758" s="119"/>
      <c r="J758" s="119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4"/>
      <c r="AD758" s="237"/>
    </row>
    <row r="759">
      <c r="F759" s="119"/>
      <c r="G759" s="119"/>
      <c r="H759" s="120"/>
      <c r="I759" s="119"/>
      <c r="J759" s="119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4"/>
      <c r="AD759" s="237"/>
    </row>
    <row r="760">
      <c r="F760" s="119"/>
      <c r="G760" s="119"/>
      <c r="H760" s="120"/>
      <c r="I760" s="119"/>
      <c r="J760" s="119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4"/>
      <c r="AD760" s="237"/>
    </row>
    <row r="761">
      <c r="F761" s="119"/>
      <c r="G761" s="119"/>
      <c r="H761" s="120"/>
      <c r="I761" s="119"/>
      <c r="J761" s="119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4"/>
      <c r="AD761" s="237"/>
    </row>
    <row r="762">
      <c r="F762" s="119"/>
      <c r="G762" s="119"/>
      <c r="H762" s="120"/>
      <c r="I762" s="119"/>
      <c r="J762" s="119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4"/>
      <c r="AD762" s="237"/>
    </row>
    <row r="763">
      <c r="F763" s="119"/>
      <c r="G763" s="119"/>
      <c r="H763" s="120"/>
      <c r="I763" s="119"/>
      <c r="J763" s="119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4"/>
      <c r="AD763" s="237"/>
    </row>
    <row r="764">
      <c r="F764" s="119"/>
      <c r="G764" s="119"/>
      <c r="H764" s="120"/>
      <c r="I764" s="119"/>
      <c r="J764" s="119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4"/>
      <c r="AD764" s="237"/>
    </row>
    <row r="765">
      <c r="F765" s="119"/>
      <c r="G765" s="119"/>
      <c r="H765" s="120"/>
      <c r="I765" s="119"/>
      <c r="J765" s="119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4"/>
      <c r="AD765" s="237"/>
    </row>
    <row r="766">
      <c r="F766" s="119"/>
      <c r="G766" s="119"/>
      <c r="H766" s="120"/>
      <c r="I766" s="119"/>
      <c r="J766" s="119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4"/>
      <c r="AD766" s="237"/>
    </row>
    <row r="767">
      <c r="F767" s="119"/>
      <c r="G767" s="119"/>
      <c r="H767" s="120"/>
      <c r="I767" s="119"/>
      <c r="J767" s="119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4"/>
      <c r="AD767" s="237"/>
    </row>
    <row r="768">
      <c r="F768" s="119"/>
      <c r="G768" s="119"/>
      <c r="H768" s="120"/>
      <c r="I768" s="119"/>
      <c r="J768" s="119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4"/>
      <c r="AD768" s="237"/>
    </row>
    <row r="769">
      <c r="F769" s="119"/>
      <c r="G769" s="119"/>
      <c r="H769" s="120"/>
      <c r="I769" s="119"/>
      <c r="J769" s="119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4"/>
      <c r="AD769" s="237"/>
    </row>
    <row r="770">
      <c r="F770" s="119"/>
      <c r="G770" s="119"/>
      <c r="H770" s="120"/>
      <c r="I770" s="119"/>
      <c r="J770" s="119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4"/>
      <c r="AD770" s="237"/>
    </row>
    <row r="771">
      <c r="F771" s="119"/>
      <c r="G771" s="119"/>
      <c r="H771" s="120"/>
      <c r="I771" s="119"/>
      <c r="J771" s="119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4"/>
      <c r="AD771" s="237"/>
    </row>
    <row r="772">
      <c r="F772" s="119"/>
      <c r="G772" s="119"/>
      <c r="H772" s="120"/>
      <c r="I772" s="119"/>
      <c r="J772" s="119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4"/>
      <c r="AD772" s="237"/>
    </row>
    <row r="773">
      <c r="F773" s="119"/>
      <c r="G773" s="119"/>
      <c r="H773" s="120"/>
      <c r="I773" s="119"/>
      <c r="J773" s="119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4"/>
      <c r="AD773" s="237"/>
    </row>
    <row r="774">
      <c r="F774" s="119"/>
      <c r="G774" s="119"/>
      <c r="H774" s="120"/>
      <c r="I774" s="119"/>
      <c r="J774" s="119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4"/>
      <c r="AD774" s="237"/>
    </row>
    <row r="775">
      <c r="F775" s="119"/>
      <c r="G775" s="119"/>
      <c r="H775" s="120"/>
      <c r="I775" s="119"/>
      <c r="J775" s="119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4"/>
      <c r="AD775" s="237"/>
    </row>
    <row r="776">
      <c r="F776" s="119"/>
      <c r="G776" s="119"/>
      <c r="H776" s="120"/>
      <c r="I776" s="119"/>
      <c r="J776" s="119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4"/>
      <c r="AD776" s="237"/>
    </row>
    <row r="777">
      <c r="F777" s="119"/>
      <c r="G777" s="119"/>
      <c r="H777" s="120"/>
      <c r="I777" s="119"/>
      <c r="J777" s="119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4"/>
      <c r="AD777" s="237"/>
    </row>
    <row r="778">
      <c r="F778" s="119"/>
      <c r="G778" s="119"/>
      <c r="H778" s="120"/>
      <c r="I778" s="119"/>
      <c r="J778" s="119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4"/>
      <c r="AD778" s="237"/>
    </row>
    <row r="779">
      <c r="F779" s="119"/>
      <c r="G779" s="119"/>
      <c r="H779" s="120"/>
      <c r="I779" s="119"/>
      <c r="J779" s="119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4"/>
      <c r="AD779" s="237"/>
    </row>
    <row r="780">
      <c r="F780" s="119"/>
      <c r="G780" s="119"/>
      <c r="H780" s="120"/>
      <c r="I780" s="119"/>
      <c r="J780" s="119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4"/>
      <c r="AD780" s="237"/>
    </row>
    <row r="781">
      <c r="F781" s="119"/>
      <c r="G781" s="119"/>
      <c r="H781" s="120"/>
      <c r="I781" s="119"/>
      <c r="J781" s="119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4"/>
      <c r="AD781" s="237"/>
    </row>
    <row r="782">
      <c r="F782" s="119"/>
      <c r="G782" s="119"/>
      <c r="H782" s="120"/>
      <c r="I782" s="119"/>
      <c r="J782" s="119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4"/>
      <c r="AD782" s="237"/>
    </row>
    <row r="783">
      <c r="F783" s="119"/>
      <c r="G783" s="119"/>
      <c r="H783" s="120"/>
      <c r="I783" s="119"/>
      <c r="J783" s="119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4"/>
      <c r="AD783" s="237"/>
    </row>
    <row r="784">
      <c r="F784" s="119"/>
      <c r="G784" s="119"/>
      <c r="H784" s="120"/>
      <c r="I784" s="119"/>
      <c r="J784" s="119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4"/>
      <c r="AD784" s="237"/>
    </row>
    <row r="785">
      <c r="F785" s="119"/>
      <c r="G785" s="119"/>
      <c r="H785" s="120"/>
      <c r="I785" s="119"/>
      <c r="J785" s="119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4"/>
      <c r="AD785" s="237"/>
    </row>
    <row r="786">
      <c r="F786" s="119"/>
      <c r="G786" s="119"/>
      <c r="H786" s="120"/>
      <c r="I786" s="119"/>
      <c r="J786" s="119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4"/>
      <c r="AD786" s="237"/>
    </row>
    <row r="787">
      <c r="F787" s="119"/>
      <c r="G787" s="119"/>
      <c r="H787" s="120"/>
      <c r="I787" s="119"/>
      <c r="J787" s="119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4"/>
      <c r="AD787" s="237"/>
    </row>
    <row r="788">
      <c r="F788" s="119"/>
      <c r="G788" s="119"/>
      <c r="H788" s="120"/>
      <c r="I788" s="119"/>
      <c r="J788" s="119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4"/>
      <c r="AD788" s="237"/>
    </row>
    <row r="789">
      <c r="F789" s="119"/>
      <c r="G789" s="119"/>
      <c r="H789" s="120"/>
      <c r="I789" s="119"/>
      <c r="J789" s="119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4"/>
      <c r="AD789" s="237"/>
    </row>
    <row r="790">
      <c r="F790" s="119"/>
      <c r="G790" s="119"/>
      <c r="H790" s="120"/>
      <c r="I790" s="119"/>
      <c r="J790" s="119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4"/>
      <c r="AD790" s="237"/>
    </row>
    <row r="791">
      <c r="F791" s="119"/>
      <c r="G791" s="119"/>
      <c r="H791" s="120"/>
      <c r="I791" s="119"/>
      <c r="J791" s="119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4"/>
      <c r="AD791" s="237"/>
    </row>
    <row r="792">
      <c r="F792" s="119"/>
      <c r="G792" s="119"/>
      <c r="H792" s="120"/>
      <c r="I792" s="119"/>
      <c r="J792" s="119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4"/>
      <c r="AD792" s="237"/>
    </row>
    <row r="793">
      <c r="F793" s="119"/>
      <c r="G793" s="119"/>
      <c r="H793" s="120"/>
      <c r="I793" s="119"/>
      <c r="J793" s="119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4"/>
      <c r="AD793" s="237"/>
    </row>
    <row r="794">
      <c r="F794" s="119"/>
      <c r="G794" s="119"/>
      <c r="H794" s="120"/>
      <c r="I794" s="119"/>
      <c r="J794" s="119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4"/>
      <c r="AD794" s="237"/>
    </row>
    <row r="795">
      <c r="F795" s="119"/>
      <c r="G795" s="119"/>
      <c r="H795" s="120"/>
      <c r="I795" s="119"/>
      <c r="J795" s="119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4"/>
      <c r="AD795" s="237"/>
    </row>
    <row r="796">
      <c r="F796" s="119"/>
      <c r="G796" s="119"/>
      <c r="H796" s="120"/>
      <c r="I796" s="119"/>
      <c r="J796" s="119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4"/>
      <c r="AD796" s="237"/>
    </row>
    <row r="797">
      <c r="F797" s="119"/>
      <c r="G797" s="119"/>
      <c r="H797" s="120"/>
      <c r="I797" s="119"/>
      <c r="J797" s="119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4"/>
      <c r="AD797" s="237"/>
    </row>
    <row r="798">
      <c r="F798" s="119"/>
      <c r="G798" s="119"/>
      <c r="H798" s="120"/>
      <c r="I798" s="119"/>
      <c r="J798" s="119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4"/>
      <c r="AD798" s="237"/>
    </row>
    <row r="799">
      <c r="F799" s="119"/>
      <c r="G799" s="119"/>
      <c r="H799" s="120"/>
      <c r="I799" s="119"/>
      <c r="J799" s="119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4"/>
      <c r="AD799" s="237"/>
    </row>
    <row r="800">
      <c r="F800" s="119"/>
      <c r="G800" s="119"/>
      <c r="H800" s="120"/>
      <c r="I800" s="119"/>
      <c r="J800" s="119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4"/>
      <c r="AD800" s="237"/>
    </row>
    <row r="801">
      <c r="F801" s="119"/>
      <c r="G801" s="119"/>
      <c r="H801" s="120"/>
      <c r="I801" s="119"/>
      <c r="J801" s="119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4"/>
      <c r="AD801" s="237"/>
    </row>
    <row r="802">
      <c r="F802" s="119"/>
      <c r="G802" s="119"/>
      <c r="H802" s="120"/>
      <c r="I802" s="119"/>
      <c r="J802" s="119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4"/>
      <c r="AD802" s="237"/>
    </row>
    <row r="803">
      <c r="F803" s="119"/>
      <c r="G803" s="119"/>
      <c r="H803" s="120"/>
      <c r="I803" s="119"/>
      <c r="J803" s="119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4"/>
      <c r="AD803" s="237"/>
    </row>
    <row r="804">
      <c r="F804" s="119"/>
      <c r="G804" s="119"/>
      <c r="H804" s="120"/>
      <c r="I804" s="119"/>
      <c r="J804" s="119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4"/>
      <c r="AD804" s="237"/>
    </row>
    <row r="805">
      <c r="F805" s="119"/>
      <c r="G805" s="119"/>
      <c r="H805" s="120"/>
      <c r="I805" s="119"/>
      <c r="J805" s="119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4"/>
      <c r="AD805" s="237"/>
    </row>
    <row r="806">
      <c r="F806" s="119"/>
      <c r="G806" s="119"/>
      <c r="H806" s="120"/>
      <c r="I806" s="119"/>
      <c r="J806" s="119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4"/>
      <c r="AD806" s="237"/>
    </row>
    <row r="807">
      <c r="F807" s="119"/>
      <c r="G807" s="119"/>
      <c r="H807" s="120"/>
      <c r="I807" s="119"/>
      <c r="J807" s="119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4"/>
      <c r="AD807" s="237"/>
    </row>
    <row r="808">
      <c r="F808" s="119"/>
      <c r="G808" s="119"/>
      <c r="H808" s="120"/>
      <c r="I808" s="119"/>
      <c r="J808" s="119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4"/>
      <c r="AD808" s="237"/>
    </row>
    <row r="809">
      <c r="F809" s="119"/>
      <c r="G809" s="119"/>
      <c r="H809" s="120"/>
      <c r="I809" s="119"/>
      <c r="J809" s="119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4"/>
      <c r="AD809" s="237"/>
    </row>
    <row r="810">
      <c r="F810" s="119"/>
      <c r="G810" s="119"/>
      <c r="H810" s="120"/>
      <c r="I810" s="119"/>
      <c r="J810" s="119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4"/>
      <c r="AD810" s="237"/>
    </row>
    <row r="811">
      <c r="F811" s="119"/>
      <c r="G811" s="119"/>
      <c r="H811" s="120"/>
      <c r="I811" s="119"/>
      <c r="J811" s="119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4"/>
      <c r="AD811" s="237"/>
    </row>
    <row r="812">
      <c r="F812" s="119"/>
      <c r="G812" s="119"/>
      <c r="H812" s="120"/>
      <c r="I812" s="119"/>
      <c r="J812" s="119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4"/>
      <c r="AD812" s="237"/>
    </row>
    <row r="813">
      <c r="F813" s="119"/>
      <c r="G813" s="119"/>
      <c r="H813" s="120"/>
      <c r="I813" s="119"/>
      <c r="J813" s="119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4"/>
      <c r="AD813" s="237"/>
    </row>
    <row r="814">
      <c r="F814" s="119"/>
      <c r="G814" s="119"/>
      <c r="H814" s="120"/>
      <c r="I814" s="119"/>
      <c r="J814" s="119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4"/>
      <c r="AD814" s="237"/>
    </row>
    <row r="815">
      <c r="F815" s="119"/>
      <c r="G815" s="119"/>
      <c r="H815" s="120"/>
      <c r="I815" s="119"/>
      <c r="J815" s="119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4"/>
      <c r="AD815" s="237"/>
    </row>
    <row r="816">
      <c r="F816" s="119"/>
      <c r="G816" s="119"/>
      <c r="H816" s="120"/>
      <c r="I816" s="119"/>
      <c r="J816" s="119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4"/>
      <c r="AD816" s="237"/>
    </row>
    <row r="817">
      <c r="F817" s="119"/>
      <c r="G817" s="119"/>
      <c r="H817" s="120"/>
      <c r="I817" s="119"/>
      <c r="J817" s="119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4"/>
      <c r="AD817" s="237"/>
    </row>
    <row r="818">
      <c r="F818" s="119"/>
      <c r="G818" s="119"/>
      <c r="H818" s="120"/>
      <c r="I818" s="119"/>
      <c r="J818" s="119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4"/>
      <c r="AD818" s="237"/>
    </row>
    <row r="819">
      <c r="F819" s="119"/>
      <c r="G819" s="119"/>
      <c r="H819" s="120"/>
      <c r="I819" s="119"/>
      <c r="J819" s="119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4"/>
      <c r="AD819" s="237"/>
    </row>
    <row r="820">
      <c r="F820" s="119"/>
      <c r="G820" s="119"/>
      <c r="H820" s="120"/>
      <c r="I820" s="119"/>
      <c r="J820" s="119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4"/>
      <c r="AD820" s="237"/>
    </row>
    <row r="821">
      <c r="F821" s="119"/>
      <c r="G821" s="119"/>
      <c r="H821" s="120"/>
      <c r="I821" s="119"/>
      <c r="J821" s="119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4"/>
      <c r="AD821" s="237"/>
    </row>
    <row r="822">
      <c r="F822" s="119"/>
      <c r="G822" s="119"/>
      <c r="H822" s="120"/>
      <c r="I822" s="119"/>
      <c r="J822" s="119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4"/>
      <c r="AD822" s="237"/>
    </row>
    <row r="823">
      <c r="F823" s="119"/>
      <c r="G823" s="119"/>
      <c r="H823" s="120"/>
      <c r="I823" s="119"/>
      <c r="J823" s="119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4"/>
      <c r="AD823" s="237"/>
    </row>
    <row r="824">
      <c r="F824" s="119"/>
      <c r="G824" s="119"/>
      <c r="H824" s="120"/>
      <c r="I824" s="119"/>
      <c r="J824" s="119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4"/>
      <c r="AD824" s="237"/>
    </row>
    <row r="825">
      <c r="F825" s="119"/>
      <c r="G825" s="119"/>
      <c r="H825" s="120"/>
      <c r="I825" s="119"/>
      <c r="J825" s="119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4"/>
      <c r="AD825" s="237"/>
    </row>
    <row r="826">
      <c r="F826" s="119"/>
      <c r="G826" s="119"/>
      <c r="H826" s="120"/>
      <c r="I826" s="119"/>
      <c r="J826" s="119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4"/>
      <c r="AD826" s="237"/>
    </row>
    <row r="827">
      <c r="F827" s="119"/>
      <c r="G827" s="119"/>
      <c r="H827" s="120"/>
      <c r="I827" s="119"/>
      <c r="J827" s="119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4"/>
      <c r="AD827" s="237"/>
    </row>
    <row r="828">
      <c r="F828" s="119"/>
      <c r="G828" s="119"/>
      <c r="H828" s="120"/>
      <c r="I828" s="119"/>
      <c r="J828" s="119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4"/>
      <c r="AD828" s="237"/>
    </row>
    <row r="829">
      <c r="F829" s="119"/>
      <c r="G829" s="119"/>
      <c r="H829" s="120"/>
      <c r="I829" s="119"/>
      <c r="J829" s="119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4"/>
      <c r="AD829" s="237"/>
    </row>
    <row r="830">
      <c r="F830" s="119"/>
      <c r="G830" s="119"/>
      <c r="H830" s="120"/>
      <c r="I830" s="119"/>
      <c r="J830" s="119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4"/>
      <c r="AD830" s="237"/>
    </row>
    <row r="831">
      <c r="F831" s="119"/>
      <c r="G831" s="119"/>
      <c r="H831" s="120"/>
      <c r="I831" s="119"/>
      <c r="J831" s="119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4"/>
      <c r="AD831" s="237"/>
    </row>
    <row r="832">
      <c r="F832" s="119"/>
      <c r="G832" s="119"/>
      <c r="H832" s="120"/>
      <c r="I832" s="119"/>
      <c r="J832" s="119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4"/>
      <c r="AD832" s="237"/>
    </row>
    <row r="833">
      <c r="F833" s="119"/>
      <c r="G833" s="119"/>
      <c r="H833" s="120"/>
      <c r="I833" s="119"/>
      <c r="J833" s="119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4"/>
      <c r="AD833" s="237"/>
    </row>
    <row r="834">
      <c r="F834" s="119"/>
      <c r="G834" s="119"/>
      <c r="H834" s="120"/>
      <c r="I834" s="119"/>
      <c r="J834" s="119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4"/>
      <c r="AD834" s="237"/>
    </row>
    <row r="835">
      <c r="F835" s="119"/>
      <c r="G835" s="119"/>
      <c r="H835" s="120"/>
      <c r="I835" s="119"/>
      <c r="J835" s="119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4"/>
      <c r="AD835" s="237"/>
    </row>
    <row r="836">
      <c r="F836" s="119"/>
      <c r="G836" s="119"/>
      <c r="H836" s="120"/>
      <c r="I836" s="119"/>
      <c r="J836" s="119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4"/>
      <c r="AD836" s="237"/>
    </row>
    <row r="837">
      <c r="F837" s="119"/>
      <c r="G837" s="119"/>
      <c r="H837" s="120"/>
      <c r="I837" s="119"/>
      <c r="J837" s="119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4"/>
      <c r="AD837" s="237"/>
    </row>
    <row r="838">
      <c r="F838" s="119"/>
      <c r="G838" s="119"/>
      <c r="H838" s="120"/>
      <c r="I838" s="119"/>
      <c r="J838" s="119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4"/>
      <c r="AD838" s="237"/>
    </row>
    <row r="839">
      <c r="F839" s="119"/>
      <c r="G839" s="119"/>
      <c r="H839" s="120"/>
      <c r="I839" s="119"/>
      <c r="J839" s="119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4"/>
      <c r="AD839" s="237"/>
    </row>
    <row r="840">
      <c r="F840" s="119"/>
      <c r="G840" s="119"/>
      <c r="H840" s="120"/>
      <c r="I840" s="119"/>
      <c r="J840" s="119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4"/>
      <c r="AD840" s="237"/>
    </row>
    <row r="841">
      <c r="F841" s="119"/>
      <c r="G841" s="119"/>
      <c r="H841" s="120"/>
      <c r="I841" s="119"/>
      <c r="J841" s="119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4"/>
      <c r="AD841" s="237"/>
    </row>
    <row r="842">
      <c r="F842" s="119"/>
      <c r="G842" s="119"/>
      <c r="H842" s="120"/>
      <c r="I842" s="119"/>
      <c r="J842" s="119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4"/>
      <c r="AD842" s="237"/>
    </row>
    <row r="843">
      <c r="F843" s="119"/>
      <c r="G843" s="119"/>
      <c r="H843" s="120"/>
      <c r="I843" s="119"/>
      <c r="J843" s="119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4"/>
      <c r="AD843" s="237"/>
    </row>
    <row r="844">
      <c r="F844" s="119"/>
      <c r="G844" s="119"/>
      <c r="H844" s="120"/>
      <c r="I844" s="119"/>
      <c r="J844" s="119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4"/>
      <c r="AD844" s="237"/>
    </row>
    <row r="845">
      <c r="F845" s="119"/>
      <c r="G845" s="119"/>
      <c r="H845" s="120"/>
      <c r="I845" s="119"/>
      <c r="J845" s="119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4"/>
      <c r="AD845" s="237"/>
    </row>
    <row r="846">
      <c r="F846" s="119"/>
      <c r="G846" s="119"/>
      <c r="H846" s="120"/>
      <c r="I846" s="119"/>
      <c r="J846" s="119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4"/>
      <c r="AD846" s="237"/>
    </row>
    <row r="847">
      <c r="F847" s="119"/>
      <c r="G847" s="119"/>
      <c r="H847" s="120"/>
      <c r="I847" s="119"/>
      <c r="J847" s="119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4"/>
      <c r="AD847" s="237"/>
    </row>
    <row r="848">
      <c r="F848" s="119"/>
      <c r="G848" s="119"/>
      <c r="H848" s="120"/>
      <c r="I848" s="119"/>
      <c r="J848" s="119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4"/>
      <c r="AD848" s="237"/>
    </row>
    <row r="849">
      <c r="F849" s="119"/>
      <c r="G849" s="119"/>
      <c r="H849" s="120"/>
      <c r="I849" s="119"/>
      <c r="J849" s="119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4"/>
      <c r="AD849" s="237"/>
    </row>
    <row r="850">
      <c r="F850" s="119"/>
      <c r="G850" s="119"/>
      <c r="H850" s="120"/>
      <c r="I850" s="119"/>
      <c r="J850" s="119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4"/>
      <c r="AD850" s="237"/>
    </row>
    <row r="851">
      <c r="F851" s="119"/>
      <c r="G851" s="119"/>
      <c r="H851" s="120"/>
      <c r="I851" s="119"/>
      <c r="J851" s="119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4"/>
      <c r="AD851" s="237"/>
    </row>
    <row r="852">
      <c r="F852" s="119"/>
      <c r="G852" s="119"/>
      <c r="H852" s="120"/>
      <c r="I852" s="119"/>
      <c r="J852" s="119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4"/>
      <c r="AD852" s="237"/>
    </row>
    <row r="853">
      <c r="F853" s="119"/>
      <c r="G853" s="119"/>
      <c r="H853" s="120"/>
      <c r="I853" s="119"/>
      <c r="J853" s="119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4"/>
      <c r="AD853" s="237"/>
    </row>
    <row r="854">
      <c r="F854" s="119"/>
      <c r="G854" s="119"/>
      <c r="H854" s="120"/>
      <c r="I854" s="119"/>
      <c r="J854" s="119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4"/>
      <c r="AD854" s="237"/>
    </row>
    <row r="855">
      <c r="F855" s="119"/>
      <c r="G855" s="119"/>
      <c r="H855" s="120"/>
      <c r="I855" s="119"/>
      <c r="J855" s="119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4"/>
      <c r="AD855" s="237"/>
    </row>
    <row r="856">
      <c r="F856" s="119"/>
      <c r="G856" s="119"/>
      <c r="H856" s="120"/>
      <c r="I856" s="119"/>
      <c r="J856" s="119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4"/>
      <c r="AD856" s="237"/>
    </row>
    <row r="857">
      <c r="F857" s="119"/>
      <c r="G857" s="119"/>
      <c r="H857" s="120"/>
      <c r="I857" s="119"/>
      <c r="J857" s="119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4"/>
      <c r="AD857" s="237"/>
    </row>
    <row r="858">
      <c r="F858" s="119"/>
      <c r="G858" s="119"/>
      <c r="H858" s="120"/>
      <c r="I858" s="119"/>
      <c r="J858" s="119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4"/>
      <c r="AD858" s="237"/>
    </row>
    <row r="859">
      <c r="F859" s="119"/>
      <c r="G859" s="119"/>
      <c r="H859" s="120"/>
      <c r="I859" s="119"/>
      <c r="J859" s="119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4"/>
      <c r="AD859" s="237"/>
    </row>
    <row r="860">
      <c r="F860" s="119"/>
      <c r="G860" s="119"/>
      <c r="H860" s="120"/>
      <c r="I860" s="119"/>
      <c r="J860" s="119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4"/>
      <c r="AD860" s="237"/>
    </row>
    <row r="861">
      <c r="F861" s="119"/>
      <c r="G861" s="119"/>
      <c r="H861" s="120"/>
      <c r="I861" s="119"/>
      <c r="J861" s="119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4"/>
      <c r="AD861" s="237"/>
    </row>
    <row r="862">
      <c r="F862" s="119"/>
      <c r="G862" s="119"/>
      <c r="H862" s="120"/>
      <c r="I862" s="119"/>
      <c r="J862" s="119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4"/>
      <c r="AD862" s="237"/>
    </row>
    <row r="863">
      <c r="F863" s="119"/>
      <c r="G863" s="119"/>
      <c r="H863" s="120"/>
      <c r="I863" s="119"/>
      <c r="J863" s="119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4"/>
      <c r="AD863" s="237"/>
    </row>
    <row r="864">
      <c r="F864" s="119"/>
      <c r="G864" s="119"/>
      <c r="H864" s="120"/>
      <c r="I864" s="119"/>
      <c r="J864" s="119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4"/>
      <c r="AD864" s="237"/>
    </row>
    <row r="865">
      <c r="F865" s="119"/>
      <c r="G865" s="119"/>
      <c r="H865" s="120"/>
      <c r="I865" s="119"/>
      <c r="J865" s="119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4"/>
      <c r="AD865" s="237"/>
    </row>
    <row r="866">
      <c r="F866" s="119"/>
      <c r="G866" s="119"/>
      <c r="H866" s="120"/>
      <c r="I866" s="119"/>
      <c r="J866" s="119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4"/>
      <c r="AD866" s="237"/>
    </row>
    <row r="867">
      <c r="F867" s="119"/>
      <c r="G867" s="119"/>
      <c r="H867" s="120"/>
      <c r="I867" s="119"/>
      <c r="J867" s="119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4"/>
      <c r="AD867" s="237"/>
    </row>
    <row r="868">
      <c r="F868" s="119"/>
      <c r="G868" s="119"/>
      <c r="H868" s="120"/>
      <c r="I868" s="119"/>
      <c r="J868" s="119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4"/>
      <c r="AD868" s="237"/>
    </row>
    <row r="869">
      <c r="F869" s="119"/>
      <c r="G869" s="119"/>
      <c r="H869" s="120"/>
      <c r="I869" s="119"/>
      <c r="J869" s="119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4"/>
      <c r="AD869" s="237"/>
    </row>
    <row r="870">
      <c r="F870" s="119"/>
      <c r="G870" s="119"/>
      <c r="H870" s="120"/>
      <c r="I870" s="119"/>
      <c r="J870" s="119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4"/>
      <c r="AD870" s="237"/>
    </row>
    <row r="871">
      <c r="F871" s="119"/>
      <c r="G871" s="119"/>
      <c r="H871" s="120"/>
      <c r="I871" s="119"/>
      <c r="J871" s="119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4"/>
      <c r="AD871" s="237"/>
    </row>
    <row r="872">
      <c r="F872" s="119"/>
      <c r="G872" s="119"/>
      <c r="H872" s="120"/>
      <c r="I872" s="119"/>
      <c r="J872" s="119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4"/>
      <c r="AD872" s="237"/>
    </row>
    <row r="873">
      <c r="F873" s="119"/>
      <c r="G873" s="119"/>
      <c r="H873" s="120"/>
      <c r="I873" s="119"/>
      <c r="J873" s="119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4"/>
      <c r="AD873" s="237"/>
    </row>
    <row r="874">
      <c r="F874" s="119"/>
      <c r="G874" s="119"/>
      <c r="H874" s="120"/>
      <c r="I874" s="119"/>
      <c r="J874" s="119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4"/>
      <c r="AD874" s="237"/>
    </row>
    <row r="875">
      <c r="F875" s="119"/>
      <c r="G875" s="119"/>
      <c r="H875" s="120"/>
      <c r="I875" s="119"/>
      <c r="J875" s="119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4"/>
      <c r="AD875" s="237"/>
    </row>
    <row r="876">
      <c r="F876" s="119"/>
      <c r="G876" s="119"/>
      <c r="H876" s="120"/>
      <c r="I876" s="119"/>
      <c r="J876" s="119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4"/>
      <c r="AD876" s="237"/>
    </row>
    <row r="877">
      <c r="F877" s="119"/>
      <c r="G877" s="119"/>
      <c r="H877" s="120"/>
      <c r="I877" s="119"/>
      <c r="J877" s="119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4"/>
      <c r="AD877" s="237"/>
    </row>
    <row r="878">
      <c r="F878" s="119"/>
      <c r="G878" s="119"/>
      <c r="H878" s="120"/>
      <c r="I878" s="119"/>
      <c r="J878" s="119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4"/>
      <c r="AD878" s="237"/>
    </row>
    <row r="879">
      <c r="F879" s="119"/>
      <c r="G879" s="119"/>
      <c r="H879" s="120"/>
      <c r="I879" s="119"/>
      <c r="J879" s="119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4"/>
      <c r="AD879" s="237"/>
    </row>
    <row r="880">
      <c r="F880" s="119"/>
      <c r="G880" s="119"/>
      <c r="H880" s="120"/>
      <c r="I880" s="119"/>
      <c r="J880" s="119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4"/>
      <c r="AD880" s="237"/>
    </row>
    <row r="881">
      <c r="F881" s="119"/>
      <c r="G881" s="119"/>
      <c r="H881" s="120"/>
      <c r="I881" s="119"/>
      <c r="J881" s="119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4"/>
      <c r="AD881" s="237"/>
    </row>
    <row r="882">
      <c r="F882" s="119"/>
      <c r="G882" s="119"/>
      <c r="H882" s="120"/>
      <c r="I882" s="119"/>
      <c r="J882" s="119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4"/>
      <c r="AD882" s="237"/>
    </row>
    <row r="883">
      <c r="F883" s="119"/>
      <c r="G883" s="119"/>
      <c r="H883" s="120"/>
      <c r="I883" s="119"/>
      <c r="J883" s="119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4"/>
      <c r="AD883" s="237"/>
    </row>
    <row r="884">
      <c r="F884" s="119"/>
      <c r="G884" s="119"/>
      <c r="H884" s="120"/>
      <c r="I884" s="119"/>
      <c r="J884" s="119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4"/>
      <c r="AD884" s="237"/>
    </row>
    <row r="885">
      <c r="F885" s="119"/>
      <c r="G885" s="119"/>
      <c r="H885" s="120"/>
      <c r="I885" s="119"/>
      <c r="J885" s="119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4"/>
      <c r="AD885" s="237"/>
    </row>
    <row r="886">
      <c r="F886" s="119"/>
      <c r="G886" s="119"/>
      <c r="H886" s="120"/>
      <c r="I886" s="119"/>
      <c r="J886" s="119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4"/>
      <c r="AD886" s="237"/>
    </row>
    <row r="887">
      <c r="F887" s="119"/>
      <c r="G887" s="119"/>
      <c r="H887" s="120"/>
      <c r="I887" s="119"/>
      <c r="J887" s="119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4"/>
      <c r="AD887" s="237"/>
    </row>
    <row r="888">
      <c r="F888" s="119"/>
      <c r="G888" s="119"/>
      <c r="H888" s="120"/>
      <c r="I888" s="119"/>
      <c r="J888" s="119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4"/>
      <c r="AD888" s="237"/>
    </row>
    <row r="889">
      <c r="F889" s="119"/>
      <c r="G889" s="119"/>
      <c r="H889" s="120"/>
      <c r="I889" s="119"/>
      <c r="J889" s="119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4"/>
      <c r="AD889" s="237"/>
    </row>
    <row r="890">
      <c r="F890" s="119"/>
      <c r="G890" s="119"/>
      <c r="H890" s="120"/>
      <c r="I890" s="119"/>
      <c r="J890" s="119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4"/>
      <c r="AD890" s="237"/>
    </row>
    <row r="891">
      <c r="F891" s="119"/>
      <c r="G891" s="119"/>
      <c r="H891" s="120"/>
      <c r="I891" s="119"/>
      <c r="J891" s="119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4"/>
      <c r="AD891" s="237"/>
    </row>
    <row r="892">
      <c r="F892" s="119"/>
      <c r="G892" s="119"/>
      <c r="H892" s="120"/>
      <c r="I892" s="119"/>
      <c r="J892" s="119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4"/>
      <c r="AD892" s="237"/>
    </row>
    <row r="893">
      <c r="F893" s="119"/>
      <c r="G893" s="119"/>
      <c r="H893" s="120"/>
      <c r="I893" s="119"/>
      <c r="J893" s="119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4"/>
      <c r="AD893" s="237"/>
    </row>
    <row r="894">
      <c r="F894" s="119"/>
      <c r="G894" s="119"/>
      <c r="H894" s="120"/>
      <c r="I894" s="119"/>
      <c r="J894" s="119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4"/>
      <c r="AD894" s="237"/>
    </row>
    <row r="895">
      <c r="F895" s="119"/>
      <c r="G895" s="119"/>
      <c r="H895" s="120"/>
      <c r="I895" s="119"/>
      <c r="J895" s="119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4"/>
      <c r="AD895" s="237"/>
    </row>
    <row r="896">
      <c r="F896" s="119"/>
      <c r="G896" s="119"/>
      <c r="H896" s="120"/>
      <c r="I896" s="119"/>
      <c r="J896" s="119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4"/>
      <c r="AD896" s="237"/>
    </row>
    <row r="897">
      <c r="F897" s="119"/>
      <c r="G897" s="119"/>
      <c r="H897" s="120"/>
      <c r="I897" s="119"/>
      <c r="J897" s="119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4"/>
      <c r="AD897" s="237"/>
    </row>
    <row r="898">
      <c r="F898" s="119"/>
      <c r="G898" s="119"/>
      <c r="H898" s="120"/>
      <c r="I898" s="119"/>
      <c r="J898" s="119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4"/>
      <c r="AD898" s="237"/>
    </row>
    <row r="899">
      <c r="F899" s="119"/>
      <c r="G899" s="119"/>
      <c r="H899" s="120"/>
      <c r="I899" s="119"/>
      <c r="J899" s="119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4"/>
      <c r="AD899" s="237"/>
    </row>
    <row r="900">
      <c r="F900" s="119"/>
      <c r="G900" s="119"/>
      <c r="H900" s="120"/>
      <c r="I900" s="119"/>
      <c r="J900" s="119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4"/>
      <c r="AD900" s="237"/>
    </row>
    <row r="901">
      <c r="F901" s="119"/>
      <c r="G901" s="119"/>
      <c r="H901" s="120"/>
      <c r="I901" s="119"/>
      <c r="J901" s="119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4"/>
      <c r="AD901" s="237"/>
    </row>
    <row r="902">
      <c r="F902" s="119"/>
      <c r="G902" s="119"/>
      <c r="H902" s="120"/>
      <c r="I902" s="119"/>
      <c r="J902" s="119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4"/>
      <c r="AD902" s="237"/>
    </row>
    <row r="903">
      <c r="F903" s="119"/>
      <c r="G903" s="119"/>
      <c r="H903" s="120"/>
      <c r="I903" s="119"/>
      <c r="J903" s="119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4"/>
      <c r="AD903" s="237"/>
    </row>
    <row r="904">
      <c r="F904" s="119"/>
      <c r="G904" s="119"/>
      <c r="H904" s="120"/>
      <c r="I904" s="119"/>
      <c r="J904" s="119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4"/>
      <c r="AD904" s="237"/>
    </row>
    <row r="905">
      <c r="F905" s="119"/>
      <c r="G905" s="119"/>
      <c r="H905" s="120"/>
      <c r="I905" s="119"/>
      <c r="J905" s="119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4"/>
      <c r="AD905" s="237"/>
    </row>
    <row r="906">
      <c r="F906" s="119"/>
      <c r="G906" s="119"/>
      <c r="H906" s="120"/>
      <c r="I906" s="119"/>
      <c r="J906" s="119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4"/>
      <c r="AD906" s="237"/>
    </row>
    <row r="907">
      <c r="F907" s="119"/>
      <c r="G907" s="119"/>
      <c r="H907" s="120"/>
      <c r="I907" s="119"/>
      <c r="J907" s="119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4"/>
      <c r="AD907" s="237"/>
    </row>
    <row r="908">
      <c r="F908" s="119"/>
      <c r="G908" s="119"/>
      <c r="H908" s="120"/>
      <c r="I908" s="119"/>
      <c r="J908" s="119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4"/>
      <c r="AD908" s="237"/>
    </row>
    <row r="909">
      <c r="F909" s="119"/>
      <c r="G909" s="119"/>
      <c r="H909" s="120"/>
      <c r="I909" s="119"/>
      <c r="J909" s="119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4"/>
      <c r="AD909" s="237"/>
    </row>
    <row r="910">
      <c r="F910" s="119"/>
      <c r="G910" s="119"/>
      <c r="H910" s="120"/>
      <c r="I910" s="119"/>
      <c r="J910" s="119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4"/>
      <c r="AD910" s="237"/>
    </row>
    <row r="911">
      <c r="F911" s="119"/>
      <c r="G911" s="119"/>
      <c r="H911" s="120"/>
      <c r="I911" s="119"/>
      <c r="J911" s="119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4"/>
      <c r="AD911" s="237"/>
    </row>
    <row r="912">
      <c r="F912" s="119"/>
      <c r="G912" s="119"/>
      <c r="H912" s="120"/>
      <c r="I912" s="119"/>
      <c r="J912" s="119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4"/>
      <c r="AD912" s="237"/>
    </row>
    <row r="913">
      <c r="F913" s="119"/>
      <c r="G913" s="119"/>
      <c r="H913" s="120"/>
      <c r="I913" s="119"/>
      <c r="J913" s="119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4"/>
      <c r="AD913" s="237"/>
    </row>
    <row r="914">
      <c r="F914" s="119"/>
      <c r="G914" s="119"/>
      <c r="H914" s="120"/>
      <c r="I914" s="119"/>
      <c r="J914" s="119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4"/>
      <c r="AD914" s="237"/>
    </row>
    <row r="915">
      <c r="F915" s="119"/>
      <c r="G915" s="119"/>
      <c r="H915" s="120"/>
      <c r="I915" s="119"/>
      <c r="J915" s="119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4"/>
      <c r="AD915" s="237"/>
    </row>
    <row r="916">
      <c r="F916" s="119"/>
      <c r="G916" s="119"/>
      <c r="H916" s="120"/>
      <c r="I916" s="119"/>
      <c r="J916" s="119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4"/>
      <c r="AD916" s="237"/>
    </row>
    <row r="917">
      <c r="F917" s="119"/>
      <c r="G917" s="119"/>
      <c r="H917" s="120"/>
      <c r="I917" s="119"/>
      <c r="J917" s="119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4"/>
      <c r="AD917" s="237"/>
    </row>
    <row r="918">
      <c r="F918" s="119"/>
      <c r="G918" s="119"/>
      <c r="H918" s="120"/>
      <c r="I918" s="119"/>
      <c r="J918" s="119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4"/>
      <c r="AD918" s="237"/>
    </row>
    <row r="919">
      <c r="F919" s="119"/>
      <c r="G919" s="119"/>
      <c r="H919" s="120"/>
      <c r="I919" s="119"/>
      <c r="J919" s="119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4"/>
      <c r="AD919" s="237"/>
    </row>
    <row r="920">
      <c r="F920" s="119"/>
      <c r="G920" s="119"/>
      <c r="H920" s="120"/>
      <c r="I920" s="119"/>
      <c r="J920" s="119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4"/>
      <c r="AD920" s="237"/>
    </row>
    <row r="921">
      <c r="F921" s="119"/>
      <c r="G921" s="119"/>
      <c r="H921" s="120"/>
      <c r="I921" s="119"/>
      <c r="J921" s="119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4"/>
      <c r="AD921" s="237"/>
    </row>
    <row r="922">
      <c r="F922" s="119"/>
      <c r="G922" s="119"/>
      <c r="H922" s="120"/>
      <c r="I922" s="119"/>
      <c r="J922" s="119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4"/>
      <c r="AD922" s="237"/>
    </row>
    <row r="923">
      <c r="F923" s="119"/>
      <c r="G923" s="119"/>
      <c r="H923" s="120"/>
      <c r="I923" s="119"/>
      <c r="J923" s="119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4"/>
      <c r="AD923" s="237"/>
    </row>
    <row r="924">
      <c r="F924" s="119"/>
      <c r="G924" s="119"/>
      <c r="H924" s="120"/>
      <c r="I924" s="119"/>
      <c r="J924" s="119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4"/>
      <c r="AD924" s="237"/>
    </row>
    <row r="925">
      <c r="F925" s="119"/>
      <c r="G925" s="119"/>
      <c r="H925" s="120"/>
      <c r="I925" s="119"/>
      <c r="J925" s="119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4"/>
      <c r="AD925" s="237"/>
    </row>
    <row r="926">
      <c r="F926" s="119"/>
      <c r="G926" s="119"/>
      <c r="H926" s="120"/>
      <c r="I926" s="119"/>
      <c r="J926" s="119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4"/>
      <c r="AD926" s="237"/>
    </row>
    <row r="927">
      <c r="F927" s="119"/>
      <c r="G927" s="119"/>
      <c r="H927" s="120"/>
      <c r="I927" s="119"/>
      <c r="J927" s="119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4"/>
      <c r="AD927" s="237"/>
    </row>
    <row r="928">
      <c r="F928" s="119"/>
      <c r="G928" s="119"/>
      <c r="H928" s="120"/>
      <c r="I928" s="119"/>
      <c r="J928" s="119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4"/>
      <c r="AD928" s="237"/>
    </row>
    <row r="929">
      <c r="F929" s="119"/>
      <c r="G929" s="119"/>
      <c r="H929" s="120"/>
      <c r="I929" s="119"/>
      <c r="J929" s="119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4"/>
      <c r="AD929" s="237"/>
    </row>
    <row r="930">
      <c r="F930" s="119"/>
      <c r="G930" s="119"/>
      <c r="H930" s="120"/>
      <c r="I930" s="119"/>
      <c r="J930" s="119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4"/>
      <c r="AD930" s="237"/>
    </row>
    <row r="931">
      <c r="F931" s="119"/>
      <c r="G931" s="119"/>
      <c r="H931" s="120"/>
      <c r="I931" s="119"/>
      <c r="J931" s="119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4"/>
      <c r="AD931" s="237"/>
    </row>
    <row r="932">
      <c r="F932" s="119"/>
      <c r="G932" s="119"/>
      <c r="H932" s="120"/>
      <c r="I932" s="119"/>
      <c r="J932" s="119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4"/>
      <c r="AD932" s="237"/>
    </row>
    <row r="933">
      <c r="F933" s="119"/>
      <c r="G933" s="119"/>
      <c r="H933" s="120"/>
      <c r="I933" s="119"/>
      <c r="J933" s="119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4"/>
      <c r="AD933" s="237"/>
    </row>
    <row r="934">
      <c r="F934" s="119"/>
      <c r="G934" s="119"/>
      <c r="H934" s="120"/>
      <c r="I934" s="119"/>
      <c r="J934" s="119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4"/>
      <c r="AD934" s="237"/>
    </row>
    <row r="935">
      <c r="F935" s="119"/>
      <c r="G935" s="119"/>
      <c r="H935" s="120"/>
      <c r="I935" s="119"/>
      <c r="J935" s="119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4"/>
      <c r="AD935" s="237"/>
    </row>
    <row r="936">
      <c r="F936" s="119"/>
      <c r="G936" s="119"/>
      <c r="H936" s="120"/>
      <c r="I936" s="119"/>
      <c r="J936" s="119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4"/>
      <c r="AD936" s="237"/>
    </row>
    <row r="937">
      <c r="F937" s="119"/>
      <c r="G937" s="119"/>
      <c r="H937" s="120"/>
      <c r="I937" s="119"/>
      <c r="J937" s="119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4"/>
      <c r="AD937" s="237"/>
    </row>
    <row r="938">
      <c r="F938" s="119"/>
      <c r="G938" s="119"/>
      <c r="H938" s="120"/>
      <c r="I938" s="119"/>
      <c r="J938" s="119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4"/>
      <c r="AD938" s="237"/>
    </row>
    <row r="939">
      <c r="F939" s="119"/>
      <c r="G939" s="119"/>
      <c r="H939" s="120"/>
      <c r="I939" s="119"/>
      <c r="J939" s="119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4"/>
      <c r="AD939" s="237"/>
    </row>
    <row r="940">
      <c r="F940" s="119"/>
      <c r="G940" s="119"/>
      <c r="H940" s="120"/>
      <c r="I940" s="119"/>
      <c r="J940" s="119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4"/>
      <c r="AD940" s="237"/>
    </row>
    <row r="941">
      <c r="F941" s="119"/>
      <c r="G941" s="119"/>
      <c r="H941" s="120"/>
      <c r="I941" s="119"/>
      <c r="J941" s="119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4"/>
      <c r="AD941" s="237"/>
    </row>
    <row r="942">
      <c r="F942" s="119"/>
      <c r="G942" s="119"/>
      <c r="H942" s="120"/>
      <c r="I942" s="119"/>
      <c r="J942" s="119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4"/>
      <c r="AD942" s="237"/>
    </row>
    <row r="943">
      <c r="F943" s="119"/>
      <c r="G943" s="119"/>
      <c r="H943" s="120"/>
      <c r="I943" s="119"/>
      <c r="J943" s="119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4"/>
      <c r="AD943" s="237"/>
    </row>
    <row r="944">
      <c r="F944" s="119"/>
      <c r="G944" s="119"/>
      <c r="H944" s="120"/>
      <c r="I944" s="119"/>
      <c r="J944" s="119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4"/>
      <c r="AD944" s="237"/>
    </row>
    <row r="945">
      <c r="F945" s="119"/>
      <c r="G945" s="119"/>
      <c r="H945" s="120"/>
      <c r="I945" s="119"/>
      <c r="J945" s="119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4"/>
      <c r="AD945" s="237"/>
    </row>
    <row r="946">
      <c r="F946" s="119"/>
      <c r="G946" s="119"/>
      <c r="H946" s="120"/>
      <c r="I946" s="119"/>
      <c r="J946" s="119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4"/>
      <c r="AD946" s="237"/>
    </row>
    <row r="947">
      <c r="F947" s="119"/>
      <c r="G947" s="119"/>
      <c r="H947" s="120"/>
      <c r="I947" s="119"/>
      <c r="J947" s="119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4"/>
      <c r="AD947" s="237"/>
    </row>
    <row r="948">
      <c r="F948" s="119"/>
      <c r="G948" s="119"/>
      <c r="H948" s="120"/>
      <c r="I948" s="119"/>
      <c r="J948" s="119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4"/>
      <c r="AD948" s="237"/>
    </row>
    <row r="949">
      <c r="F949" s="119"/>
      <c r="G949" s="119"/>
      <c r="H949" s="120"/>
      <c r="I949" s="119"/>
      <c r="J949" s="119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4"/>
      <c r="AD949" s="237"/>
    </row>
    <row r="950">
      <c r="F950" s="119"/>
      <c r="G950" s="119"/>
      <c r="H950" s="120"/>
      <c r="I950" s="119"/>
      <c r="J950" s="119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4"/>
      <c r="AD950" s="237"/>
    </row>
    <row r="951">
      <c r="F951" s="119"/>
      <c r="G951" s="119"/>
      <c r="H951" s="120"/>
      <c r="I951" s="119"/>
      <c r="J951" s="119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4"/>
      <c r="AD951" s="237"/>
    </row>
    <row r="952">
      <c r="F952" s="119"/>
      <c r="G952" s="119"/>
      <c r="H952" s="120"/>
      <c r="I952" s="119"/>
      <c r="J952" s="119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4"/>
      <c r="AD952" s="237"/>
    </row>
    <row r="953">
      <c r="F953" s="119"/>
      <c r="G953" s="119"/>
      <c r="H953" s="120"/>
      <c r="I953" s="119"/>
      <c r="J953" s="119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4"/>
      <c r="AD953" s="237"/>
    </row>
    <row r="954">
      <c r="F954" s="119"/>
      <c r="G954" s="119"/>
      <c r="H954" s="120"/>
      <c r="I954" s="119"/>
      <c r="J954" s="119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4"/>
      <c r="AD954" s="237"/>
    </row>
    <row r="955">
      <c r="F955" s="119"/>
      <c r="G955" s="119"/>
      <c r="H955" s="120"/>
      <c r="I955" s="119"/>
      <c r="J955" s="119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4"/>
      <c r="AD955" s="237"/>
    </row>
    <row r="956">
      <c r="F956" s="119"/>
      <c r="G956" s="119"/>
      <c r="H956" s="120"/>
      <c r="I956" s="119"/>
      <c r="J956" s="119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4"/>
      <c r="AD956" s="237"/>
    </row>
    <row r="957">
      <c r="F957" s="119"/>
      <c r="G957" s="119"/>
      <c r="H957" s="120"/>
      <c r="I957" s="119"/>
      <c r="J957" s="119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4"/>
      <c r="AD957" s="237"/>
    </row>
    <row r="958">
      <c r="F958" s="119"/>
      <c r="G958" s="119"/>
      <c r="H958" s="120"/>
      <c r="I958" s="119"/>
      <c r="J958" s="119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4"/>
      <c r="AD958" s="237"/>
    </row>
    <row r="959">
      <c r="F959" s="119"/>
      <c r="G959" s="119"/>
      <c r="H959" s="120"/>
      <c r="I959" s="119"/>
      <c r="J959" s="119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4"/>
      <c r="AD959" s="237"/>
    </row>
    <row r="960">
      <c r="F960" s="119"/>
      <c r="G960" s="119"/>
      <c r="H960" s="120"/>
      <c r="I960" s="119"/>
      <c r="J960" s="119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4"/>
      <c r="AD960" s="237"/>
    </row>
    <row r="961">
      <c r="F961" s="119"/>
      <c r="G961" s="119"/>
      <c r="H961" s="120"/>
      <c r="I961" s="119"/>
      <c r="J961" s="119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4"/>
      <c r="AD961" s="237"/>
    </row>
    <row r="962">
      <c r="F962" s="119"/>
      <c r="G962" s="119"/>
      <c r="H962" s="120"/>
      <c r="I962" s="119"/>
      <c r="J962" s="119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4"/>
      <c r="AD962" s="237"/>
    </row>
    <row r="963">
      <c r="F963" s="119"/>
      <c r="G963" s="119"/>
      <c r="H963" s="120"/>
      <c r="I963" s="119"/>
      <c r="J963" s="119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4"/>
      <c r="AD963" s="237"/>
    </row>
    <row r="964">
      <c r="F964" s="119"/>
      <c r="G964" s="119"/>
      <c r="H964" s="120"/>
      <c r="I964" s="119"/>
      <c r="J964" s="119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4"/>
      <c r="AD964" s="237"/>
    </row>
    <row r="965">
      <c r="F965" s="119"/>
      <c r="G965" s="119"/>
      <c r="H965" s="120"/>
      <c r="I965" s="119"/>
      <c r="J965" s="119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4"/>
      <c r="AD965" s="237"/>
    </row>
    <row r="966">
      <c r="F966" s="119"/>
      <c r="G966" s="119"/>
      <c r="H966" s="120"/>
      <c r="I966" s="119"/>
      <c r="J966" s="119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4"/>
      <c r="AD966" s="237"/>
    </row>
    <row r="967">
      <c r="F967" s="119"/>
      <c r="G967" s="119"/>
      <c r="H967" s="120"/>
      <c r="I967" s="119"/>
      <c r="J967" s="119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4"/>
      <c r="AD967" s="237"/>
    </row>
    <row r="968">
      <c r="F968" s="119"/>
      <c r="G968" s="119"/>
      <c r="H968" s="120"/>
      <c r="I968" s="119"/>
      <c r="J968" s="119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4"/>
      <c r="AD968" s="237"/>
    </row>
    <row r="969">
      <c r="F969" s="119"/>
      <c r="G969" s="119"/>
      <c r="H969" s="120"/>
      <c r="I969" s="119"/>
      <c r="J969" s="119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4"/>
      <c r="AD969" s="237"/>
    </row>
    <row r="970">
      <c r="F970" s="119"/>
      <c r="G970" s="119"/>
      <c r="H970" s="120"/>
      <c r="I970" s="119"/>
      <c r="J970" s="119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4"/>
      <c r="AD970" s="237"/>
    </row>
    <row r="971">
      <c r="F971" s="119"/>
      <c r="G971" s="119"/>
      <c r="H971" s="120"/>
      <c r="I971" s="119"/>
      <c r="J971" s="119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4"/>
      <c r="AD971" s="237"/>
    </row>
    <row r="972">
      <c r="F972" s="119"/>
      <c r="G972" s="119"/>
      <c r="H972" s="120"/>
      <c r="I972" s="119"/>
      <c r="J972" s="119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4"/>
      <c r="AD972" s="237"/>
    </row>
    <row r="973">
      <c r="F973" s="119"/>
      <c r="G973" s="119"/>
      <c r="H973" s="120"/>
      <c r="I973" s="119"/>
      <c r="J973" s="119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4"/>
      <c r="AD973" s="237"/>
    </row>
    <row r="974">
      <c r="F974" s="119"/>
      <c r="G974" s="119"/>
      <c r="H974" s="120"/>
      <c r="I974" s="119"/>
      <c r="J974" s="119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4"/>
      <c r="AD974" s="237"/>
    </row>
    <row r="975">
      <c r="F975" s="119"/>
      <c r="G975" s="119"/>
      <c r="H975" s="120"/>
      <c r="I975" s="119"/>
      <c r="J975" s="119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4"/>
      <c r="AD975" s="237"/>
    </row>
    <row r="976">
      <c r="F976" s="119"/>
      <c r="G976" s="119"/>
      <c r="H976" s="120"/>
      <c r="I976" s="119"/>
      <c r="J976" s="119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4"/>
      <c r="AD976" s="237"/>
    </row>
    <row r="977">
      <c r="F977" s="119"/>
      <c r="G977" s="119"/>
      <c r="H977" s="120"/>
      <c r="I977" s="119"/>
      <c r="J977" s="119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4"/>
      <c r="AD977" s="237"/>
    </row>
    <row r="978">
      <c r="F978" s="119"/>
      <c r="G978" s="119"/>
      <c r="H978" s="120"/>
      <c r="I978" s="119"/>
      <c r="J978" s="119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4"/>
      <c r="AD978" s="237"/>
    </row>
    <row r="979">
      <c r="F979" s="119"/>
      <c r="G979" s="119"/>
      <c r="H979" s="120"/>
      <c r="I979" s="119"/>
      <c r="J979" s="119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4"/>
      <c r="AD979" s="237"/>
    </row>
    <row r="980">
      <c r="F980" s="119"/>
      <c r="G980" s="119"/>
      <c r="H980" s="120"/>
      <c r="I980" s="119"/>
      <c r="J980" s="119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4"/>
      <c r="AD980" s="237"/>
    </row>
    <row r="981">
      <c r="F981" s="119"/>
      <c r="G981" s="119"/>
      <c r="H981" s="120"/>
      <c r="I981" s="119"/>
      <c r="J981" s="119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4"/>
      <c r="AD981" s="237"/>
    </row>
    <row r="982">
      <c r="F982" s="119"/>
      <c r="G982" s="119"/>
      <c r="H982" s="120"/>
      <c r="I982" s="119"/>
      <c r="J982" s="119"/>
      <c r="M982" s="2"/>
      <c r="N982" s="2"/>
      <c r="O982" s="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4"/>
      <c r="AD982" s="237"/>
    </row>
    <row r="983">
      <c r="F983" s="119"/>
      <c r="G983" s="119"/>
      <c r="H983" s="120"/>
      <c r="I983" s="119"/>
      <c r="J983" s="119"/>
      <c r="M983" s="2"/>
      <c r="N983" s="2"/>
      <c r="O983" s="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4"/>
      <c r="AD983" s="237"/>
    </row>
    <row r="984">
      <c r="F984" s="119"/>
      <c r="G984" s="119"/>
      <c r="H984" s="120"/>
      <c r="I984" s="119"/>
      <c r="J984" s="119"/>
      <c r="M984" s="2"/>
      <c r="N984" s="2"/>
      <c r="O984" s="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4"/>
      <c r="AD984" s="237"/>
    </row>
    <row r="985">
      <c r="F985" s="119"/>
      <c r="G985" s="119"/>
      <c r="H985" s="120"/>
      <c r="I985" s="119"/>
      <c r="J985" s="119"/>
      <c r="M985" s="2"/>
      <c r="N985" s="2"/>
      <c r="O985" s="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4"/>
      <c r="AD985" s="237"/>
    </row>
    <row r="986">
      <c r="F986" s="119"/>
      <c r="G986" s="119"/>
      <c r="H986" s="120"/>
      <c r="I986" s="119"/>
      <c r="J986" s="119"/>
      <c r="M986" s="2"/>
      <c r="N986" s="2"/>
      <c r="O986" s="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4"/>
      <c r="AD986" s="237"/>
    </row>
    <row r="987">
      <c r="F987" s="119"/>
      <c r="G987" s="119"/>
      <c r="H987" s="120"/>
      <c r="I987" s="119"/>
      <c r="J987" s="119"/>
      <c r="M987" s="2"/>
      <c r="N987" s="2"/>
      <c r="O987" s="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4"/>
      <c r="AD987" s="237"/>
    </row>
    <row r="988">
      <c r="F988" s="119"/>
      <c r="G988" s="119"/>
      <c r="H988" s="120"/>
      <c r="I988" s="119"/>
      <c r="J988" s="119"/>
      <c r="M988" s="2"/>
      <c r="N988" s="2"/>
      <c r="O988" s="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4"/>
      <c r="AD988" s="237"/>
    </row>
    <row r="989">
      <c r="F989" s="119"/>
      <c r="G989" s="119"/>
      <c r="H989" s="120"/>
      <c r="I989" s="119"/>
      <c r="J989" s="119"/>
      <c r="M989" s="2"/>
      <c r="N989" s="2"/>
      <c r="O989" s="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4"/>
      <c r="AD989" s="237"/>
    </row>
    <row r="990">
      <c r="F990" s="119"/>
      <c r="G990" s="119"/>
      <c r="H990" s="120"/>
      <c r="I990" s="119"/>
      <c r="J990" s="119"/>
      <c r="M990" s="2"/>
      <c r="N990" s="2"/>
      <c r="O990" s="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4"/>
      <c r="AD990" s="237"/>
    </row>
    <row r="991">
      <c r="F991" s="119"/>
      <c r="G991" s="119"/>
      <c r="H991" s="120"/>
      <c r="I991" s="119"/>
      <c r="J991" s="119"/>
      <c r="M991" s="2"/>
      <c r="N991" s="2"/>
      <c r="O991" s="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4"/>
      <c r="AD991" s="237"/>
    </row>
    <row r="992">
      <c r="F992" s="119"/>
      <c r="G992" s="119"/>
      <c r="H992" s="120"/>
      <c r="I992" s="119"/>
      <c r="J992" s="119"/>
      <c r="M992" s="2"/>
      <c r="N992" s="2"/>
      <c r="O992" s="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4"/>
      <c r="AD992" s="237"/>
    </row>
    <row r="993">
      <c r="F993" s="119"/>
      <c r="G993" s="119"/>
      <c r="H993" s="120"/>
      <c r="I993" s="119"/>
      <c r="J993" s="119"/>
      <c r="M993" s="2"/>
      <c r="N993" s="2"/>
      <c r="O993" s="2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4"/>
      <c r="AD993" s="237"/>
    </row>
    <row r="994">
      <c r="F994" s="119"/>
      <c r="G994" s="119"/>
      <c r="H994" s="120"/>
      <c r="I994" s="119"/>
      <c r="J994" s="119"/>
      <c r="M994" s="2"/>
      <c r="N994" s="2"/>
      <c r="O994" s="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4"/>
      <c r="AD994" s="237"/>
    </row>
    <row r="995">
      <c r="F995" s="119"/>
      <c r="G995" s="119"/>
      <c r="H995" s="120"/>
      <c r="I995" s="119"/>
      <c r="J995" s="119"/>
      <c r="M995" s="2"/>
      <c r="N995" s="2"/>
      <c r="O995" s="2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4"/>
      <c r="AD995" s="237"/>
    </row>
    <row r="996">
      <c r="F996" s="119"/>
      <c r="G996" s="119"/>
      <c r="H996" s="120"/>
      <c r="I996" s="119"/>
      <c r="J996" s="119"/>
      <c r="M996" s="2"/>
      <c r="N996" s="2"/>
      <c r="O996" s="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4"/>
      <c r="AD996" s="237"/>
    </row>
    <row r="997">
      <c r="F997" s="119"/>
      <c r="G997" s="119"/>
      <c r="H997" s="120"/>
      <c r="I997" s="119"/>
      <c r="J997" s="119"/>
      <c r="M997" s="2"/>
      <c r="N997" s="2"/>
      <c r="O997" s="2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4"/>
      <c r="AD997" s="237"/>
    </row>
    <row r="998">
      <c r="F998" s="119"/>
      <c r="G998" s="119"/>
      <c r="H998" s="120"/>
      <c r="I998" s="119"/>
      <c r="J998" s="119"/>
      <c r="M998" s="2"/>
      <c r="N998" s="2"/>
      <c r="O998" s="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4"/>
      <c r="AD998" s="237"/>
    </row>
    <row r="999">
      <c r="F999" s="119"/>
      <c r="G999" s="119"/>
      <c r="H999" s="120"/>
      <c r="I999" s="119"/>
      <c r="J999" s="119"/>
      <c r="M999" s="2"/>
      <c r="N999" s="2"/>
      <c r="O999" s="2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4"/>
      <c r="AD999" s="237"/>
    </row>
    <row r="1000">
      <c r="F1000" s="119"/>
      <c r="G1000" s="119"/>
      <c r="H1000" s="120"/>
      <c r="I1000" s="119"/>
      <c r="J1000" s="119"/>
      <c r="M1000" s="2"/>
      <c r="N1000" s="2"/>
      <c r="O1000" s="2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4"/>
      <c r="AD1000" s="237"/>
    </row>
    <row r="1001">
      <c r="F1001" s="119"/>
      <c r="G1001" s="119"/>
      <c r="H1001" s="120"/>
      <c r="I1001" s="119"/>
      <c r="J1001" s="119"/>
      <c r="M1001" s="2"/>
      <c r="N1001" s="2"/>
      <c r="O1001" s="2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4"/>
      <c r="AD1001" s="237"/>
    </row>
  </sheetData>
  <autoFilter ref="$A$10:$AD$65"/>
  <mergeCells count="60"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1:AC1"/>
    <mergeCell ref="A2:AC2"/>
    <mergeCell ref="A3:AB3"/>
    <mergeCell ref="A4:AC4"/>
    <mergeCell ref="A5:AC5"/>
    <mergeCell ref="A7:AC7"/>
    <mergeCell ref="A10:A11"/>
    <mergeCell ref="A23:A24"/>
    <mergeCell ref="A25:A26"/>
    <mergeCell ref="A27:A29"/>
    <mergeCell ref="A30:A32"/>
    <mergeCell ref="A33:A35"/>
    <mergeCell ref="A36:A38"/>
    <mergeCell ref="A39:A40"/>
    <mergeCell ref="A61:L61"/>
    <mergeCell ref="A62:L62"/>
    <mergeCell ref="A63:L63"/>
    <mergeCell ref="A64:L64"/>
    <mergeCell ref="A65:AC65"/>
    <mergeCell ref="A41:A43"/>
    <mergeCell ref="A44:A46"/>
    <mergeCell ref="A47:A48"/>
    <mergeCell ref="A49:A51"/>
    <mergeCell ref="A52:A54"/>
    <mergeCell ref="A55:A56"/>
    <mergeCell ref="A58:A60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B10:B11"/>
    <mergeCell ref="C10:C11"/>
    <mergeCell ref="A13:A14"/>
    <mergeCell ref="A15:A16"/>
    <mergeCell ref="A17:A18"/>
    <mergeCell ref="A19:A20"/>
    <mergeCell ref="A21:A2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0.71"/>
    <col customWidth="1" min="3" max="3" width="11.71"/>
    <col customWidth="1" min="4" max="4" width="11.14"/>
    <col customWidth="1" min="5" max="5" width="0.29"/>
    <col customWidth="1" min="6" max="6" width="10.86"/>
    <col customWidth="1" min="7" max="7" width="15.86"/>
    <col customWidth="1" min="8" max="8" width="17.86"/>
    <col customWidth="1" min="9" max="9" width="10.29"/>
    <col customWidth="1" min="10" max="10" width="12.14"/>
    <col customWidth="1" min="11" max="11" width="11.86"/>
    <col customWidth="1" min="12" max="12" width="31.0"/>
    <col customWidth="1" min="13" max="13" width="10.71"/>
    <col customWidth="1" min="14" max="14" width="16.14"/>
    <col customWidth="1" min="15" max="15" width="16.29"/>
    <col customWidth="1" min="16" max="16" width="7.43"/>
    <col customWidth="1" min="17" max="17" width="13.29"/>
    <col customWidth="1" min="18" max="18" width="0.29"/>
    <col customWidth="1" min="19" max="19" width="11.14"/>
    <col customWidth="1" min="20" max="20" width="13.29"/>
    <col customWidth="1" hidden="1" min="21" max="21" width="18.71"/>
    <col customWidth="1" min="22" max="22" width="0.43"/>
    <col customWidth="1" min="23" max="23" width="13.71"/>
    <col customWidth="1" hidden="1" min="24" max="24" width="16.43"/>
    <col customWidth="1" hidden="1" min="25" max="25" width="18.43"/>
    <col customWidth="1" hidden="1" min="26" max="26" width="16.86"/>
    <col customWidth="1" min="27" max="27" width="13.71"/>
    <col customWidth="1" min="28" max="28" width="0.43"/>
    <col customWidth="1" min="29" max="29" width="16.0"/>
    <col customWidth="1" min="30" max="30" width="0.43"/>
    <col customWidth="1" min="31" max="31" width="18.0"/>
    <col customWidth="1" min="32" max="32" width="20.0"/>
    <col customWidth="1" min="33" max="33" width="22.86"/>
  </cols>
  <sheetData>
    <row r="1">
      <c r="A1" s="295" t="s">
        <v>574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237"/>
    </row>
    <row r="2">
      <c r="A2" s="8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237"/>
    </row>
    <row r="3" ht="17.25" customHeight="1">
      <c r="A3" s="9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0"/>
      <c r="AE3" s="237"/>
    </row>
    <row r="4" ht="33.0" customHeight="1">
      <c r="A4" s="11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7"/>
      <c r="AE4" s="237"/>
    </row>
    <row r="5">
      <c r="A5" s="11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  <c r="AE5" s="237"/>
    </row>
    <row r="6" ht="21.0" hidden="1" customHeight="1">
      <c r="A6" s="11"/>
      <c r="B6" s="12"/>
      <c r="C6" s="12"/>
      <c r="D6" s="12"/>
      <c r="E6" s="12"/>
      <c r="F6" s="121"/>
      <c r="G6" s="121"/>
      <c r="H6" s="122"/>
      <c r="I6" s="121"/>
      <c r="J6" s="121"/>
      <c r="K6" s="12"/>
      <c r="L6" s="12"/>
      <c r="M6" s="13"/>
      <c r="N6" s="13"/>
      <c r="O6" s="13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237"/>
    </row>
    <row r="7" ht="21.0" hidden="1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  <c r="AE7" s="237"/>
    </row>
    <row r="8" ht="21.0" hidden="1" customHeight="1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237"/>
    </row>
    <row r="9" ht="21.0" hidden="1" customHeight="1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237"/>
    </row>
    <row r="10" ht="29.25" customHeight="1">
      <c r="A10" s="20" t="s">
        <v>12</v>
      </c>
      <c r="B10" s="21" t="s">
        <v>15</v>
      </c>
      <c r="C10" s="21" t="s">
        <v>13</v>
      </c>
      <c r="D10" s="21" t="s">
        <v>14</v>
      </c>
      <c r="E10" s="21" t="s">
        <v>15</v>
      </c>
      <c r="F10" s="21" t="s">
        <v>16</v>
      </c>
      <c r="G10" s="21" t="s">
        <v>169</v>
      </c>
      <c r="H10" s="24" t="s">
        <v>23</v>
      </c>
      <c r="I10" s="21" t="s">
        <v>27</v>
      </c>
      <c r="J10" s="21" t="s">
        <v>30</v>
      </c>
      <c r="K10" s="21" t="s">
        <v>18</v>
      </c>
      <c r="L10" s="21" t="s">
        <v>31</v>
      </c>
      <c r="M10" s="21" t="s">
        <v>170</v>
      </c>
      <c r="N10" s="21" t="s">
        <v>21</v>
      </c>
      <c r="O10" s="21" t="s">
        <v>22</v>
      </c>
      <c r="P10" s="25" t="s">
        <v>24</v>
      </c>
      <c r="Q10" s="25" t="s">
        <v>25</v>
      </c>
      <c r="R10" s="25" t="s">
        <v>174</v>
      </c>
      <c r="S10" s="23" t="s">
        <v>37</v>
      </c>
      <c r="T10" s="25" t="s">
        <v>39</v>
      </c>
      <c r="U10" s="25" t="s">
        <v>40</v>
      </c>
      <c r="V10" s="25" t="s">
        <v>43</v>
      </c>
      <c r="W10" s="25" t="s">
        <v>45</v>
      </c>
      <c r="X10" s="25" t="s">
        <v>46</v>
      </c>
      <c r="Y10" s="25" t="s">
        <v>47</v>
      </c>
      <c r="Z10" s="25" t="s">
        <v>48</v>
      </c>
      <c r="AA10" s="296" t="s">
        <v>575</v>
      </c>
      <c r="AB10" s="25" t="s">
        <v>32</v>
      </c>
      <c r="AC10" s="25" t="s">
        <v>33</v>
      </c>
      <c r="AD10" s="238" t="s">
        <v>34</v>
      </c>
      <c r="AE10" s="239" t="s">
        <v>455</v>
      </c>
    </row>
    <row r="11" ht="37.5" customHeight="1">
      <c r="A11" s="28"/>
      <c r="B11" s="30"/>
      <c r="C11" s="29"/>
      <c r="D11" s="29"/>
      <c r="E11" s="29"/>
      <c r="F11" s="29"/>
      <c r="G11" s="30"/>
      <c r="H11" s="30"/>
      <c r="I11" s="29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40"/>
      <c r="AE11" s="30"/>
    </row>
    <row r="12" ht="30.0" customHeight="1">
      <c r="A12" s="261" t="s">
        <v>369</v>
      </c>
      <c r="B12" s="262" t="s">
        <v>459</v>
      </c>
      <c r="C12" s="297">
        <v>46174.0</v>
      </c>
      <c r="D12" s="297">
        <v>46174.0</v>
      </c>
      <c r="E12" s="298"/>
      <c r="F12" s="299" t="s">
        <v>176</v>
      </c>
      <c r="G12" s="300"/>
      <c r="H12" s="301"/>
      <c r="I12" s="298"/>
      <c r="J12" s="300"/>
      <c r="K12" s="302"/>
      <c r="L12" s="299" t="s">
        <v>576</v>
      </c>
      <c r="M12" s="303"/>
      <c r="N12" s="304">
        <v>1295727.0</v>
      </c>
      <c r="O12" s="305">
        <v>800000.0</v>
      </c>
      <c r="P12" s="306"/>
      <c r="Q12" s="307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>
        <f t="shared" ref="AC12:AC13" si="1">O12</f>
        <v>800000</v>
      </c>
      <c r="AD12" s="308"/>
      <c r="AE12" s="241">
        <f t="shared" ref="AE12:AE17" si="2">AC12-N12</f>
        <v>-495727</v>
      </c>
      <c r="AF12" s="271"/>
      <c r="AG12" s="271"/>
    </row>
    <row r="13" ht="30.0" customHeight="1">
      <c r="A13" s="219"/>
      <c r="B13" s="262" t="s">
        <v>459</v>
      </c>
      <c r="C13" s="297">
        <v>46174.0</v>
      </c>
      <c r="D13" s="297">
        <v>46174.0</v>
      </c>
      <c r="E13" s="37"/>
      <c r="F13" s="263" t="s">
        <v>176</v>
      </c>
      <c r="G13" s="263"/>
      <c r="H13" s="264"/>
      <c r="I13" s="37"/>
      <c r="J13" s="263"/>
      <c r="K13" s="266"/>
      <c r="L13" s="263" t="s">
        <v>577</v>
      </c>
      <c r="M13" s="267"/>
      <c r="N13" s="304">
        <v>1820000.0</v>
      </c>
      <c r="O13" s="268">
        <v>2500000.0</v>
      </c>
      <c r="P13" s="241"/>
      <c r="Q13" s="45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>
        <f t="shared" si="1"/>
        <v>2500000</v>
      </c>
      <c r="AD13" s="63"/>
      <c r="AE13" s="241">
        <f t="shared" si="2"/>
        <v>680000</v>
      </c>
      <c r="AF13" s="271"/>
      <c r="AG13" s="271"/>
    </row>
    <row r="14" ht="30.0" customHeight="1">
      <c r="A14" s="30"/>
      <c r="B14" s="262" t="s">
        <v>459</v>
      </c>
      <c r="C14" s="297">
        <v>46174.0</v>
      </c>
      <c r="D14" s="297">
        <v>46176.0</v>
      </c>
      <c r="E14" s="37"/>
      <c r="F14" s="263" t="s">
        <v>561</v>
      </c>
      <c r="G14" s="263" t="s">
        <v>559</v>
      </c>
      <c r="H14" s="264">
        <v>1.0829481575E11</v>
      </c>
      <c r="I14" s="263" t="s">
        <v>578</v>
      </c>
      <c r="J14" s="263" t="s">
        <v>579</v>
      </c>
      <c r="K14" s="266" t="s">
        <v>580</v>
      </c>
      <c r="L14" s="263" t="s">
        <v>581</v>
      </c>
      <c r="M14" s="267">
        <v>1.0</v>
      </c>
      <c r="N14" s="304">
        <v>3.6326727E7</v>
      </c>
      <c r="O14" s="268">
        <v>3.7037037E7</v>
      </c>
      <c r="P14" s="241"/>
      <c r="Q14" s="45"/>
      <c r="R14" s="241"/>
      <c r="S14" s="274">
        <v>800000.0</v>
      </c>
      <c r="T14" s="274">
        <v>400000.0</v>
      </c>
      <c r="U14" s="241"/>
      <c r="V14" s="241"/>
      <c r="W14" s="274">
        <v>1134000.0</v>
      </c>
      <c r="X14" s="241"/>
      <c r="Y14" s="241"/>
      <c r="Z14" s="241"/>
      <c r="AA14" s="274"/>
      <c r="AB14" s="274"/>
      <c r="AC14" s="241">
        <f>sum(O14:W14)</f>
        <v>39371037</v>
      </c>
      <c r="AD14" s="63"/>
      <c r="AE14" s="241">
        <f t="shared" si="2"/>
        <v>3044310</v>
      </c>
      <c r="AF14" s="271"/>
      <c r="AG14" s="271"/>
    </row>
    <row r="15" ht="30.0" customHeight="1">
      <c r="A15" s="277" t="s">
        <v>375</v>
      </c>
      <c r="B15" s="262" t="s">
        <v>544</v>
      </c>
      <c r="C15" s="288">
        <v>46185.0</v>
      </c>
      <c r="D15" s="288">
        <v>46191.0</v>
      </c>
      <c r="E15" s="37"/>
      <c r="F15" s="263" t="s">
        <v>582</v>
      </c>
      <c r="G15" s="263" t="s">
        <v>544</v>
      </c>
      <c r="H15" s="49"/>
      <c r="I15" s="263" t="s">
        <v>583</v>
      </c>
      <c r="J15" s="263" t="s">
        <v>584</v>
      </c>
      <c r="K15" s="266" t="s">
        <v>530</v>
      </c>
      <c r="L15" s="263" t="s">
        <v>585</v>
      </c>
      <c r="M15" s="267">
        <v>1.0</v>
      </c>
      <c r="N15" s="278">
        <f>13400000+2710000</f>
        <v>16110000</v>
      </c>
      <c r="O15" s="269">
        <f>13363325/1.08</f>
        <v>12373449.07</v>
      </c>
      <c r="P15" s="274">
        <v>5.0</v>
      </c>
      <c r="Q15" s="269">
        <v>6000000.0</v>
      </c>
      <c r="R15" s="241"/>
      <c r="S15" s="241"/>
      <c r="T15" s="241"/>
      <c r="U15" s="241"/>
      <c r="V15" s="241"/>
      <c r="W15" s="241"/>
      <c r="X15" s="241"/>
      <c r="Y15" s="241"/>
      <c r="Z15" s="241"/>
      <c r="AA15" s="274">
        <f>4355120/1.08</f>
        <v>4032518.519</v>
      </c>
      <c r="AB15" s="241"/>
      <c r="AC15" s="241">
        <f>sum(O15,Q15,AA15)</f>
        <v>22405967.59</v>
      </c>
      <c r="AD15" s="137"/>
      <c r="AE15" s="241">
        <f t="shared" si="2"/>
        <v>6295967.593</v>
      </c>
      <c r="AF15" s="54"/>
      <c r="AG15" s="54"/>
    </row>
    <row r="16" ht="30.0" customHeight="1">
      <c r="A16" s="219"/>
      <c r="B16" s="262" t="s">
        <v>544</v>
      </c>
      <c r="C16" s="288">
        <v>46193.0</v>
      </c>
      <c r="D16" s="288">
        <v>46193.0</v>
      </c>
      <c r="E16" s="37"/>
      <c r="F16" s="263" t="s">
        <v>586</v>
      </c>
      <c r="G16" s="263" t="s">
        <v>544</v>
      </c>
      <c r="H16" s="49"/>
      <c r="I16" s="37"/>
      <c r="J16" s="263" t="s">
        <v>587</v>
      </c>
      <c r="K16" s="266"/>
      <c r="L16" s="263" t="s">
        <v>588</v>
      </c>
      <c r="M16" s="267">
        <v>1.0</v>
      </c>
      <c r="N16" s="278">
        <v>1500000.0</v>
      </c>
      <c r="O16" s="45">
        <f>5562500/1.08</f>
        <v>5150462.963</v>
      </c>
      <c r="P16" s="241"/>
      <c r="Q16" s="45"/>
      <c r="R16" s="241"/>
      <c r="S16" s="45"/>
      <c r="T16" s="45"/>
      <c r="U16" s="45"/>
      <c r="V16" s="45"/>
      <c r="W16" s="45"/>
      <c r="X16" s="241"/>
      <c r="Y16" s="241"/>
      <c r="Z16" s="241"/>
      <c r="AA16" s="241"/>
      <c r="AB16" s="241"/>
      <c r="AC16" s="241">
        <f t="shared" ref="AC16:AC17" si="3">O16</f>
        <v>5150462.963</v>
      </c>
      <c r="AD16" s="137"/>
      <c r="AE16" s="241">
        <f t="shared" si="2"/>
        <v>3650462.963</v>
      </c>
      <c r="AF16" s="242"/>
      <c r="AG16" s="54"/>
    </row>
    <row r="17" ht="30.0" customHeight="1">
      <c r="A17" s="30"/>
      <c r="B17" s="262" t="s">
        <v>544</v>
      </c>
      <c r="C17" s="288">
        <v>46192.0</v>
      </c>
      <c r="D17" s="288">
        <v>46194.0</v>
      </c>
      <c r="E17" s="37"/>
      <c r="F17" s="263" t="s">
        <v>561</v>
      </c>
      <c r="G17" s="263" t="s">
        <v>544</v>
      </c>
      <c r="H17" s="49"/>
      <c r="I17" s="37"/>
      <c r="J17" s="263" t="s">
        <v>589</v>
      </c>
      <c r="K17" s="266" t="s">
        <v>580</v>
      </c>
      <c r="L17" s="263" t="s">
        <v>590</v>
      </c>
      <c r="M17" s="267">
        <v>1.0</v>
      </c>
      <c r="N17" s="278">
        <f>23000000+3000000+500000</f>
        <v>26500000</v>
      </c>
      <c r="O17" s="45">
        <f>46102220/1.08</f>
        <v>42687240.74</v>
      </c>
      <c r="P17" s="241"/>
      <c r="Q17" s="45"/>
      <c r="R17" s="241"/>
      <c r="S17" s="45"/>
      <c r="T17" s="45"/>
      <c r="U17" s="45"/>
      <c r="V17" s="45"/>
      <c r="W17" s="45"/>
      <c r="X17" s="241"/>
      <c r="Y17" s="241"/>
      <c r="Z17" s="241"/>
      <c r="AA17" s="241"/>
      <c r="AB17" s="241"/>
      <c r="AC17" s="241">
        <f t="shared" si="3"/>
        <v>42687240.74</v>
      </c>
      <c r="AD17" s="137"/>
      <c r="AE17" s="241">
        <f t="shared" si="2"/>
        <v>16187240.74</v>
      </c>
      <c r="AF17" s="242"/>
      <c r="AG17" s="54"/>
    </row>
    <row r="18" ht="30.0" hidden="1" customHeight="1">
      <c r="A18" s="281" t="s">
        <v>380</v>
      </c>
      <c r="B18" s="177"/>
      <c r="C18" s="44"/>
      <c r="D18" s="44"/>
      <c r="E18" s="37"/>
      <c r="F18" s="37"/>
      <c r="G18" s="263"/>
      <c r="H18" s="49"/>
      <c r="I18" s="37"/>
      <c r="J18" s="37"/>
      <c r="K18" s="42"/>
      <c r="L18" s="37"/>
      <c r="M18" s="202"/>
      <c r="N18" s="74"/>
      <c r="O18" s="45"/>
      <c r="P18" s="241"/>
      <c r="Q18" s="45"/>
      <c r="R18" s="241"/>
      <c r="S18" s="45"/>
      <c r="T18" s="45"/>
      <c r="U18" s="45"/>
      <c r="V18" s="45"/>
      <c r="W18" s="45"/>
      <c r="X18" s="241"/>
      <c r="Y18" s="241"/>
      <c r="Z18" s="241"/>
      <c r="AA18" s="241"/>
      <c r="AB18" s="241"/>
      <c r="AC18" s="241"/>
      <c r="AD18" s="283"/>
      <c r="AE18" s="241"/>
      <c r="AF18" s="56"/>
      <c r="AG18" s="56"/>
    </row>
    <row r="19" ht="30.0" hidden="1" customHeight="1">
      <c r="A19" s="30"/>
      <c r="B19" s="177"/>
      <c r="C19" s="44"/>
      <c r="D19" s="44"/>
      <c r="E19" s="37"/>
      <c r="F19" s="37"/>
      <c r="G19" s="263"/>
      <c r="H19" s="49"/>
      <c r="I19" s="37"/>
      <c r="J19" s="37"/>
      <c r="K19" s="42"/>
      <c r="L19" s="37"/>
      <c r="M19" s="202"/>
      <c r="N19" s="74"/>
      <c r="O19" s="45"/>
      <c r="P19" s="241"/>
      <c r="Q19" s="45"/>
      <c r="R19" s="241"/>
      <c r="S19" s="45"/>
      <c r="T19" s="45"/>
      <c r="U19" s="45"/>
      <c r="V19" s="45"/>
      <c r="W19" s="45"/>
      <c r="X19" s="241"/>
      <c r="Y19" s="241"/>
      <c r="Z19" s="241"/>
      <c r="AA19" s="241"/>
      <c r="AB19" s="241"/>
      <c r="AC19" s="241"/>
      <c r="AD19" s="283"/>
      <c r="AE19" s="241"/>
      <c r="AF19" s="245"/>
      <c r="AG19" s="56"/>
    </row>
    <row r="20" ht="30.0" hidden="1" customHeight="1">
      <c r="A20" s="281" t="s">
        <v>384</v>
      </c>
      <c r="B20" s="177"/>
      <c r="C20" s="44"/>
      <c r="D20" s="44"/>
      <c r="E20" s="37"/>
      <c r="F20" s="37"/>
      <c r="G20" s="263"/>
      <c r="H20" s="49"/>
      <c r="I20" s="37"/>
      <c r="J20" s="37"/>
      <c r="K20" s="42"/>
      <c r="L20" s="37"/>
      <c r="M20" s="202"/>
      <c r="N20" s="74"/>
      <c r="O20" s="45"/>
      <c r="P20" s="241"/>
      <c r="Q20" s="45"/>
      <c r="R20" s="241"/>
      <c r="S20" s="45"/>
      <c r="T20" s="45"/>
      <c r="U20" s="45"/>
      <c r="V20" s="45"/>
      <c r="W20" s="45"/>
      <c r="X20" s="241"/>
      <c r="Y20" s="241"/>
      <c r="Z20" s="241"/>
      <c r="AA20" s="241"/>
      <c r="AB20" s="241"/>
      <c r="AC20" s="241"/>
      <c r="AD20" s="137"/>
      <c r="AE20" s="241"/>
      <c r="AF20" s="56"/>
      <c r="AG20" s="56"/>
    </row>
    <row r="21" ht="30.0" hidden="1" customHeight="1">
      <c r="A21" s="30"/>
      <c r="B21" s="177"/>
      <c r="C21" s="44"/>
      <c r="D21" s="44"/>
      <c r="E21" s="44"/>
      <c r="F21" s="37"/>
      <c r="G21" s="263"/>
      <c r="H21" s="49"/>
      <c r="I21" s="37"/>
      <c r="J21" s="37"/>
      <c r="K21" s="42"/>
      <c r="L21" s="37"/>
      <c r="M21" s="202"/>
      <c r="N21" s="74"/>
      <c r="O21" s="45"/>
      <c r="P21" s="241"/>
      <c r="Q21" s="45"/>
      <c r="R21" s="241"/>
      <c r="S21" s="45"/>
      <c r="T21" s="45"/>
      <c r="U21" s="45"/>
      <c r="V21" s="45"/>
      <c r="W21" s="45"/>
      <c r="X21" s="241"/>
      <c r="Y21" s="241"/>
      <c r="Z21" s="241"/>
      <c r="AA21" s="241"/>
      <c r="AB21" s="241"/>
      <c r="AC21" s="241"/>
      <c r="AD21" s="137"/>
      <c r="AE21" s="241"/>
      <c r="AF21" s="245"/>
      <c r="AG21" s="56"/>
    </row>
    <row r="22" ht="30.0" hidden="1" customHeight="1">
      <c r="A22" s="281" t="s">
        <v>389</v>
      </c>
      <c r="B22" s="177"/>
      <c r="C22" s="44"/>
      <c r="D22" s="44"/>
      <c r="E22" s="37"/>
      <c r="F22" s="37"/>
      <c r="G22" s="263"/>
      <c r="H22" s="49"/>
      <c r="I22" s="37"/>
      <c r="J22" s="37"/>
      <c r="K22" s="42"/>
      <c r="L22" s="37"/>
      <c r="M22" s="202"/>
      <c r="N22" s="74"/>
      <c r="O22" s="45"/>
      <c r="P22" s="241"/>
      <c r="Q22" s="45"/>
      <c r="R22" s="241"/>
      <c r="S22" s="45"/>
      <c r="T22" s="45"/>
      <c r="U22" s="45"/>
      <c r="V22" s="45"/>
      <c r="W22" s="45"/>
      <c r="X22" s="241"/>
      <c r="Y22" s="241"/>
      <c r="Z22" s="241"/>
      <c r="AA22" s="241"/>
      <c r="AB22" s="241"/>
      <c r="AC22" s="241"/>
      <c r="AD22" s="137"/>
      <c r="AE22" s="241"/>
      <c r="AF22" s="56"/>
      <c r="AG22" s="56"/>
    </row>
    <row r="23" ht="30.0" hidden="1" customHeight="1">
      <c r="A23" s="30"/>
      <c r="B23" s="177"/>
      <c r="C23" s="44"/>
      <c r="D23" s="44"/>
      <c r="E23" s="37"/>
      <c r="F23" s="37"/>
      <c r="G23" s="263"/>
      <c r="H23" s="49"/>
      <c r="I23" s="68"/>
      <c r="J23" s="37"/>
      <c r="K23" s="42"/>
      <c r="L23" s="37"/>
      <c r="M23" s="202"/>
      <c r="N23" s="74"/>
      <c r="O23" s="45"/>
      <c r="P23" s="241"/>
      <c r="Q23" s="45"/>
      <c r="R23" s="241"/>
      <c r="S23" s="45"/>
      <c r="T23" s="45"/>
      <c r="U23" s="45"/>
      <c r="V23" s="45"/>
      <c r="W23" s="45"/>
      <c r="X23" s="241"/>
      <c r="Y23" s="241"/>
      <c r="Z23" s="241"/>
      <c r="AA23" s="241"/>
      <c r="AB23" s="241"/>
      <c r="AC23" s="241"/>
      <c r="AD23" s="137"/>
      <c r="AE23" s="241"/>
      <c r="AF23" s="245"/>
      <c r="AG23" s="56"/>
    </row>
    <row r="24" ht="30.75" hidden="1" customHeight="1">
      <c r="A24" s="281" t="s">
        <v>393</v>
      </c>
      <c r="B24" s="177"/>
      <c r="C24" s="44"/>
      <c r="D24" s="44"/>
      <c r="E24" s="37"/>
      <c r="F24" s="37"/>
      <c r="G24" s="263"/>
      <c r="H24" s="49"/>
      <c r="I24" s="68"/>
      <c r="J24" s="68"/>
      <c r="K24" s="42"/>
      <c r="L24" s="37"/>
      <c r="M24" s="202"/>
      <c r="N24" s="74"/>
      <c r="O24" s="45"/>
      <c r="P24" s="241"/>
      <c r="Q24" s="45"/>
      <c r="R24" s="241"/>
      <c r="S24" s="45"/>
      <c r="T24" s="45"/>
      <c r="U24" s="45"/>
      <c r="V24" s="45"/>
      <c r="W24" s="45"/>
      <c r="X24" s="241"/>
      <c r="Y24" s="241"/>
      <c r="Z24" s="241"/>
      <c r="AA24" s="241"/>
      <c r="AB24" s="241"/>
      <c r="AC24" s="241"/>
      <c r="AD24" s="137"/>
      <c r="AE24" s="241"/>
      <c r="AF24" s="56"/>
      <c r="AG24" s="56"/>
    </row>
    <row r="25" ht="30.0" hidden="1" customHeight="1">
      <c r="A25" s="30"/>
      <c r="B25" s="177"/>
      <c r="C25" s="44"/>
      <c r="D25" s="44"/>
      <c r="E25" s="44"/>
      <c r="F25" s="37"/>
      <c r="G25" s="263"/>
      <c r="H25" s="49"/>
      <c r="I25" s="37"/>
      <c r="J25" s="37"/>
      <c r="K25" s="42"/>
      <c r="L25" s="37"/>
      <c r="M25" s="202"/>
      <c r="N25" s="74"/>
      <c r="O25" s="45"/>
      <c r="P25" s="241"/>
      <c r="Q25" s="45"/>
      <c r="R25" s="241"/>
      <c r="S25" s="45"/>
      <c r="T25" s="45"/>
      <c r="U25" s="45"/>
      <c r="V25" s="45"/>
      <c r="W25" s="45"/>
      <c r="X25" s="241"/>
      <c r="Y25" s="241"/>
      <c r="Z25" s="241"/>
      <c r="AA25" s="241"/>
      <c r="AB25" s="241"/>
      <c r="AC25" s="241"/>
      <c r="AD25" s="137"/>
      <c r="AE25" s="241"/>
      <c r="AF25" s="56"/>
      <c r="AG25" s="56"/>
    </row>
    <row r="26" ht="30.0" hidden="1" customHeight="1">
      <c r="A26" s="284" t="s">
        <v>483</v>
      </c>
      <c r="B26" s="177"/>
      <c r="C26" s="44"/>
      <c r="D26" s="44"/>
      <c r="E26" s="37"/>
      <c r="F26" s="37"/>
      <c r="G26" s="37"/>
      <c r="H26" s="134"/>
      <c r="I26" s="37"/>
      <c r="J26" s="37"/>
      <c r="K26" s="42"/>
      <c r="L26" s="37"/>
      <c r="M26" s="202"/>
      <c r="N26" s="43"/>
      <c r="O26" s="241"/>
      <c r="P26" s="241"/>
      <c r="Q26" s="241"/>
      <c r="R26" s="56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137"/>
      <c r="AE26" s="241"/>
      <c r="AF26" s="245"/>
      <c r="AG26" s="56"/>
    </row>
    <row r="27" ht="30.0" hidden="1" customHeight="1">
      <c r="A27" s="30"/>
      <c r="B27" s="177"/>
      <c r="C27" s="44"/>
      <c r="D27" s="44"/>
      <c r="E27" s="37"/>
      <c r="F27" s="37"/>
      <c r="G27" s="37"/>
      <c r="H27" s="195"/>
      <c r="I27" s="37"/>
      <c r="J27" s="37"/>
      <c r="K27" s="42"/>
      <c r="L27" s="37"/>
      <c r="M27" s="202"/>
      <c r="N27" s="43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137"/>
      <c r="AE27" s="241"/>
      <c r="AF27" s="56"/>
      <c r="AG27" s="246"/>
    </row>
    <row r="28" ht="30.0" hidden="1" customHeight="1">
      <c r="A28" s="247" t="s">
        <v>401</v>
      </c>
      <c r="B28" s="177"/>
      <c r="C28" s="44"/>
      <c r="D28" s="44"/>
      <c r="E28" s="133"/>
      <c r="F28" s="37"/>
      <c r="G28" s="263"/>
      <c r="H28" s="248"/>
      <c r="I28" s="133"/>
      <c r="J28" s="133"/>
      <c r="K28" s="133"/>
      <c r="L28" s="37"/>
      <c r="M28" s="202"/>
      <c r="N28" s="43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137"/>
      <c r="AE28" s="241"/>
      <c r="AF28" s="56"/>
      <c r="AG28" s="56"/>
    </row>
    <row r="29" ht="30.0" hidden="1" customHeight="1">
      <c r="A29" s="249"/>
      <c r="B29" s="177"/>
      <c r="C29" s="44"/>
      <c r="D29" s="44"/>
      <c r="E29" s="198"/>
      <c r="F29" s="37"/>
      <c r="G29" s="263"/>
      <c r="H29" s="248"/>
      <c r="I29" s="198"/>
      <c r="J29" s="198"/>
      <c r="K29" s="198"/>
      <c r="L29" s="37"/>
      <c r="M29" s="202"/>
      <c r="N29" s="200"/>
      <c r="O29" s="43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137"/>
      <c r="AE29" s="241"/>
      <c r="AF29" s="56"/>
      <c r="AG29" s="56"/>
    </row>
    <row r="30" ht="30.0" hidden="1" customHeight="1">
      <c r="A30" s="250"/>
      <c r="B30" s="177"/>
      <c r="C30" s="44"/>
      <c r="D30" s="44"/>
      <c r="E30" s="37"/>
      <c r="F30" s="37"/>
      <c r="G30" s="263"/>
      <c r="H30" s="248"/>
      <c r="I30" s="42"/>
      <c r="J30" s="42"/>
      <c r="K30" s="42"/>
      <c r="L30" s="37"/>
      <c r="M30" s="202"/>
      <c r="N30" s="200"/>
      <c r="O30" s="43"/>
      <c r="P30" s="241"/>
      <c r="Q30" s="43"/>
      <c r="R30" s="241"/>
      <c r="S30" s="43"/>
      <c r="T30" s="43"/>
      <c r="U30" s="43"/>
      <c r="V30" s="43"/>
      <c r="W30" s="43"/>
      <c r="X30" s="241"/>
      <c r="Y30" s="241"/>
      <c r="Z30" s="241"/>
      <c r="AA30" s="241"/>
      <c r="AB30" s="241"/>
      <c r="AC30" s="241"/>
      <c r="AD30" s="137"/>
      <c r="AE30" s="241"/>
      <c r="AF30" s="56"/>
      <c r="AG30" s="56"/>
    </row>
    <row r="31" ht="30.0" hidden="1" customHeight="1">
      <c r="A31" s="251" t="s">
        <v>404</v>
      </c>
      <c r="B31" s="177"/>
      <c r="C31" s="44"/>
      <c r="D31" s="44"/>
      <c r="E31" s="35"/>
      <c r="F31" s="37"/>
      <c r="G31" s="263"/>
      <c r="H31" s="248"/>
      <c r="I31" s="37"/>
      <c r="J31" s="37"/>
      <c r="K31" s="42"/>
      <c r="L31" s="37"/>
      <c r="M31" s="202"/>
      <c r="N31" s="43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180"/>
      <c r="AE31" s="241"/>
      <c r="AF31" s="129"/>
      <c r="AG31" s="129"/>
    </row>
    <row r="32" ht="30.0" hidden="1" customHeight="1">
      <c r="A32" s="249"/>
      <c r="B32" s="177"/>
      <c r="C32" s="44"/>
      <c r="D32" s="44"/>
      <c r="E32" s="198"/>
      <c r="F32" s="37"/>
      <c r="G32" s="263"/>
      <c r="H32" s="248"/>
      <c r="I32" s="198"/>
      <c r="J32" s="198"/>
      <c r="K32" s="198"/>
      <c r="L32" s="37"/>
      <c r="M32" s="202"/>
      <c r="N32" s="200"/>
      <c r="O32" s="45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137"/>
      <c r="AE32" s="241"/>
      <c r="AF32" s="56"/>
      <c r="AG32" s="56"/>
    </row>
    <row r="33" ht="30.0" hidden="1" customHeight="1">
      <c r="A33" s="250"/>
      <c r="B33" s="177"/>
      <c r="C33" s="44"/>
      <c r="D33" s="44"/>
      <c r="E33" s="198"/>
      <c r="F33" s="37"/>
      <c r="G33" s="263"/>
      <c r="H33" s="248"/>
      <c r="I33" s="65"/>
      <c r="J33" s="65"/>
      <c r="K33" s="42"/>
      <c r="L33" s="37"/>
      <c r="M33" s="202"/>
      <c r="N33" s="200"/>
      <c r="O33" s="45"/>
      <c r="P33" s="241"/>
      <c r="Q33" s="45"/>
      <c r="R33" s="241"/>
      <c r="S33" s="45"/>
      <c r="T33" s="45"/>
      <c r="U33" s="45"/>
      <c r="V33" s="45"/>
      <c r="W33" s="45"/>
      <c r="X33" s="241"/>
      <c r="Y33" s="241"/>
      <c r="Z33" s="241"/>
      <c r="AA33" s="241"/>
      <c r="AB33" s="241"/>
      <c r="AC33" s="241"/>
      <c r="AD33" s="137"/>
      <c r="AE33" s="241"/>
      <c r="AF33" s="245"/>
      <c r="AG33" s="56"/>
    </row>
    <row r="34" ht="30.0" hidden="1" customHeight="1">
      <c r="A34" s="247" t="s">
        <v>408</v>
      </c>
      <c r="B34" s="177"/>
      <c r="C34" s="44"/>
      <c r="D34" s="44"/>
      <c r="E34" s="198"/>
      <c r="F34" s="37"/>
      <c r="G34" s="263"/>
      <c r="H34" s="65"/>
      <c r="I34" s="198"/>
      <c r="J34" s="198"/>
      <c r="K34" s="198"/>
      <c r="L34" s="37"/>
      <c r="M34" s="254"/>
      <c r="N34" s="43"/>
      <c r="O34" s="241"/>
      <c r="P34" s="59"/>
      <c r="Q34" s="47"/>
      <c r="R34" s="63"/>
      <c r="S34" s="47"/>
      <c r="T34" s="47"/>
      <c r="U34" s="47"/>
      <c r="V34" s="194"/>
      <c r="W34" s="208"/>
      <c r="X34" s="47"/>
      <c r="Y34" s="47"/>
      <c r="Z34" s="47"/>
      <c r="AA34" s="47"/>
      <c r="AB34" s="47"/>
      <c r="AC34" s="241"/>
      <c r="AD34" s="137"/>
      <c r="AE34" s="241"/>
      <c r="AF34" s="56"/>
      <c r="AG34" s="56"/>
    </row>
    <row r="35" ht="30.75" hidden="1" customHeight="1">
      <c r="A35" s="249"/>
      <c r="B35" s="177"/>
      <c r="C35" s="44"/>
      <c r="D35" s="44"/>
      <c r="E35" s="198"/>
      <c r="F35" s="37"/>
      <c r="G35" s="263"/>
      <c r="H35" s="65"/>
      <c r="I35" s="198"/>
      <c r="J35" s="198"/>
      <c r="K35" s="198"/>
      <c r="L35" s="37"/>
      <c r="M35" s="254"/>
      <c r="N35" s="200"/>
      <c r="O35" s="45"/>
      <c r="P35" s="59"/>
      <c r="Q35" s="47"/>
      <c r="R35" s="60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241"/>
      <c r="AD35" s="137"/>
      <c r="AE35" s="241"/>
      <c r="AF35" s="56"/>
      <c r="AG35" s="56"/>
    </row>
    <row r="36" ht="30.0" hidden="1" customHeight="1">
      <c r="A36" s="250"/>
      <c r="B36" s="177"/>
      <c r="C36" s="44"/>
      <c r="D36" s="44"/>
      <c r="E36" s="62"/>
      <c r="F36" s="37"/>
      <c r="G36" s="263"/>
      <c r="H36" s="65"/>
      <c r="I36" s="65"/>
      <c r="J36" s="65"/>
      <c r="K36" s="42"/>
      <c r="L36" s="37"/>
      <c r="M36" s="254"/>
      <c r="N36" s="200"/>
      <c r="O36" s="45"/>
      <c r="P36" s="241"/>
      <c r="Q36" s="45"/>
      <c r="R36" s="241"/>
      <c r="S36" s="45"/>
      <c r="T36" s="45"/>
      <c r="U36" s="45"/>
      <c r="V36" s="45"/>
      <c r="W36" s="45"/>
      <c r="X36" s="47"/>
      <c r="Y36" s="47"/>
      <c r="Z36" s="47"/>
      <c r="AA36" s="47"/>
      <c r="AB36" s="47"/>
      <c r="AC36" s="241"/>
      <c r="AD36" s="137"/>
      <c r="AE36" s="241"/>
      <c r="AF36" s="225"/>
      <c r="AG36" s="255"/>
    </row>
    <row r="37" ht="30.75" hidden="1" customHeight="1">
      <c r="A37" s="251" t="s">
        <v>412</v>
      </c>
      <c r="B37" s="177"/>
      <c r="C37" s="44"/>
      <c r="D37" s="44"/>
      <c r="E37" s="37"/>
      <c r="F37" s="37"/>
      <c r="G37" s="263"/>
      <c r="H37" s="161"/>
      <c r="I37" s="142"/>
      <c r="J37" s="142"/>
      <c r="K37" s="133"/>
      <c r="L37" s="37"/>
      <c r="M37" s="254"/>
      <c r="N37" s="43"/>
      <c r="O37" s="241"/>
      <c r="P37" s="42"/>
      <c r="Q37" s="63"/>
      <c r="R37" s="63"/>
      <c r="S37" s="47"/>
      <c r="T37" s="47"/>
      <c r="U37" s="47"/>
      <c r="V37" s="194"/>
      <c r="W37" s="208"/>
      <c r="X37" s="63"/>
      <c r="Y37" s="63"/>
      <c r="Z37" s="63"/>
      <c r="AA37" s="63"/>
      <c r="AB37" s="63"/>
      <c r="AC37" s="241"/>
      <c r="AD37" s="137"/>
      <c r="AE37" s="241"/>
      <c r="AF37" s="54"/>
      <c r="AG37" s="54"/>
    </row>
    <row r="38" ht="30.0" hidden="1" customHeight="1">
      <c r="A38" s="249"/>
      <c r="B38" s="177"/>
      <c r="C38" s="44"/>
      <c r="D38" s="44"/>
      <c r="E38" s="37"/>
      <c r="F38" s="37"/>
      <c r="G38" s="263"/>
      <c r="H38" s="161"/>
      <c r="I38" s="37"/>
      <c r="J38" s="37"/>
      <c r="K38" s="42"/>
      <c r="L38" s="37"/>
      <c r="M38" s="254"/>
      <c r="N38" s="200"/>
      <c r="O38" s="45"/>
      <c r="P38" s="59"/>
      <c r="Q38" s="47"/>
      <c r="R38" s="60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241"/>
      <c r="AD38" s="137"/>
      <c r="AE38" s="241"/>
      <c r="AF38" s="56"/>
      <c r="AG38" s="56"/>
    </row>
    <row r="39" ht="30.75" hidden="1" customHeight="1">
      <c r="A39" s="250"/>
      <c r="B39" s="177"/>
      <c r="C39" s="44"/>
      <c r="D39" s="44"/>
      <c r="E39" s="37"/>
      <c r="F39" s="37"/>
      <c r="G39" s="263"/>
      <c r="H39" s="161"/>
      <c r="I39" s="37"/>
      <c r="J39" s="37"/>
      <c r="K39" s="42"/>
      <c r="L39" s="37"/>
      <c r="M39" s="254"/>
      <c r="N39" s="200"/>
      <c r="O39" s="45"/>
      <c r="P39" s="241"/>
      <c r="Q39" s="45"/>
      <c r="R39" s="241"/>
      <c r="S39" s="45"/>
      <c r="T39" s="45"/>
      <c r="U39" s="45"/>
      <c r="V39" s="45"/>
      <c r="W39" s="45"/>
      <c r="X39" s="47"/>
      <c r="Y39" s="47"/>
      <c r="Z39" s="47"/>
      <c r="AA39" s="47"/>
      <c r="AB39" s="47"/>
      <c r="AC39" s="241"/>
      <c r="AD39" s="137"/>
      <c r="AE39" s="241"/>
      <c r="AF39" s="259"/>
      <c r="AG39" s="56"/>
    </row>
    <row r="40" ht="30.75" hidden="1" customHeight="1">
      <c r="A40" s="285" t="s">
        <v>417</v>
      </c>
      <c r="B40" s="177"/>
      <c r="C40" s="44"/>
      <c r="D40" s="44"/>
      <c r="E40" s="37"/>
      <c r="F40" s="37"/>
      <c r="G40" s="256"/>
      <c r="H40" s="161"/>
      <c r="I40" s="37"/>
      <c r="J40" s="37"/>
      <c r="K40" s="42"/>
      <c r="L40" s="37"/>
      <c r="M40" s="254"/>
      <c r="N40" s="43"/>
      <c r="O40" s="241"/>
      <c r="P40" s="59"/>
      <c r="Q40" s="47"/>
      <c r="R40" s="60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241"/>
      <c r="AD40" s="137"/>
      <c r="AE40" s="241"/>
      <c r="AF40" s="56"/>
      <c r="AG40" s="56"/>
    </row>
    <row r="41" ht="30.75" hidden="1" customHeight="1">
      <c r="A41" s="250"/>
      <c r="B41" s="177"/>
      <c r="C41" s="44"/>
      <c r="D41" s="44"/>
      <c r="E41" s="37"/>
      <c r="F41" s="37"/>
      <c r="G41" s="256"/>
      <c r="H41" s="161"/>
      <c r="I41" s="37"/>
      <c r="J41" s="37"/>
      <c r="K41" s="42"/>
      <c r="L41" s="37"/>
      <c r="M41" s="254"/>
      <c r="N41" s="43"/>
      <c r="O41" s="241"/>
      <c r="P41" s="286"/>
      <c r="Q41" s="287"/>
      <c r="R41" s="60"/>
      <c r="S41" s="45"/>
      <c r="T41" s="45"/>
      <c r="U41" s="47"/>
      <c r="V41" s="47"/>
      <c r="W41" s="47"/>
      <c r="X41" s="47"/>
      <c r="Y41" s="47"/>
      <c r="Z41" s="47"/>
      <c r="AA41" s="47"/>
      <c r="AB41" s="47"/>
      <c r="AC41" s="241"/>
      <c r="AD41" s="137"/>
      <c r="AE41" s="241"/>
      <c r="AF41" s="56"/>
      <c r="AG41" s="56"/>
    </row>
    <row r="42" ht="30.75" hidden="1" customHeight="1">
      <c r="A42" s="218" t="s">
        <v>421</v>
      </c>
      <c r="B42" s="177"/>
      <c r="C42" s="288"/>
      <c r="D42" s="288"/>
      <c r="E42" s="37"/>
      <c r="F42" s="263"/>
      <c r="G42" s="289"/>
      <c r="H42" s="263"/>
      <c r="I42" s="37"/>
      <c r="J42" s="37"/>
      <c r="K42" s="42"/>
      <c r="L42" s="37"/>
      <c r="M42" s="254"/>
      <c r="N42" s="43"/>
      <c r="O42" s="274"/>
      <c r="P42" s="59"/>
      <c r="Q42" s="47"/>
      <c r="R42" s="60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241"/>
      <c r="AD42" s="137"/>
      <c r="AE42" s="241"/>
      <c r="AF42" s="245"/>
      <c r="AG42" s="245"/>
    </row>
    <row r="43" ht="30.75" hidden="1" customHeight="1">
      <c r="A43" s="219"/>
      <c r="B43" s="177"/>
      <c r="C43" s="288"/>
      <c r="D43" s="288"/>
      <c r="E43" s="37"/>
      <c r="F43" s="263"/>
      <c r="G43" s="289"/>
      <c r="H43" s="263"/>
      <c r="I43" s="37"/>
      <c r="J43" s="37"/>
      <c r="K43" s="42"/>
      <c r="L43" s="37"/>
      <c r="M43" s="254"/>
      <c r="N43" s="43"/>
      <c r="O43" s="274"/>
      <c r="P43" s="59"/>
      <c r="Q43" s="47"/>
      <c r="R43" s="60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241"/>
      <c r="AD43" s="137"/>
      <c r="AE43" s="235"/>
      <c r="AF43" s="260"/>
    </row>
    <row r="44" ht="30.75" hidden="1" customHeight="1">
      <c r="A44" s="30"/>
      <c r="B44" s="177"/>
      <c r="C44" s="288"/>
      <c r="D44" s="288"/>
      <c r="E44" s="37"/>
      <c r="F44" s="263"/>
      <c r="G44" s="289"/>
      <c r="H44" s="263"/>
      <c r="I44" s="263"/>
      <c r="J44" s="263"/>
      <c r="K44" s="266"/>
      <c r="L44" s="263"/>
      <c r="M44" s="254"/>
      <c r="N44" s="43"/>
      <c r="O44" s="274"/>
      <c r="P44" s="59"/>
      <c r="Q44" s="47"/>
      <c r="R44" s="60"/>
      <c r="S44" s="274"/>
      <c r="T44" s="274"/>
      <c r="U44" s="47"/>
      <c r="V44" s="47"/>
      <c r="W44" s="287"/>
      <c r="X44" s="47"/>
      <c r="Y44" s="47"/>
      <c r="Z44" s="47"/>
      <c r="AA44" s="47"/>
      <c r="AB44" s="47"/>
      <c r="AC44" s="241"/>
      <c r="AD44" s="137"/>
      <c r="AE44" s="235"/>
    </row>
    <row r="45" ht="30.75" hidden="1" customHeight="1">
      <c r="A45" s="218" t="s">
        <v>425</v>
      </c>
      <c r="B45" s="177"/>
      <c r="C45" s="288"/>
      <c r="D45" s="288"/>
      <c r="E45" s="37"/>
      <c r="F45" s="263"/>
      <c r="G45" s="263"/>
      <c r="H45" s="264"/>
      <c r="I45" s="37"/>
      <c r="J45" s="37"/>
      <c r="K45" s="42"/>
      <c r="L45" s="37"/>
      <c r="M45" s="254"/>
      <c r="N45" s="43"/>
      <c r="O45" s="274"/>
      <c r="P45" s="59"/>
      <c r="Q45" s="47"/>
      <c r="R45" s="60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241"/>
      <c r="AD45" s="137"/>
      <c r="AE45" s="235"/>
    </row>
    <row r="46" ht="30.75" hidden="1" customHeight="1">
      <c r="A46" s="219"/>
      <c r="B46" s="177"/>
      <c r="C46" s="288"/>
      <c r="D46" s="288"/>
      <c r="E46" s="37"/>
      <c r="F46" s="263"/>
      <c r="G46" s="263"/>
      <c r="H46" s="264"/>
      <c r="I46" s="37"/>
      <c r="J46" s="37"/>
      <c r="K46" s="42"/>
      <c r="L46" s="37"/>
      <c r="M46" s="254"/>
      <c r="N46" s="43"/>
      <c r="O46" s="274"/>
      <c r="P46" s="59"/>
      <c r="Q46" s="47"/>
      <c r="R46" s="60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241"/>
      <c r="AD46" s="137"/>
      <c r="AE46" s="235"/>
    </row>
    <row r="47" ht="30.75" hidden="1" customHeight="1">
      <c r="A47" s="30"/>
      <c r="B47" s="177"/>
      <c r="C47" s="288"/>
      <c r="D47" s="288"/>
      <c r="E47" s="37"/>
      <c r="F47" s="263"/>
      <c r="G47" s="263"/>
      <c r="H47" s="264"/>
      <c r="I47" s="263"/>
      <c r="J47" s="263"/>
      <c r="K47" s="266"/>
      <c r="L47" s="263"/>
      <c r="M47" s="254"/>
      <c r="N47" s="43"/>
      <c r="O47" s="291"/>
      <c r="P47" s="286"/>
      <c r="Q47" s="287"/>
      <c r="R47" s="60"/>
      <c r="S47" s="274"/>
      <c r="T47" s="274"/>
      <c r="U47" s="47"/>
      <c r="V47" s="287"/>
      <c r="W47" s="287"/>
      <c r="X47" s="47"/>
      <c r="Y47" s="47"/>
      <c r="Z47" s="47"/>
      <c r="AA47" s="47"/>
      <c r="AB47" s="47"/>
      <c r="AC47" s="241"/>
      <c r="AD47" s="137"/>
      <c r="AE47" s="235"/>
    </row>
    <row r="48" ht="30.0" hidden="1" customHeight="1">
      <c r="A48" s="284" t="s">
        <v>429</v>
      </c>
      <c r="B48" s="262"/>
      <c r="C48" s="288"/>
      <c r="D48" s="288"/>
      <c r="E48" s="37"/>
      <c r="F48" s="263"/>
      <c r="G48" s="262"/>
      <c r="H48" s="49"/>
      <c r="I48" s="37"/>
      <c r="J48" s="37"/>
      <c r="K48" s="42"/>
      <c r="L48" s="37"/>
      <c r="M48" s="254"/>
      <c r="N48" s="43"/>
      <c r="O48" s="274"/>
      <c r="P48" s="59"/>
      <c r="Q48" s="47"/>
      <c r="R48" s="60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241"/>
      <c r="AD48" s="137"/>
      <c r="AE48" s="235"/>
    </row>
    <row r="49" ht="30.0" hidden="1" customHeight="1">
      <c r="A49" s="30"/>
      <c r="B49" s="262"/>
      <c r="C49" s="288"/>
      <c r="D49" s="44"/>
      <c r="E49" s="37"/>
      <c r="F49" s="263"/>
      <c r="G49" s="262"/>
      <c r="H49" s="49"/>
      <c r="I49" s="37"/>
      <c r="J49" s="37"/>
      <c r="K49" s="42"/>
      <c r="L49" s="263"/>
      <c r="M49" s="254"/>
      <c r="N49" s="43"/>
      <c r="O49" s="291"/>
      <c r="P49" s="286"/>
      <c r="Q49" s="47"/>
      <c r="R49" s="60"/>
      <c r="S49" s="274"/>
      <c r="T49" s="274"/>
      <c r="U49" s="47"/>
      <c r="V49" s="47"/>
      <c r="W49" s="287"/>
      <c r="X49" s="47"/>
      <c r="Y49" s="47"/>
      <c r="Z49" s="47"/>
      <c r="AA49" s="47"/>
      <c r="AB49" s="47"/>
      <c r="AC49" s="241"/>
      <c r="AD49" s="137"/>
      <c r="AE49" s="235"/>
    </row>
    <row r="50" ht="30.0" hidden="1" customHeight="1">
      <c r="A50" s="284" t="s">
        <v>433</v>
      </c>
      <c r="B50" s="262"/>
      <c r="C50" s="288"/>
      <c r="D50" s="288"/>
      <c r="E50" s="37"/>
      <c r="F50" s="263"/>
      <c r="G50" s="263"/>
      <c r="H50" s="49"/>
      <c r="I50" s="37"/>
      <c r="K50" s="42"/>
      <c r="L50" s="263"/>
      <c r="M50" s="254"/>
      <c r="N50" s="43"/>
      <c r="O50" s="291"/>
      <c r="P50" s="59"/>
      <c r="Q50" s="47"/>
      <c r="R50" s="60"/>
      <c r="S50" s="241"/>
      <c r="T50" s="241"/>
      <c r="U50" s="47"/>
      <c r="V50" s="47"/>
      <c r="W50" s="47"/>
      <c r="X50" s="47"/>
      <c r="Y50" s="47"/>
      <c r="Z50" s="47"/>
      <c r="AA50" s="47"/>
      <c r="AB50" s="47"/>
      <c r="AC50" s="47"/>
      <c r="AD50" s="137"/>
      <c r="AE50" s="235"/>
    </row>
    <row r="51" ht="30.0" hidden="1" customHeight="1">
      <c r="A51" s="219"/>
      <c r="B51" s="262"/>
      <c r="C51" s="288"/>
      <c r="D51" s="288"/>
      <c r="E51" s="37"/>
      <c r="F51" s="263"/>
      <c r="G51" s="263"/>
      <c r="H51" s="49"/>
      <c r="I51" s="37"/>
      <c r="J51" s="263"/>
      <c r="K51" s="42"/>
      <c r="L51" s="263"/>
      <c r="M51" s="292"/>
      <c r="N51" s="43"/>
      <c r="O51" s="291"/>
      <c r="P51" s="59"/>
      <c r="Q51" s="47"/>
      <c r="R51" s="60"/>
      <c r="S51" s="241"/>
      <c r="T51" s="241"/>
      <c r="U51" s="47"/>
      <c r="V51" s="47"/>
      <c r="W51" s="47"/>
      <c r="X51" s="47"/>
      <c r="Y51" s="47"/>
      <c r="Z51" s="47"/>
      <c r="AA51" s="47"/>
      <c r="AB51" s="47"/>
      <c r="AC51" s="47"/>
      <c r="AD51" s="137"/>
      <c r="AE51" s="235"/>
    </row>
    <row r="52" ht="30.0" hidden="1" customHeight="1">
      <c r="A52" s="30"/>
      <c r="B52" s="262"/>
      <c r="C52" s="288"/>
      <c r="D52" s="288"/>
      <c r="E52" s="37"/>
      <c r="F52" s="263"/>
      <c r="G52" s="263"/>
      <c r="H52" s="49"/>
      <c r="I52" s="37"/>
      <c r="J52" s="263"/>
      <c r="K52" s="42"/>
      <c r="L52" s="263"/>
      <c r="M52" s="292"/>
      <c r="N52" s="43"/>
      <c r="O52" s="291"/>
      <c r="P52" s="59"/>
      <c r="Q52" s="47"/>
      <c r="R52" s="60"/>
      <c r="S52" s="241"/>
      <c r="T52" s="241"/>
      <c r="U52" s="47"/>
      <c r="V52" s="47"/>
      <c r="W52" s="47"/>
      <c r="X52" s="47"/>
      <c r="Y52" s="47"/>
      <c r="Z52" s="47"/>
      <c r="AA52" s="47"/>
      <c r="AB52" s="47"/>
      <c r="AC52" s="47"/>
      <c r="AD52" s="137"/>
      <c r="AE52" s="235"/>
    </row>
    <row r="53" ht="30.0" hidden="1" customHeight="1">
      <c r="A53" s="218" t="s">
        <v>439</v>
      </c>
      <c r="B53" s="177" t="s">
        <v>370</v>
      </c>
      <c r="C53" s="44"/>
      <c r="D53" s="44"/>
      <c r="E53" s="37"/>
      <c r="F53" s="37"/>
      <c r="G53" s="37"/>
      <c r="H53" s="37"/>
      <c r="I53" s="37"/>
      <c r="J53" s="37"/>
      <c r="K53" s="42"/>
      <c r="L53" s="37" t="s">
        <v>291</v>
      </c>
      <c r="M53" s="254"/>
      <c r="N53" s="43"/>
      <c r="O53" s="241"/>
      <c r="P53" s="59"/>
      <c r="Q53" s="47"/>
      <c r="R53" s="60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137"/>
      <c r="AE53" s="235"/>
    </row>
    <row r="54" ht="30.0" hidden="1" customHeight="1">
      <c r="A54" s="219"/>
      <c r="B54" s="177" t="s">
        <v>370</v>
      </c>
      <c r="C54" s="44"/>
      <c r="D54" s="44"/>
      <c r="E54" s="37"/>
      <c r="F54" s="37"/>
      <c r="G54" s="37"/>
      <c r="H54" s="37"/>
      <c r="I54" s="37"/>
      <c r="J54" s="37"/>
      <c r="K54" s="42"/>
      <c r="L54" s="37" t="s">
        <v>189</v>
      </c>
      <c r="M54" s="254"/>
      <c r="N54" s="43"/>
      <c r="O54" s="241"/>
      <c r="P54" s="59"/>
      <c r="Q54" s="47"/>
      <c r="R54" s="60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137"/>
      <c r="AE54" s="235"/>
    </row>
    <row r="55" ht="30.0" hidden="1" customHeight="1">
      <c r="A55" s="30"/>
      <c r="B55" s="177" t="s">
        <v>370</v>
      </c>
      <c r="C55" s="44"/>
      <c r="D55" s="44"/>
      <c r="E55" s="37"/>
      <c r="F55" s="37"/>
      <c r="G55" s="37"/>
      <c r="H55" s="37"/>
      <c r="I55" s="37"/>
      <c r="J55" s="37"/>
      <c r="K55" s="42"/>
      <c r="L55" s="37" t="s">
        <v>343</v>
      </c>
      <c r="M55" s="254">
        <v>1.0</v>
      </c>
      <c r="N55" s="43"/>
      <c r="O55" s="214"/>
      <c r="P55" s="59"/>
      <c r="Q55" s="47"/>
      <c r="R55" s="60"/>
      <c r="S55" s="241"/>
      <c r="T55" s="241"/>
      <c r="U55" s="47"/>
      <c r="V55" s="47"/>
      <c r="W55" s="47"/>
      <c r="X55" s="47"/>
      <c r="Y55" s="47"/>
      <c r="Z55" s="47"/>
      <c r="AA55" s="47"/>
      <c r="AB55" s="47"/>
      <c r="AC55" s="47"/>
      <c r="AD55" s="137"/>
      <c r="AE55" s="235"/>
    </row>
    <row r="56" ht="30.0" hidden="1" customHeight="1">
      <c r="A56" s="218" t="s">
        <v>444</v>
      </c>
      <c r="B56" s="177" t="s">
        <v>528</v>
      </c>
      <c r="C56" s="44"/>
      <c r="D56" s="44"/>
      <c r="E56" s="37"/>
      <c r="F56" s="37"/>
      <c r="G56" s="37"/>
      <c r="H56" s="37"/>
      <c r="I56" s="37"/>
      <c r="J56" s="37"/>
      <c r="K56" s="42"/>
      <c r="L56" s="37" t="s">
        <v>572</v>
      </c>
      <c r="M56" s="254"/>
      <c r="N56" s="43"/>
      <c r="O56" s="194"/>
      <c r="P56" s="59"/>
      <c r="Q56" s="47"/>
      <c r="R56" s="60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137"/>
      <c r="AE56" s="40"/>
    </row>
    <row r="57" ht="30.0" hidden="1" customHeight="1">
      <c r="A57" s="30"/>
      <c r="B57" s="177" t="s">
        <v>528</v>
      </c>
      <c r="C57" s="44"/>
      <c r="D57" s="44"/>
      <c r="E57" s="37"/>
      <c r="F57" s="37"/>
      <c r="G57" s="37"/>
      <c r="H57" s="37"/>
      <c r="I57" s="37"/>
      <c r="J57" s="37"/>
      <c r="K57" s="42"/>
      <c r="L57" s="37"/>
      <c r="M57" s="254"/>
      <c r="N57" s="43"/>
      <c r="O57" s="43"/>
      <c r="P57" s="59"/>
      <c r="Q57" s="47"/>
      <c r="R57" s="60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137"/>
      <c r="AE57" s="40"/>
    </row>
    <row r="58" ht="30.0" hidden="1" customHeight="1">
      <c r="A58" s="265" t="s">
        <v>448</v>
      </c>
      <c r="B58" s="177" t="s">
        <v>528</v>
      </c>
      <c r="C58" s="44"/>
      <c r="D58" s="44"/>
      <c r="E58" s="37"/>
      <c r="F58" s="37"/>
      <c r="G58" s="37"/>
      <c r="H58" s="49"/>
      <c r="I58" s="37"/>
      <c r="J58" s="37"/>
      <c r="K58" s="42"/>
      <c r="L58" s="37" t="s">
        <v>573</v>
      </c>
      <c r="M58" s="254"/>
      <c r="N58" s="43"/>
      <c r="O58" s="194"/>
      <c r="P58" s="59"/>
      <c r="Q58" s="47"/>
      <c r="R58" s="60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137"/>
      <c r="AE58" s="40"/>
    </row>
    <row r="59" ht="30.0" hidden="1" customHeight="1">
      <c r="A59" s="218" t="s">
        <v>451</v>
      </c>
      <c r="B59" s="177" t="s">
        <v>370</v>
      </c>
      <c r="C59" s="44"/>
      <c r="D59" s="44"/>
      <c r="E59" s="37"/>
      <c r="F59" s="37"/>
      <c r="G59" s="37"/>
      <c r="H59" s="49"/>
      <c r="I59" s="37"/>
      <c r="J59" s="37"/>
      <c r="K59" s="42"/>
      <c r="L59" s="37" t="s">
        <v>291</v>
      </c>
      <c r="M59" s="254"/>
      <c r="N59" s="43"/>
      <c r="O59" s="194"/>
      <c r="P59" s="59"/>
      <c r="Q59" s="47"/>
      <c r="R59" s="60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137"/>
      <c r="AE59" s="40"/>
    </row>
    <row r="60" ht="30.0" hidden="1" customHeight="1">
      <c r="A60" s="219"/>
      <c r="B60" s="177" t="s">
        <v>370</v>
      </c>
      <c r="C60" s="44"/>
      <c r="D60" s="44"/>
      <c r="E60" s="37"/>
      <c r="F60" s="37"/>
      <c r="G60" s="37"/>
      <c r="H60" s="49"/>
      <c r="I60" s="37"/>
      <c r="J60" s="37"/>
      <c r="K60" s="42"/>
      <c r="L60" s="37" t="s">
        <v>189</v>
      </c>
      <c r="M60" s="254"/>
      <c r="N60" s="43"/>
      <c r="O60" s="43"/>
      <c r="P60" s="59"/>
      <c r="Q60" s="47"/>
      <c r="R60" s="60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137"/>
      <c r="AE60" s="40"/>
    </row>
    <row r="61" ht="30.0" hidden="1" customHeight="1">
      <c r="A61" s="30"/>
      <c r="B61" s="177" t="s">
        <v>370</v>
      </c>
      <c r="C61" s="44"/>
      <c r="D61" s="44"/>
      <c r="E61" s="37"/>
      <c r="F61" s="37"/>
      <c r="G61" s="37"/>
      <c r="H61" s="49"/>
      <c r="I61" s="37"/>
      <c r="J61" s="37"/>
      <c r="K61" s="42"/>
      <c r="L61" s="37" t="s">
        <v>343</v>
      </c>
      <c r="M61" s="254">
        <v>1.0</v>
      </c>
      <c r="N61" s="43"/>
      <c r="O61" s="214"/>
      <c r="P61" s="59"/>
      <c r="Q61" s="47"/>
      <c r="R61" s="60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137"/>
      <c r="AE61" s="40"/>
    </row>
    <row r="62">
      <c r="A62" s="79" t="s">
        <v>73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1"/>
      <c r="M62" s="270">
        <f>SUM(M13:M52)</f>
        <v>4</v>
      </c>
      <c r="N62" s="43"/>
      <c r="O62" s="214"/>
      <c r="P62" s="59"/>
      <c r="Q62" s="47"/>
      <c r="R62" s="60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91">
        <f>SUM(AC13:AC52)</f>
        <v>112114708.3</v>
      </c>
      <c r="AD62" s="272"/>
      <c r="AE62" s="273">
        <f>SUM(AE12:AE17)</f>
        <v>29362254.3</v>
      </c>
    </row>
    <row r="63" ht="17.25" customHeight="1">
      <c r="A63" s="79" t="s">
        <v>76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1"/>
      <c r="M63" s="83"/>
      <c r="N63" s="83"/>
      <c r="O63" s="83"/>
      <c r="P63" s="83"/>
      <c r="Q63" s="83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91">
        <f>AC62</f>
        <v>112114708.3</v>
      </c>
      <c r="AD63" s="85"/>
      <c r="AE63" s="85"/>
      <c r="AF63" s="275"/>
      <c r="AG63" s="276"/>
    </row>
    <row r="64">
      <c r="A64" s="79" t="s">
        <v>86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1"/>
      <c r="M64" s="83"/>
      <c r="N64" s="83"/>
      <c r="O64" s="83"/>
      <c r="P64" s="83"/>
      <c r="Q64" s="83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91">
        <f>AC63*8%</f>
        <v>8969176.664</v>
      </c>
      <c r="AD64" s="85"/>
      <c r="AE64" s="85"/>
      <c r="AF64" s="276"/>
      <c r="AG64" s="276"/>
    </row>
    <row r="65" ht="17.25" customHeight="1">
      <c r="A65" s="79" t="s">
        <v>88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1"/>
      <c r="M65" s="83"/>
      <c r="N65" s="83"/>
      <c r="O65" s="83"/>
      <c r="P65" s="83"/>
      <c r="Q65" s="83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91">
        <f>AC63+AC64</f>
        <v>121083885</v>
      </c>
      <c r="AD65" s="85"/>
      <c r="AE65" s="85"/>
      <c r="AF65" s="279"/>
      <c r="AG65" s="276"/>
    </row>
    <row r="66">
      <c r="A66" s="93" t="s">
        <v>89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280"/>
      <c r="AE66" s="40"/>
    </row>
    <row r="67">
      <c r="F67" s="119"/>
      <c r="G67" s="119"/>
      <c r="H67" s="120"/>
      <c r="I67" s="119"/>
      <c r="J67" s="119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237"/>
    </row>
    <row r="68">
      <c r="F68" s="119"/>
      <c r="G68" s="119"/>
      <c r="H68" s="120"/>
      <c r="I68" s="119"/>
      <c r="J68" s="119"/>
      <c r="M68" s="2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237"/>
    </row>
    <row r="69">
      <c r="F69" s="119"/>
      <c r="G69" s="119"/>
      <c r="H69" s="120"/>
      <c r="I69" s="119"/>
      <c r="J69" s="119"/>
      <c r="M69" s="2"/>
      <c r="N69" s="2"/>
      <c r="O69" s="29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237"/>
    </row>
    <row r="70">
      <c r="F70" s="119"/>
      <c r="G70" s="119"/>
      <c r="H70" s="120"/>
      <c r="I70" s="119"/>
      <c r="J70" s="119"/>
      <c r="M70" s="2"/>
      <c r="N70" s="294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237"/>
    </row>
    <row r="71">
      <c r="F71" s="119"/>
      <c r="G71" s="119"/>
      <c r="H71" s="120"/>
      <c r="I71" s="119"/>
      <c r="J71" s="119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237"/>
    </row>
    <row r="72">
      <c r="F72" s="119"/>
      <c r="G72" s="119"/>
      <c r="H72" s="120"/>
      <c r="I72" s="119"/>
      <c r="J72" s="119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237"/>
    </row>
    <row r="73">
      <c r="F73" s="119"/>
      <c r="G73" s="119"/>
      <c r="H73" s="120"/>
      <c r="I73" s="119"/>
      <c r="J73" s="119"/>
      <c r="M73" s="2"/>
      <c r="N73" s="2"/>
      <c r="O73" s="28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237"/>
    </row>
    <row r="74">
      <c r="F74" s="119"/>
      <c r="G74" s="119"/>
      <c r="H74" s="120"/>
      <c r="I74" s="119"/>
      <c r="J74" s="119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237"/>
    </row>
    <row r="75">
      <c r="F75" s="119"/>
      <c r="G75" s="119"/>
      <c r="H75" s="120"/>
      <c r="I75" s="119"/>
      <c r="J75" s="119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237"/>
    </row>
    <row r="76">
      <c r="F76" s="119"/>
      <c r="G76" s="119"/>
      <c r="H76" s="120"/>
      <c r="I76" s="119"/>
      <c r="J76" s="119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237"/>
    </row>
    <row r="77">
      <c r="F77" s="119"/>
      <c r="G77" s="119"/>
      <c r="H77" s="120"/>
      <c r="I77" s="119"/>
      <c r="J77" s="119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237"/>
    </row>
    <row r="78">
      <c r="F78" s="119"/>
      <c r="G78" s="119"/>
      <c r="H78" s="120"/>
      <c r="I78" s="119"/>
      <c r="J78" s="119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237"/>
    </row>
    <row r="79">
      <c r="F79" s="119"/>
      <c r="G79" s="119"/>
      <c r="H79" s="120"/>
      <c r="I79" s="119"/>
      <c r="J79" s="119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237"/>
    </row>
    <row r="80">
      <c r="F80" s="119"/>
      <c r="G80" s="119"/>
      <c r="H80" s="120"/>
      <c r="I80" s="119"/>
      <c r="J80" s="119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237"/>
    </row>
    <row r="81">
      <c r="F81" s="119"/>
      <c r="G81" s="119"/>
      <c r="H81" s="120"/>
      <c r="I81" s="119"/>
      <c r="J81" s="119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237"/>
    </row>
    <row r="82">
      <c r="F82" s="119"/>
      <c r="G82" s="119"/>
      <c r="H82" s="120"/>
      <c r="I82" s="119"/>
      <c r="J82" s="119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237"/>
    </row>
    <row r="83">
      <c r="F83" s="119"/>
      <c r="G83" s="119"/>
      <c r="H83" s="120"/>
      <c r="I83" s="119"/>
      <c r="J83" s="119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237"/>
    </row>
    <row r="84">
      <c r="F84" s="119"/>
      <c r="G84" s="119"/>
      <c r="H84" s="120"/>
      <c r="I84" s="119"/>
      <c r="J84" s="119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237"/>
    </row>
    <row r="85">
      <c r="F85" s="119"/>
      <c r="G85" s="119"/>
      <c r="H85" s="120"/>
      <c r="I85" s="119"/>
      <c r="J85" s="119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237"/>
    </row>
    <row r="86">
      <c r="F86" s="119"/>
      <c r="G86" s="119"/>
      <c r="H86" s="120"/>
      <c r="I86" s="119"/>
      <c r="J86" s="119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237"/>
    </row>
    <row r="87">
      <c r="F87" s="119"/>
      <c r="G87" s="119"/>
      <c r="H87" s="120"/>
      <c r="I87" s="119"/>
      <c r="J87" s="119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237"/>
    </row>
    <row r="88">
      <c r="F88" s="119"/>
      <c r="G88" s="119"/>
      <c r="H88" s="120"/>
      <c r="I88" s="119"/>
      <c r="J88" s="119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237"/>
    </row>
    <row r="89">
      <c r="F89" s="119"/>
      <c r="G89" s="119"/>
      <c r="H89" s="120"/>
      <c r="I89" s="119"/>
      <c r="J89" s="119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237"/>
    </row>
    <row r="90">
      <c r="F90" s="119"/>
      <c r="G90" s="119"/>
      <c r="H90" s="120"/>
      <c r="I90" s="119"/>
      <c r="J90" s="119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237"/>
    </row>
    <row r="91">
      <c r="F91" s="119"/>
      <c r="G91" s="119"/>
      <c r="H91" s="120"/>
      <c r="I91" s="119"/>
      <c r="J91" s="119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237"/>
    </row>
    <row r="92">
      <c r="F92" s="119"/>
      <c r="G92" s="119"/>
      <c r="H92" s="120"/>
      <c r="I92" s="119"/>
      <c r="J92" s="119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237"/>
    </row>
    <row r="93">
      <c r="F93" s="119"/>
      <c r="G93" s="119"/>
      <c r="H93" s="120"/>
      <c r="I93" s="119"/>
      <c r="J93" s="119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237"/>
    </row>
    <row r="94">
      <c r="F94" s="119"/>
      <c r="G94" s="119"/>
      <c r="H94" s="120"/>
      <c r="I94" s="119"/>
      <c r="J94" s="119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237"/>
    </row>
    <row r="95">
      <c r="F95" s="119"/>
      <c r="G95" s="119"/>
      <c r="H95" s="120"/>
      <c r="I95" s="119"/>
      <c r="J95" s="119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237"/>
    </row>
    <row r="96">
      <c r="F96" s="119"/>
      <c r="G96" s="119"/>
      <c r="H96" s="120"/>
      <c r="I96" s="119"/>
      <c r="J96" s="119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237"/>
    </row>
    <row r="97">
      <c r="F97" s="119"/>
      <c r="G97" s="119"/>
      <c r="H97" s="120"/>
      <c r="I97" s="119"/>
      <c r="J97" s="119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237"/>
    </row>
    <row r="98">
      <c r="F98" s="119"/>
      <c r="G98" s="119"/>
      <c r="H98" s="120"/>
      <c r="I98" s="119"/>
      <c r="J98" s="119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237"/>
    </row>
    <row r="99">
      <c r="F99" s="119"/>
      <c r="G99" s="119"/>
      <c r="H99" s="120"/>
      <c r="I99" s="119"/>
      <c r="J99" s="119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237"/>
    </row>
    <row r="100">
      <c r="F100" s="119"/>
      <c r="G100" s="119"/>
      <c r="H100" s="120"/>
      <c r="I100" s="119"/>
      <c r="J100" s="119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237"/>
    </row>
    <row r="101">
      <c r="F101" s="119"/>
      <c r="G101" s="119"/>
      <c r="H101" s="120"/>
      <c r="I101" s="119"/>
      <c r="J101" s="119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237"/>
    </row>
    <row r="102">
      <c r="F102" s="119"/>
      <c r="G102" s="119"/>
      <c r="H102" s="120"/>
      <c r="I102" s="119"/>
      <c r="J102" s="119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237"/>
    </row>
    <row r="103">
      <c r="F103" s="119"/>
      <c r="G103" s="119"/>
      <c r="H103" s="120"/>
      <c r="I103" s="119"/>
      <c r="J103" s="119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237"/>
    </row>
    <row r="104">
      <c r="F104" s="119"/>
      <c r="G104" s="119"/>
      <c r="H104" s="120"/>
      <c r="I104" s="119"/>
      <c r="J104" s="119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237"/>
    </row>
    <row r="105">
      <c r="F105" s="119"/>
      <c r="G105" s="119"/>
      <c r="H105" s="120"/>
      <c r="I105" s="119"/>
      <c r="J105" s="119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237"/>
    </row>
    <row r="106">
      <c r="F106" s="119"/>
      <c r="G106" s="119"/>
      <c r="H106" s="120"/>
      <c r="I106" s="119"/>
      <c r="J106" s="119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237"/>
    </row>
    <row r="107">
      <c r="F107" s="119"/>
      <c r="G107" s="119"/>
      <c r="H107" s="120"/>
      <c r="I107" s="119"/>
      <c r="J107" s="119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237"/>
    </row>
    <row r="108">
      <c r="F108" s="119"/>
      <c r="G108" s="119"/>
      <c r="H108" s="120"/>
      <c r="I108" s="119"/>
      <c r="J108" s="119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237"/>
    </row>
    <row r="109">
      <c r="F109" s="119"/>
      <c r="G109" s="119"/>
      <c r="H109" s="120"/>
      <c r="I109" s="119"/>
      <c r="J109" s="119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237"/>
    </row>
    <row r="110">
      <c r="F110" s="119"/>
      <c r="G110" s="119"/>
      <c r="H110" s="120"/>
      <c r="I110" s="119"/>
      <c r="J110" s="119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237"/>
    </row>
    <row r="111">
      <c r="F111" s="119"/>
      <c r="G111" s="119"/>
      <c r="H111" s="120"/>
      <c r="I111" s="119"/>
      <c r="J111" s="119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237"/>
    </row>
    <row r="112">
      <c r="F112" s="119"/>
      <c r="G112" s="119"/>
      <c r="H112" s="120"/>
      <c r="I112" s="119"/>
      <c r="J112" s="119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237"/>
    </row>
    <row r="113">
      <c r="F113" s="119"/>
      <c r="G113" s="119"/>
      <c r="H113" s="120"/>
      <c r="I113" s="119"/>
      <c r="J113" s="119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237"/>
    </row>
    <row r="114">
      <c r="F114" s="119"/>
      <c r="G114" s="119"/>
      <c r="H114" s="120"/>
      <c r="I114" s="119"/>
      <c r="J114" s="119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237"/>
    </row>
    <row r="115">
      <c r="F115" s="119"/>
      <c r="G115" s="119"/>
      <c r="H115" s="120"/>
      <c r="I115" s="119"/>
      <c r="J115" s="119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237"/>
    </row>
    <row r="116">
      <c r="F116" s="119"/>
      <c r="G116" s="119"/>
      <c r="H116" s="120"/>
      <c r="I116" s="119"/>
      <c r="J116" s="119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237"/>
    </row>
    <row r="117">
      <c r="F117" s="119"/>
      <c r="G117" s="119"/>
      <c r="H117" s="120"/>
      <c r="I117" s="119"/>
      <c r="J117" s="119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237"/>
    </row>
    <row r="118">
      <c r="F118" s="119"/>
      <c r="G118" s="119"/>
      <c r="H118" s="120"/>
      <c r="I118" s="119"/>
      <c r="J118" s="119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237"/>
    </row>
    <row r="119">
      <c r="F119" s="119"/>
      <c r="G119" s="119"/>
      <c r="H119" s="120"/>
      <c r="I119" s="119"/>
      <c r="J119" s="119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237"/>
    </row>
    <row r="120">
      <c r="F120" s="119"/>
      <c r="G120" s="119"/>
      <c r="H120" s="120"/>
      <c r="I120" s="119"/>
      <c r="J120" s="119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237"/>
    </row>
    <row r="121">
      <c r="F121" s="119"/>
      <c r="G121" s="119"/>
      <c r="H121" s="120"/>
      <c r="I121" s="119"/>
      <c r="J121" s="119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237"/>
    </row>
    <row r="122">
      <c r="F122" s="119"/>
      <c r="G122" s="119"/>
      <c r="H122" s="120"/>
      <c r="I122" s="119"/>
      <c r="J122" s="119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237"/>
    </row>
    <row r="123">
      <c r="F123" s="119"/>
      <c r="G123" s="119"/>
      <c r="H123" s="120"/>
      <c r="I123" s="119"/>
      <c r="J123" s="119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237"/>
    </row>
    <row r="124">
      <c r="F124" s="119"/>
      <c r="G124" s="119"/>
      <c r="H124" s="120"/>
      <c r="I124" s="119"/>
      <c r="J124" s="119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237"/>
    </row>
    <row r="125">
      <c r="F125" s="119"/>
      <c r="G125" s="119"/>
      <c r="H125" s="120"/>
      <c r="I125" s="119"/>
      <c r="J125" s="119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237"/>
    </row>
    <row r="126">
      <c r="F126" s="119"/>
      <c r="G126" s="119"/>
      <c r="H126" s="120"/>
      <c r="I126" s="119"/>
      <c r="J126" s="119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237"/>
    </row>
    <row r="127">
      <c r="F127" s="119"/>
      <c r="G127" s="119"/>
      <c r="H127" s="120"/>
      <c r="I127" s="119"/>
      <c r="J127" s="119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237"/>
    </row>
    <row r="128">
      <c r="F128" s="119"/>
      <c r="G128" s="119"/>
      <c r="H128" s="120"/>
      <c r="I128" s="119"/>
      <c r="J128" s="119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237"/>
    </row>
    <row r="129">
      <c r="F129" s="119"/>
      <c r="G129" s="119"/>
      <c r="H129" s="120"/>
      <c r="I129" s="119"/>
      <c r="J129" s="119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237"/>
    </row>
    <row r="130">
      <c r="F130" s="119"/>
      <c r="G130" s="119"/>
      <c r="H130" s="120"/>
      <c r="I130" s="119"/>
      <c r="J130" s="119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237"/>
    </row>
    <row r="131">
      <c r="F131" s="119"/>
      <c r="G131" s="119"/>
      <c r="H131" s="120"/>
      <c r="I131" s="119"/>
      <c r="J131" s="119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237"/>
    </row>
    <row r="132">
      <c r="F132" s="119"/>
      <c r="G132" s="119"/>
      <c r="H132" s="120"/>
      <c r="I132" s="119"/>
      <c r="J132" s="119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237"/>
    </row>
    <row r="133">
      <c r="F133" s="119"/>
      <c r="G133" s="119"/>
      <c r="H133" s="120"/>
      <c r="I133" s="119"/>
      <c r="J133" s="119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237"/>
    </row>
    <row r="134">
      <c r="F134" s="119"/>
      <c r="G134" s="119"/>
      <c r="H134" s="120"/>
      <c r="I134" s="119"/>
      <c r="J134" s="119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237"/>
    </row>
    <row r="135">
      <c r="F135" s="119"/>
      <c r="G135" s="119"/>
      <c r="H135" s="120"/>
      <c r="I135" s="119"/>
      <c r="J135" s="119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237"/>
    </row>
    <row r="136">
      <c r="F136" s="119"/>
      <c r="G136" s="119"/>
      <c r="H136" s="120"/>
      <c r="I136" s="119"/>
      <c r="J136" s="119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237"/>
    </row>
    <row r="137">
      <c r="F137" s="119"/>
      <c r="G137" s="119"/>
      <c r="H137" s="120"/>
      <c r="I137" s="119"/>
      <c r="J137" s="119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237"/>
    </row>
    <row r="138">
      <c r="F138" s="119"/>
      <c r="G138" s="119"/>
      <c r="H138" s="120"/>
      <c r="I138" s="119"/>
      <c r="J138" s="119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237"/>
    </row>
    <row r="139">
      <c r="F139" s="119"/>
      <c r="G139" s="119"/>
      <c r="H139" s="120"/>
      <c r="I139" s="119"/>
      <c r="J139" s="119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237"/>
    </row>
    <row r="140">
      <c r="F140" s="119"/>
      <c r="G140" s="119"/>
      <c r="H140" s="120"/>
      <c r="I140" s="119"/>
      <c r="J140" s="119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237"/>
    </row>
    <row r="141">
      <c r="F141" s="119"/>
      <c r="G141" s="119"/>
      <c r="H141" s="120"/>
      <c r="I141" s="119"/>
      <c r="J141" s="119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237"/>
    </row>
    <row r="142">
      <c r="F142" s="119"/>
      <c r="G142" s="119"/>
      <c r="H142" s="120"/>
      <c r="I142" s="119"/>
      <c r="J142" s="119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237"/>
    </row>
    <row r="143">
      <c r="F143" s="119"/>
      <c r="G143" s="119"/>
      <c r="H143" s="120"/>
      <c r="I143" s="119"/>
      <c r="J143" s="119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237"/>
    </row>
    <row r="144">
      <c r="F144" s="119"/>
      <c r="G144" s="119"/>
      <c r="H144" s="120"/>
      <c r="I144" s="119"/>
      <c r="J144" s="119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237"/>
    </row>
    <row r="145">
      <c r="F145" s="119"/>
      <c r="G145" s="119"/>
      <c r="H145" s="120"/>
      <c r="I145" s="119"/>
      <c r="J145" s="119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237"/>
    </row>
    <row r="146">
      <c r="F146" s="119"/>
      <c r="G146" s="119"/>
      <c r="H146" s="120"/>
      <c r="I146" s="119"/>
      <c r="J146" s="119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237"/>
    </row>
    <row r="147">
      <c r="F147" s="119"/>
      <c r="G147" s="119"/>
      <c r="H147" s="120"/>
      <c r="I147" s="119"/>
      <c r="J147" s="119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237"/>
    </row>
    <row r="148">
      <c r="F148" s="119"/>
      <c r="G148" s="119"/>
      <c r="H148" s="120"/>
      <c r="I148" s="119"/>
      <c r="J148" s="119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237"/>
    </row>
    <row r="149">
      <c r="F149" s="119"/>
      <c r="G149" s="119"/>
      <c r="H149" s="120"/>
      <c r="I149" s="119"/>
      <c r="J149" s="119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237"/>
    </row>
    <row r="150">
      <c r="F150" s="119"/>
      <c r="G150" s="119"/>
      <c r="H150" s="120"/>
      <c r="I150" s="119"/>
      <c r="J150" s="119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237"/>
    </row>
    <row r="151">
      <c r="F151" s="119"/>
      <c r="G151" s="119"/>
      <c r="H151" s="120"/>
      <c r="I151" s="119"/>
      <c r="J151" s="119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237"/>
    </row>
    <row r="152">
      <c r="F152" s="119"/>
      <c r="G152" s="119"/>
      <c r="H152" s="120"/>
      <c r="I152" s="119"/>
      <c r="J152" s="119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237"/>
    </row>
    <row r="153">
      <c r="F153" s="119"/>
      <c r="G153" s="119"/>
      <c r="H153" s="120"/>
      <c r="I153" s="119"/>
      <c r="J153" s="119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237"/>
    </row>
    <row r="154">
      <c r="F154" s="119"/>
      <c r="G154" s="119"/>
      <c r="H154" s="120"/>
      <c r="I154" s="119"/>
      <c r="J154" s="119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237"/>
    </row>
    <row r="155">
      <c r="F155" s="119"/>
      <c r="G155" s="119"/>
      <c r="H155" s="120"/>
      <c r="I155" s="119"/>
      <c r="J155" s="119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237"/>
    </row>
    <row r="156">
      <c r="F156" s="119"/>
      <c r="G156" s="119"/>
      <c r="H156" s="120"/>
      <c r="I156" s="119"/>
      <c r="J156" s="119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237"/>
    </row>
    <row r="157">
      <c r="F157" s="119"/>
      <c r="G157" s="119"/>
      <c r="H157" s="120"/>
      <c r="I157" s="119"/>
      <c r="J157" s="119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237"/>
    </row>
    <row r="158">
      <c r="F158" s="119"/>
      <c r="G158" s="119"/>
      <c r="H158" s="120"/>
      <c r="I158" s="119"/>
      <c r="J158" s="119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237"/>
    </row>
    <row r="159">
      <c r="F159" s="119"/>
      <c r="G159" s="119"/>
      <c r="H159" s="120"/>
      <c r="I159" s="119"/>
      <c r="J159" s="119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237"/>
    </row>
    <row r="160">
      <c r="F160" s="119"/>
      <c r="G160" s="119"/>
      <c r="H160" s="120"/>
      <c r="I160" s="119"/>
      <c r="J160" s="119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237"/>
    </row>
    <row r="161">
      <c r="F161" s="119"/>
      <c r="G161" s="119"/>
      <c r="H161" s="120"/>
      <c r="I161" s="119"/>
      <c r="J161" s="119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237"/>
    </row>
    <row r="162">
      <c r="F162" s="119"/>
      <c r="G162" s="119"/>
      <c r="H162" s="120"/>
      <c r="I162" s="119"/>
      <c r="J162" s="119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237"/>
    </row>
    <row r="163">
      <c r="F163" s="119"/>
      <c r="G163" s="119"/>
      <c r="H163" s="120"/>
      <c r="I163" s="119"/>
      <c r="J163" s="119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237"/>
    </row>
    <row r="164">
      <c r="F164" s="119"/>
      <c r="G164" s="119"/>
      <c r="H164" s="120"/>
      <c r="I164" s="119"/>
      <c r="J164" s="119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237"/>
    </row>
    <row r="165">
      <c r="F165" s="119"/>
      <c r="G165" s="119"/>
      <c r="H165" s="120"/>
      <c r="I165" s="119"/>
      <c r="J165" s="119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237"/>
    </row>
    <row r="166">
      <c r="F166" s="119"/>
      <c r="G166" s="119"/>
      <c r="H166" s="120"/>
      <c r="I166" s="119"/>
      <c r="J166" s="119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237"/>
    </row>
    <row r="167">
      <c r="F167" s="119"/>
      <c r="G167" s="119"/>
      <c r="H167" s="120"/>
      <c r="I167" s="119"/>
      <c r="J167" s="119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237"/>
    </row>
    <row r="168">
      <c r="F168" s="119"/>
      <c r="G168" s="119"/>
      <c r="H168" s="120"/>
      <c r="I168" s="119"/>
      <c r="J168" s="119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237"/>
    </row>
    <row r="169">
      <c r="F169" s="119"/>
      <c r="G169" s="119"/>
      <c r="H169" s="120"/>
      <c r="I169" s="119"/>
      <c r="J169" s="119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237"/>
    </row>
    <row r="170">
      <c r="F170" s="119"/>
      <c r="G170" s="119"/>
      <c r="H170" s="120"/>
      <c r="I170" s="119"/>
      <c r="J170" s="119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237"/>
    </row>
    <row r="171">
      <c r="F171" s="119"/>
      <c r="G171" s="119"/>
      <c r="H171" s="120"/>
      <c r="I171" s="119"/>
      <c r="J171" s="119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237"/>
    </row>
    <row r="172">
      <c r="F172" s="119"/>
      <c r="G172" s="119"/>
      <c r="H172" s="120"/>
      <c r="I172" s="119"/>
      <c r="J172" s="119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237"/>
    </row>
    <row r="173">
      <c r="F173" s="119"/>
      <c r="G173" s="119"/>
      <c r="H173" s="120"/>
      <c r="I173" s="119"/>
      <c r="J173" s="119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237"/>
    </row>
    <row r="174">
      <c r="F174" s="119"/>
      <c r="G174" s="119"/>
      <c r="H174" s="120"/>
      <c r="I174" s="119"/>
      <c r="J174" s="119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237"/>
    </row>
    <row r="175">
      <c r="F175" s="119"/>
      <c r="G175" s="119"/>
      <c r="H175" s="120"/>
      <c r="I175" s="119"/>
      <c r="J175" s="119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237"/>
    </row>
    <row r="176">
      <c r="F176" s="119"/>
      <c r="G176" s="119"/>
      <c r="H176" s="120"/>
      <c r="I176" s="119"/>
      <c r="J176" s="119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237"/>
    </row>
    <row r="177">
      <c r="F177" s="119"/>
      <c r="G177" s="119"/>
      <c r="H177" s="120"/>
      <c r="I177" s="119"/>
      <c r="J177" s="119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237"/>
    </row>
    <row r="178">
      <c r="F178" s="119"/>
      <c r="G178" s="119"/>
      <c r="H178" s="120"/>
      <c r="I178" s="119"/>
      <c r="J178" s="119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237"/>
    </row>
    <row r="179">
      <c r="F179" s="119"/>
      <c r="G179" s="119"/>
      <c r="H179" s="120"/>
      <c r="I179" s="119"/>
      <c r="J179" s="119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237"/>
    </row>
    <row r="180">
      <c r="F180" s="119"/>
      <c r="G180" s="119"/>
      <c r="H180" s="120"/>
      <c r="I180" s="119"/>
      <c r="J180" s="119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237"/>
    </row>
    <row r="181">
      <c r="F181" s="119"/>
      <c r="G181" s="119"/>
      <c r="H181" s="120"/>
      <c r="I181" s="119"/>
      <c r="J181" s="119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237"/>
    </row>
    <row r="182">
      <c r="F182" s="119"/>
      <c r="G182" s="119"/>
      <c r="H182" s="120"/>
      <c r="I182" s="119"/>
      <c r="J182" s="119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237"/>
    </row>
    <row r="183">
      <c r="F183" s="119"/>
      <c r="G183" s="119"/>
      <c r="H183" s="120"/>
      <c r="I183" s="119"/>
      <c r="J183" s="119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237"/>
    </row>
    <row r="184">
      <c r="F184" s="119"/>
      <c r="G184" s="119"/>
      <c r="H184" s="120"/>
      <c r="I184" s="119"/>
      <c r="J184" s="119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237"/>
    </row>
    <row r="185">
      <c r="F185" s="119"/>
      <c r="G185" s="119"/>
      <c r="H185" s="120"/>
      <c r="I185" s="119"/>
      <c r="J185" s="119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237"/>
    </row>
    <row r="186">
      <c r="F186" s="119"/>
      <c r="G186" s="119"/>
      <c r="H186" s="120"/>
      <c r="I186" s="119"/>
      <c r="J186" s="119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237"/>
    </row>
    <row r="187">
      <c r="F187" s="119"/>
      <c r="G187" s="119"/>
      <c r="H187" s="120"/>
      <c r="I187" s="119"/>
      <c r="J187" s="119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237"/>
    </row>
    <row r="188">
      <c r="F188" s="119"/>
      <c r="G188" s="119"/>
      <c r="H188" s="120"/>
      <c r="I188" s="119"/>
      <c r="J188" s="119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237"/>
    </row>
    <row r="189">
      <c r="F189" s="119"/>
      <c r="G189" s="119"/>
      <c r="H189" s="120"/>
      <c r="I189" s="119"/>
      <c r="J189" s="119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237"/>
    </row>
    <row r="190">
      <c r="F190" s="119"/>
      <c r="G190" s="119"/>
      <c r="H190" s="120"/>
      <c r="I190" s="119"/>
      <c r="J190" s="119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237"/>
    </row>
    <row r="191">
      <c r="F191" s="119"/>
      <c r="G191" s="119"/>
      <c r="H191" s="120"/>
      <c r="I191" s="119"/>
      <c r="J191" s="119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237"/>
    </row>
    <row r="192">
      <c r="F192" s="119"/>
      <c r="G192" s="119"/>
      <c r="H192" s="120"/>
      <c r="I192" s="119"/>
      <c r="J192" s="119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237"/>
    </row>
    <row r="193">
      <c r="F193" s="119"/>
      <c r="G193" s="119"/>
      <c r="H193" s="120"/>
      <c r="I193" s="119"/>
      <c r="J193" s="119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237"/>
    </row>
    <row r="194">
      <c r="F194" s="119"/>
      <c r="G194" s="119"/>
      <c r="H194" s="120"/>
      <c r="I194" s="119"/>
      <c r="J194" s="119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237"/>
    </row>
    <row r="195">
      <c r="F195" s="119"/>
      <c r="G195" s="119"/>
      <c r="H195" s="120"/>
      <c r="I195" s="119"/>
      <c r="J195" s="119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237"/>
    </row>
    <row r="196">
      <c r="F196" s="119"/>
      <c r="G196" s="119"/>
      <c r="H196" s="120"/>
      <c r="I196" s="119"/>
      <c r="J196" s="119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237"/>
    </row>
    <row r="197">
      <c r="F197" s="119"/>
      <c r="G197" s="119"/>
      <c r="H197" s="120"/>
      <c r="I197" s="119"/>
      <c r="J197" s="119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237"/>
    </row>
    <row r="198">
      <c r="F198" s="119"/>
      <c r="G198" s="119"/>
      <c r="H198" s="120"/>
      <c r="I198" s="119"/>
      <c r="J198" s="119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237"/>
    </row>
    <row r="199">
      <c r="F199" s="119"/>
      <c r="G199" s="119"/>
      <c r="H199" s="120"/>
      <c r="I199" s="119"/>
      <c r="J199" s="119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237"/>
    </row>
    <row r="200">
      <c r="F200" s="119"/>
      <c r="G200" s="119"/>
      <c r="H200" s="120"/>
      <c r="I200" s="119"/>
      <c r="J200" s="119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237"/>
    </row>
    <row r="201">
      <c r="F201" s="119"/>
      <c r="G201" s="119"/>
      <c r="H201" s="120"/>
      <c r="I201" s="119"/>
      <c r="J201" s="119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237"/>
    </row>
    <row r="202">
      <c r="F202" s="119"/>
      <c r="G202" s="119"/>
      <c r="H202" s="120"/>
      <c r="I202" s="119"/>
      <c r="J202" s="119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237"/>
    </row>
    <row r="203">
      <c r="F203" s="119"/>
      <c r="G203" s="119"/>
      <c r="H203" s="120"/>
      <c r="I203" s="119"/>
      <c r="J203" s="119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237"/>
    </row>
    <row r="204">
      <c r="F204" s="119"/>
      <c r="G204" s="119"/>
      <c r="H204" s="120"/>
      <c r="I204" s="119"/>
      <c r="J204" s="119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237"/>
    </row>
    <row r="205">
      <c r="F205" s="119"/>
      <c r="G205" s="119"/>
      <c r="H205" s="120"/>
      <c r="I205" s="119"/>
      <c r="J205" s="119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237"/>
    </row>
    <row r="206">
      <c r="F206" s="119"/>
      <c r="G206" s="119"/>
      <c r="H206" s="120"/>
      <c r="I206" s="119"/>
      <c r="J206" s="119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237"/>
    </row>
    <row r="207">
      <c r="F207" s="119"/>
      <c r="G207" s="119"/>
      <c r="H207" s="120"/>
      <c r="I207" s="119"/>
      <c r="J207" s="119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237"/>
    </row>
    <row r="208">
      <c r="F208" s="119"/>
      <c r="G208" s="119"/>
      <c r="H208" s="120"/>
      <c r="I208" s="119"/>
      <c r="J208" s="119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237"/>
    </row>
    <row r="209">
      <c r="F209" s="119"/>
      <c r="G209" s="119"/>
      <c r="H209" s="120"/>
      <c r="I209" s="119"/>
      <c r="J209" s="119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237"/>
    </row>
    <row r="210">
      <c r="F210" s="119"/>
      <c r="G210" s="119"/>
      <c r="H210" s="120"/>
      <c r="I210" s="119"/>
      <c r="J210" s="119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237"/>
    </row>
    <row r="211">
      <c r="F211" s="119"/>
      <c r="G211" s="119"/>
      <c r="H211" s="120"/>
      <c r="I211" s="119"/>
      <c r="J211" s="119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237"/>
    </row>
    <row r="212">
      <c r="F212" s="119"/>
      <c r="G212" s="119"/>
      <c r="H212" s="120"/>
      <c r="I212" s="119"/>
      <c r="J212" s="119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237"/>
    </row>
    <row r="213">
      <c r="F213" s="119"/>
      <c r="G213" s="119"/>
      <c r="H213" s="120"/>
      <c r="I213" s="119"/>
      <c r="J213" s="119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237"/>
    </row>
    <row r="214">
      <c r="F214" s="119"/>
      <c r="G214" s="119"/>
      <c r="H214" s="120"/>
      <c r="I214" s="119"/>
      <c r="J214" s="119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237"/>
    </row>
    <row r="215">
      <c r="F215" s="119"/>
      <c r="G215" s="119"/>
      <c r="H215" s="120"/>
      <c r="I215" s="119"/>
      <c r="J215" s="119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237"/>
    </row>
    <row r="216">
      <c r="F216" s="119"/>
      <c r="G216" s="119"/>
      <c r="H216" s="120"/>
      <c r="I216" s="119"/>
      <c r="J216" s="119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237"/>
    </row>
    <row r="217">
      <c r="F217" s="119"/>
      <c r="G217" s="119"/>
      <c r="H217" s="120"/>
      <c r="I217" s="119"/>
      <c r="J217" s="119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237"/>
    </row>
    <row r="218">
      <c r="F218" s="119"/>
      <c r="G218" s="119"/>
      <c r="H218" s="120"/>
      <c r="I218" s="119"/>
      <c r="J218" s="119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237"/>
    </row>
    <row r="219">
      <c r="F219" s="119"/>
      <c r="G219" s="119"/>
      <c r="H219" s="120"/>
      <c r="I219" s="119"/>
      <c r="J219" s="119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237"/>
    </row>
    <row r="220">
      <c r="F220" s="119"/>
      <c r="G220" s="119"/>
      <c r="H220" s="120"/>
      <c r="I220" s="119"/>
      <c r="J220" s="119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237"/>
    </row>
    <row r="221">
      <c r="F221" s="119"/>
      <c r="G221" s="119"/>
      <c r="H221" s="120"/>
      <c r="I221" s="119"/>
      <c r="J221" s="119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237"/>
    </row>
    <row r="222">
      <c r="F222" s="119"/>
      <c r="G222" s="119"/>
      <c r="H222" s="120"/>
      <c r="I222" s="119"/>
      <c r="J222" s="119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237"/>
    </row>
    <row r="223">
      <c r="F223" s="119"/>
      <c r="G223" s="119"/>
      <c r="H223" s="120"/>
      <c r="I223" s="119"/>
      <c r="J223" s="119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237"/>
    </row>
    <row r="224">
      <c r="F224" s="119"/>
      <c r="G224" s="119"/>
      <c r="H224" s="120"/>
      <c r="I224" s="119"/>
      <c r="J224" s="119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237"/>
    </row>
    <row r="225">
      <c r="F225" s="119"/>
      <c r="G225" s="119"/>
      <c r="H225" s="120"/>
      <c r="I225" s="119"/>
      <c r="J225" s="119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237"/>
    </row>
    <row r="226">
      <c r="F226" s="119"/>
      <c r="G226" s="119"/>
      <c r="H226" s="120"/>
      <c r="I226" s="119"/>
      <c r="J226" s="119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237"/>
    </row>
    <row r="227">
      <c r="F227" s="119"/>
      <c r="G227" s="119"/>
      <c r="H227" s="120"/>
      <c r="I227" s="119"/>
      <c r="J227" s="119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237"/>
    </row>
    <row r="228">
      <c r="F228" s="119"/>
      <c r="G228" s="119"/>
      <c r="H228" s="120"/>
      <c r="I228" s="119"/>
      <c r="J228" s="119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237"/>
    </row>
    <row r="229">
      <c r="F229" s="119"/>
      <c r="G229" s="119"/>
      <c r="H229" s="120"/>
      <c r="I229" s="119"/>
      <c r="J229" s="119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237"/>
    </row>
    <row r="230">
      <c r="F230" s="119"/>
      <c r="G230" s="119"/>
      <c r="H230" s="120"/>
      <c r="I230" s="119"/>
      <c r="J230" s="119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237"/>
    </row>
    <row r="231">
      <c r="F231" s="119"/>
      <c r="G231" s="119"/>
      <c r="H231" s="120"/>
      <c r="I231" s="119"/>
      <c r="J231" s="119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237"/>
    </row>
    <row r="232">
      <c r="F232" s="119"/>
      <c r="G232" s="119"/>
      <c r="H232" s="120"/>
      <c r="I232" s="119"/>
      <c r="J232" s="119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237"/>
    </row>
    <row r="233">
      <c r="F233" s="119"/>
      <c r="G233" s="119"/>
      <c r="H233" s="120"/>
      <c r="I233" s="119"/>
      <c r="J233" s="119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237"/>
    </row>
    <row r="234">
      <c r="F234" s="119"/>
      <c r="G234" s="119"/>
      <c r="H234" s="120"/>
      <c r="I234" s="119"/>
      <c r="J234" s="119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237"/>
    </row>
    <row r="235">
      <c r="F235" s="119"/>
      <c r="G235" s="119"/>
      <c r="H235" s="120"/>
      <c r="I235" s="119"/>
      <c r="J235" s="119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237"/>
    </row>
    <row r="236">
      <c r="F236" s="119"/>
      <c r="G236" s="119"/>
      <c r="H236" s="120"/>
      <c r="I236" s="119"/>
      <c r="J236" s="119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237"/>
    </row>
    <row r="237">
      <c r="F237" s="119"/>
      <c r="G237" s="119"/>
      <c r="H237" s="120"/>
      <c r="I237" s="119"/>
      <c r="J237" s="119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237"/>
    </row>
    <row r="238">
      <c r="F238" s="119"/>
      <c r="G238" s="119"/>
      <c r="H238" s="120"/>
      <c r="I238" s="119"/>
      <c r="J238" s="119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237"/>
    </row>
    <row r="239">
      <c r="F239" s="119"/>
      <c r="G239" s="119"/>
      <c r="H239" s="120"/>
      <c r="I239" s="119"/>
      <c r="J239" s="119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237"/>
    </row>
    <row r="240">
      <c r="F240" s="119"/>
      <c r="G240" s="119"/>
      <c r="H240" s="120"/>
      <c r="I240" s="119"/>
      <c r="J240" s="119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237"/>
    </row>
    <row r="241">
      <c r="F241" s="119"/>
      <c r="G241" s="119"/>
      <c r="H241" s="120"/>
      <c r="I241" s="119"/>
      <c r="J241" s="119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237"/>
    </row>
    <row r="242">
      <c r="F242" s="119"/>
      <c r="G242" s="119"/>
      <c r="H242" s="120"/>
      <c r="I242" s="119"/>
      <c r="J242" s="119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237"/>
    </row>
    <row r="243">
      <c r="F243" s="119"/>
      <c r="G243" s="119"/>
      <c r="H243" s="120"/>
      <c r="I243" s="119"/>
      <c r="J243" s="119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237"/>
    </row>
    <row r="244">
      <c r="F244" s="119"/>
      <c r="G244" s="119"/>
      <c r="H244" s="120"/>
      <c r="I244" s="119"/>
      <c r="J244" s="119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237"/>
    </row>
    <row r="245">
      <c r="F245" s="119"/>
      <c r="G245" s="119"/>
      <c r="H245" s="120"/>
      <c r="I245" s="119"/>
      <c r="J245" s="119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237"/>
    </row>
    <row r="246">
      <c r="F246" s="119"/>
      <c r="G246" s="119"/>
      <c r="H246" s="120"/>
      <c r="I246" s="119"/>
      <c r="J246" s="119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237"/>
    </row>
    <row r="247">
      <c r="F247" s="119"/>
      <c r="G247" s="119"/>
      <c r="H247" s="120"/>
      <c r="I247" s="119"/>
      <c r="J247" s="119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237"/>
    </row>
    <row r="248">
      <c r="F248" s="119"/>
      <c r="G248" s="119"/>
      <c r="H248" s="120"/>
      <c r="I248" s="119"/>
      <c r="J248" s="119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237"/>
    </row>
    <row r="249">
      <c r="F249" s="119"/>
      <c r="G249" s="119"/>
      <c r="H249" s="120"/>
      <c r="I249" s="119"/>
      <c r="J249" s="119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237"/>
    </row>
    <row r="250">
      <c r="F250" s="119"/>
      <c r="G250" s="119"/>
      <c r="H250" s="120"/>
      <c r="I250" s="119"/>
      <c r="J250" s="119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237"/>
    </row>
    <row r="251">
      <c r="F251" s="119"/>
      <c r="G251" s="119"/>
      <c r="H251" s="120"/>
      <c r="I251" s="119"/>
      <c r="J251" s="119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237"/>
    </row>
    <row r="252">
      <c r="F252" s="119"/>
      <c r="G252" s="119"/>
      <c r="H252" s="120"/>
      <c r="I252" s="119"/>
      <c r="J252" s="119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237"/>
    </row>
    <row r="253">
      <c r="F253" s="119"/>
      <c r="G253" s="119"/>
      <c r="H253" s="120"/>
      <c r="I253" s="119"/>
      <c r="J253" s="119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237"/>
    </row>
    <row r="254">
      <c r="F254" s="119"/>
      <c r="G254" s="119"/>
      <c r="H254" s="120"/>
      <c r="I254" s="119"/>
      <c r="J254" s="119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237"/>
    </row>
    <row r="255">
      <c r="F255" s="119"/>
      <c r="G255" s="119"/>
      <c r="H255" s="120"/>
      <c r="I255" s="119"/>
      <c r="J255" s="119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237"/>
    </row>
    <row r="256">
      <c r="F256" s="119"/>
      <c r="G256" s="119"/>
      <c r="H256" s="120"/>
      <c r="I256" s="119"/>
      <c r="J256" s="119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237"/>
    </row>
    <row r="257">
      <c r="F257" s="119"/>
      <c r="G257" s="119"/>
      <c r="H257" s="120"/>
      <c r="I257" s="119"/>
      <c r="J257" s="119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237"/>
    </row>
    <row r="258">
      <c r="F258" s="119"/>
      <c r="G258" s="119"/>
      <c r="H258" s="120"/>
      <c r="I258" s="119"/>
      <c r="J258" s="119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237"/>
    </row>
    <row r="259">
      <c r="F259" s="119"/>
      <c r="G259" s="119"/>
      <c r="H259" s="120"/>
      <c r="I259" s="119"/>
      <c r="J259" s="119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237"/>
    </row>
    <row r="260">
      <c r="F260" s="119"/>
      <c r="G260" s="119"/>
      <c r="H260" s="120"/>
      <c r="I260" s="119"/>
      <c r="J260" s="119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237"/>
    </row>
    <row r="261">
      <c r="F261" s="119"/>
      <c r="G261" s="119"/>
      <c r="H261" s="120"/>
      <c r="I261" s="119"/>
      <c r="J261" s="119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237"/>
    </row>
    <row r="262">
      <c r="F262" s="119"/>
      <c r="G262" s="119"/>
      <c r="H262" s="120"/>
      <c r="I262" s="119"/>
      <c r="J262" s="119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237"/>
    </row>
    <row r="263">
      <c r="F263" s="119"/>
      <c r="G263" s="119"/>
      <c r="H263" s="120"/>
      <c r="I263" s="119"/>
      <c r="J263" s="119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237"/>
    </row>
    <row r="264">
      <c r="F264" s="119"/>
      <c r="G264" s="119"/>
      <c r="H264" s="120"/>
      <c r="I264" s="119"/>
      <c r="J264" s="119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237"/>
    </row>
    <row r="265">
      <c r="F265" s="119"/>
      <c r="G265" s="119"/>
      <c r="H265" s="120"/>
      <c r="I265" s="119"/>
      <c r="J265" s="119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237"/>
    </row>
    <row r="266">
      <c r="F266" s="119"/>
      <c r="G266" s="119"/>
      <c r="H266" s="120"/>
      <c r="I266" s="119"/>
      <c r="J266" s="119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237"/>
    </row>
    <row r="267">
      <c r="F267" s="119"/>
      <c r="G267" s="119"/>
      <c r="H267" s="120"/>
      <c r="I267" s="119"/>
      <c r="J267" s="119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237"/>
    </row>
    <row r="268">
      <c r="F268" s="119"/>
      <c r="G268" s="119"/>
      <c r="H268" s="120"/>
      <c r="I268" s="119"/>
      <c r="J268" s="119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237"/>
    </row>
    <row r="269">
      <c r="F269" s="119"/>
      <c r="G269" s="119"/>
      <c r="H269" s="120"/>
      <c r="I269" s="119"/>
      <c r="J269" s="119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237"/>
    </row>
    <row r="270">
      <c r="F270" s="119"/>
      <c r="G270" s="119"/>
      <c r="H270" s="120"/>
      <c r="I270" s="119"/>
      <c r="J270" s="119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237"/>
    </row>
    <row r="271">
      <c r="F271" s="119"/>
      <c r="G271" s="119"/>
      <c r="H271" s="120"/>
      <c r="I271" s="119"/>
      <c r="J271" s="119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237"/>
    </row>
    <row r="272">
      <c r="F272" s="119"/>
      <c r="G272" s="119"/>
      <c r="H272" s="120"/>
      <c r="I272" s="119"/>
      <c r="J272" s="119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237"/>
    </row>
    <row r="273">
      <c r="F273" s="119"/>
      <c r="G273" s="119"/>
      <c r="H273" s="120"/>
      <c r="I273" s="119"/>
      <c r="J273" s="119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237"/>
    </row>
    <row r="274">
      <c r="F274" s="119"/>
      <c r="G274" s="119"/>
      <c r="H274" s="120"/>
      <c r="I274" s="119"/>
      <c r="J274" s="119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237"/>
    </row>
    <row r="275">
      <c r="F275" s="119"/>
      <c r="G275" s="119"/>
      <c r="H275" s="120"/>
      <c r="I275" s="119"/>
      <c r="J275" s="119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237"/>
    </row>
    <row r="276">
      <c r="F276" s="119"/>
      <c r="G276" s="119"/>
      <c r="H276" s="120"/>
      <c r="I276" s="119"/>
      <c r="J276" s="119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237"/>
    </row>
    <row r="277">
      <c r="F277" s="119"/>
      <c r="G277" s="119"/>
      <c r="H277" s="120"/>
      <c r="I277" s="119"/>
      <c r="J277" s="119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237"/>
    </row>
    <row r="278">
      <c r="F278" s="119"/>
      <c r="G278" s="119"/>
      <c r="H278" s="120"/>
      <c r="I278" s="119"/>
      <c r="J278" s="119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237"/>
    </row>
    <row r="279">
      <c r="F279" s="119"/>
      <c r="G279" s="119"/>
      <c r="H279" s="120"/>
      <c r="I279" s="119"/>
      <c r="J279" s="119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237"/>
    </row>
    <row r="280">
      <c r="F280" s="119"/>
      <c r="G280" s="119"/>
      <c r="H280" s="120"/>
      <c r="I280" s="119"/>
      <c r="J280" s="119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237"/>
    </row>
    <row r="281">
      <c r="F281" s="119"/>
      <c r="G281" s="119"/>
      <c r="H281" s="120"/>
      <c r="I281" s="119"/>
      <c r="J281" s="119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237"/>
    </row>
    <row r="282">
      <c r="F282" s="119"/>
      <c r="G282" s="119"/>
      <c r="H282" s="120"/>
      <c r="I282" s="119"/>
      <c r="J282" s="119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237"/>
    </row>
    <row r="283">
      <c r="F283" s="119"/>
      <c r="G283" s="119"/>
      <c r="H283" s="120"/>
      <c r="I283" s="119"/>
      <c r="J283" s="119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237"/>
    </row>
    <row r="284">
      <c r="F284" s="119"/>
      <c r="G284" s="119"/>
      <c r="H284" s="120"/>
      <c r="I284" s="119"/>
      <c r="J284" s="119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237"/>
    </row>
    <row r="285">
      <c r="F285" s="119"/>
      <c r="G285" s="119"/>
      <c r="H285" s="120"/>
      <c r="I285" s="119"/>
      <c r="J285" s="119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237"/>
    </row>
    <row r="286">
      <c r="F286" s="119"/>
      <c r="G286" s="119"/>
      <c r="H286" s="120"/>
      <c r="I286" s="119"/>
      <c r="J286" s="119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237"/>
    </row>
    <row r="287">
      <c r="F287" s="119"/>
      <c r="G287" s="119"/>
      <c r="H287" s="120"/>
      <c r="I287" s="119"/>
      <c r="J287" s="119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237"/>
    </row>
    <row r="288">
      <c r="F288" s="119"/>
      <c r="G288" s="119"/>
      <c r="H288" s="120"/>
      <c r="I288" s="119"/>
      <c r="J288" s="119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237"/>
    </row>
    <row r="289">
      <c r="F289" s="119"/>
      <c r="G289" s="119"/>
      <c r="H289" s="120"/>
      <c r="I289" s="119"/>
      <c r="J289" s="119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237"/>
    </row>
    <row r="290">
      <c r="F290" s="119"/>
      <c r="G290" s="119"/>
      <c r="H290" s="120"/>
      <c r="I290" s="119"/>
      <c r="J290" s="119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237"/>
    </row>
    <row r="291">
      <c r="F291" s="119"/>
      <c r="G291" s="119"/>
      <c r="H291" s="120"/>
      <c r="I291" s="119"/>
      <c r="J291" s="119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237"/>
    </row>
    <row r="292">
      <c r="F292" s="119"/>
      <c r="G292" s="119"/>
      <c r="H292" s="120"/>
      <c r="I292" s="119"/>
      <c r="J292" s="119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237"/>
    </row>
    <row r="293">
      <c r="F293" s="119"/>
      <c r="G293" s="119"/>
      <c r="H293" s="120"/>
      <c r="I293" s="119"/>
      <c r="J293" s="119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237"/>
    </row>
    <row r="294">
      <c r="F294" s="119"/>
      <c r="G294" s="119"/>
      <c r="H294" s="120"/>
      <c r="I294" s="119"/>
      <c r="J294" s="119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237"/>
    </row>
    <row r="295">
      <c r="F295" s="119"/>
      <c r="G295" s="119"/>
      <c r="H295" s="120"/>
      <c r="I295" s="119"/>
      <c r="J295" s="119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237"/>
    </row>
    <row r="296">
      <c r="F296" s="119"/>
      <c r="G296" s="119"/>
      <c r="H296" s="120"/>
      <c r="I296" s="119"/>
      <c r="J296" s="119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237"/>
    </row>
    <row r="297">
      <c r="F297" s="119"/>
      <c r="G297" s="119"/>
      <c r="H297" s="120"/>
      <c r="I297" s="119"/>
      <c r="J297" s="119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237"/>
    </row>
    <row r="298">
      <c r="F298" s="119"/>
      <c r="G298" s="119"/>
      <c r="H298" s="120"/>
      <c r="I298" s="119"/>
      <c r="J298" s="119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237"/>
    </row>
    <row r="299">
      <c r="F299" s="119"/>
      <c r="G299" s="119"/>
      <c r="H299" s="120"/>
      <c r="I299" s="119"/>
      <c r="J299" s="119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237"/>
    </row>
    <row r="300">
      <c r="F300" s="119"/>
      <c r="G300" s="119"/>
      <c r="H300" s="120"/>
      <c r="I300" s="119"/>
      <c r="J300" s="119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237"/>
    </row>
    <row r="301">
      <c r="F301" s="119"/>
      <c r="G301" s="119"/>
      <c r="H301" s="120"/>
      <c r="I301" s="119"/>
      <c r="J301" s="119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237"/>
    </row>
    <row r="302">
      <c r="F302" s="119"/>
      <c r="G302" s="119"/>
      <c r="H302" s="120"/>
      <c r="I302" s="119"/>
      <c r="J302" s="119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237"/>
    </row>
    <row r="303">
      <c r="F303" s="119"/>
      <c r="G303" s="119"/>
      <c r="H303" s="120"/>
      <c r="I303" s="119"/>
      <c r="J303" s="119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237"/>
    </row>
    <row r="304">
      <c r="F304" s="119"/>
      <c r="G304" s="119"/>
      <c r="H304" s="120"/>
      <c r="I304" s="119"/>
      <c r="J304" s="119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237"/>
    </row>
    <row r="305">
      <c r="F305" s="119"/>
      <c r="G305" s="119"/>
      <c r="H305" s="120"/>
      <c r="I305" s="119"/>
      <c r="J305" s="119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237"/>
    </row>
    <row r="306">
      <c r="F306" s="119"/>
      <c r="G306" s="119"/>
      <c r="H306" s="120"/>
      <c r="I306" s="119"/>
      <c r="J306" s="119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237"/>
    </row>
    <row r="307">
      <c r="F307" s="119"/>
      <c r="G307" s="119"/>
      <c r="H307" s="120"/>
      <c r="I307" s="119"/>
      <c r="J307" s="119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237"/>
    </row>
    <row r="308">
      <c r="F308" s="119"/>
      <c r="G308" s="119"/>
      <c r="H308" s="120"/>
      <c r="I308" s="119"/>
      <c r="J308" s="119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237"/>
    </row>
    <row r="309">
      <c r="F309" s="119"/>
      <c r="G309" s="119"/>
      <c r="H309" s="120"/>
      <c r="I309" s="119"/>
      <c r="J309" s="119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237"/>
    </row>
    <row r="310">
      <c r="F310" s="119"/>
      <c r="G310" s="119"/>
      <c r="H310" s="120"/>
      <c r="I310" s="119"/>
      <c r="J310" s="119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237"/>
    </row>
    <row r="311">
      <c r="F311" s="119"/>
      <c r="G311" s="119"/>
      <c r="H311" s="120"/>
      <c r="I311" s="119"/>
      <c r="J311" s="119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237"/>
    </row>
    <row r="312">
      <c r="F312" s="119"/>
      <c r="G312" s="119"/>
      <c r="H312" s="120"/>
      <c r="I312" s="119"/>
      <c r="J312" s="119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237"/>
    </row>
    <row r="313">
      <c r="F313" s="119"/>
      <c r="G313" s="119"/>
      <c r="H313" s="120"/>
      <c r="I313" s="119"/>
      <c r="J313" s="119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237"/>
    </row>
    <row r="314">
      <c r="F314" s="119"/>
      <c r="G314" s="119"/>
      <c r="H314" s="120"/>
      <c r="I314" s="119"/>
      <c r="J314" s="119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237"/>
    </row>
    <row r="315">
      <c r="F315" s="119"/>
      <c r="G315" s="119"/>
      <c r="H315" s="120"/>
      <c r="I315" s="119"/>
      <c r="J315" s="119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237"/>
    </row>
    <row r="316">
      <c r="F316" s="119"/>
      <c r="G316" s="119"/>
      <c r="H316" s="120"/>
      <c r="I316" s="119"/>
      <c r="J316" s="119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237"/>
    </row>
    <row r="317">
      <c r="F317" s="119"/>
      <c r="G317" s="119"/>
      <c r="H317" s="120"/>
      <c r="I317" s="119"/>
      <c r="J317" s="119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237"/>
    </row>
    <row r="318">
      <c r="F318" s="119"/>
      <c r="G318" s="119"/>
      <c r="H318" s="120"/>
      <c r="I318" s="119"/>
      <c r="J318" s="119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237"/>
    </row>
    <row r="319">
      <c r="F319" s="119"/>
      <c r="G319" s="119"/>
      <c r="H319" s="120"/>
      <c r="I319" s="119"/>
      <c r="J319" s="119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237"/>
    </row>
    <row r="320">
      <c r="F320" s="119"/>
      <c r="G320" s="119"/>
      <c r="H320" s="120"/>
      <c r="I320" s="119"/>
      <c r="J320" s="119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237"/>
    </row>
    <row r="321">
      <c r="F321" s="119"/>
      <c r="G321" s="119"/>
      <c r="H321" s="120"/>
      <c r="I321" s="119"/>
      <c r="J321" s="119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237"/>
    </row>
    <row r="322">
      <c r="F322" s="119"/>
      <c r="G322" s="119"/>
      <c r="H322" s="120"/>
      <c r="I322" s="119"/>
      <c r="J322" s="119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237"/>
    </row>
    <row r="323">
      <c r="F323" s="119"/>
      <c r="G323" s="119"/>
      <c r="H323" s="120"/>
      <c r="I323" s="119"/>
      <c r="J323" s="119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237"/>
    </row>
    <row r="324">
      <c r="F324" s="119"/>
      <c r="G324" s="119"/>
      <c r="H324" s="120"/>
      <c r="I324" s="119"/>
      <c r="J324" s="119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237"/>
    </row>
    <row r="325">
      <c r="F325" s="119"/>
      <c r="G325" s="119"/>
      <c r="H325" s="120"/>
      <c r="I325" s="119"/>
      <c r="J325" s="119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237"/>
    </row>
    <row r="326">
      <c r="F326" s="119"/>
      <c r="G326" s="119"/>
      <c r="H326" s="120"/>
      <c r="I326" s="119"/>
      <c r="J326" s="119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237"/>
    </row>
    <row r="327">
      <c r="F327" s="119"/>
      <c r="G327" s="119"/>
      <c r="H327" s="120"/>
      <c r="I327" s="119"/>
      <c r="J327" s="119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237"/>
    </row>
    <row r="328">
      <c r="F328" s="119"/>
      <c r="G328" s="119"/>
      <c r="H328" s="120"/>
      <c r="I328" s="119"/>
      <c r="J328" s="119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237"/>
    </row>
    <row r="329">
      <c r="F329" s="119"/>
      <c r="G329" s="119"/>
      <c r="H329" s="120"/>
      <c r="I329" s="119"/>
      <c r="J329" s="119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237"/>
    </row>
    <row r="330">
      <c r="F330" s="119"/>
      <c r="G330" s="119"/>
      <c r="H330" s="120"/>
      <c r="I330" s="119"/>
      <c r="J330" s="119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237"/>
    </row>
    <row r="331">
      <c r="F331" s="119"/>
      <c r="G331" s="119"/>
      <c r="H331" s="120"/>
      <c r="I331" s="119"/>
      <c r="J331" s="119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237"/>
    </row>
    <row r="332">
      <c r="F332" s="119"/>
      <c r="G332" s="119"/>
      <c r="H332" s="120"/>
      <c r="I332" s="119"/>
      <c r="J332" s="119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237"/>
    </row>
    <row r="333">
      <c r="F333" s="119"/>
      <c r="G333" s="119"/>
      <c r="H333" s="120"/>
      <c r="I333" s="119"/>
      <c r="J333" s="119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237"/>
    </row>
    <row r="334">
      <c r="F334" s="119"/>
      <c r="G334" s="119"/>
      <c r="H334" s="120"/>
      <c r="I334" s="119"/>
      <c r="J334" s="119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237"/>
    </row>
    <row r="335">
      <c r="F335" s="119"/>
      <c r="G335" s="119"/>
      <c r="H335" s="120"/>
      <c r="I335" s="119"/>
      <c r="J335" s="119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237"/>
    </row>
    <row r="336">
      <c r="F336" s="119"/>
      <c r="G336" s="119"/>
      <c r="H336" s="120"/>
      <c r="I336" s="119"/>
      <c r="J336" s="119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237"/>
    </row>
    <row r="337">
      <c r="F337" s="119"/>
      <c r="G337" s="119"/>
      <c r="H337" s="120"/>
      <c r="I337" s="119"/>
      <c r="J337" s="119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237"/>
    </row>
    <row r="338">
      <c r="F338" s="119"/>
      <c r="G338" s="119"/>
      <c r="H338" s="120"/>
      <c r="I338" s="119"/>
      <c r="J338" s="119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237"/>
    </row>
    <row r="339">
      <c r="F339" s="119"/>
      <c r="G339" s="119"/>
      <c r="H339" s="120"/>
      <c r="I339" s="119"/>
      <c r="J339" s="119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237"/>
    </row>
    <row r="340">
      <c r="F340" s="119"/>
      <c r="G340" s="119"/>
      <c r="H340" s="120"/>
      <c r="I340" s="119"/>
      <c r="J340" s="119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237"/>
    </row>
    <row r="341">
      <c r="F341" s="119"/>
      <c r="G341" s="119"/>
      <c r="H341" s="120"/>
      <c r="I341" s="119"/>
      <c r="J341" s="119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237"/>
    </row>
    <row r="342">
      <c r="F342" s="119"/>
      <c r="G342" s="119"/>
      <c r="H342" s="120"/>
      <c r="I342" s="119"/>
      <c r="J342" s="119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237"/>
    </row>
    <row r="343">
      <c r="F343" s="119"/>
      <c r="G343" s="119"/>
      <c r="H343" s="120"/>
      <c r="I343" s="119"/>
      <c r="J343" s="119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237"/>
    </row>
    <row r="344">
      <c r="F344" s="119"/>
      <c r="G344" s="119"/>
      <c r="H344" s="120"/>
      <c r="I344" s="119"/>
      <c r="J344" s="119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237"/>
    </row>
    <row r="345">
      <c r="F345" s="119"/>
      <c r="G345" s="119"/>
      <c r="H345" s="120"/>
      <c r="I345" s="119"/>
      <c r="J345" s="119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237"/>
    </row>
    <row r="346">
      <c r="F346" s="119"/>
      <c r="G346" s="119"/>
      <c r="H346" s="120"/>
      <c r="I346" s="119"/>
      <c r="J346" s="119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237"/>
    </row>
    <row r="347">
      <c r="F347" s="119"/>
      <c r="G347" s="119"/>
      <c r="H347" s="120"/>
      <c r="I347" s="119"/>
      <c r="J347" s="119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237"/>
    </row>
    <row r="348">
      <c r="F348" s="119"/>
      <c r="G348" s="119"/>
      <c r="H348" s="120"/>
      <c r="I348" s="119"/>
      <c r="J348" s="119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237"/>
    </row>
    <row r="349">
      <c r="F349" s="119"/>
      <c r="G349" s="119"/>
      <c r="H349" s="120"/>
      <c r="I349" s="119"/>
      <c r="J349" s="119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237"/>
    </row>
    <row r="350">
      <c r="F350" s="119"/>
      <c r="G350" s="119"/>
      <c r="H350" s="120"/>
      <c r="I350" s="119"/>
      <c r="J350" s="119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237"/>
    </row>
    <row r="351">
      <c r="F351" s="119"/>
      <c r="G351" s="119"/>
      <c r="H351" s="120"/>
      <c r="I351" s="119"/>
      <c r="J351" s="119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237"/>
    </row>
    <row r="352">
      <c r="F352" s="119"/>
      <c r="G352" s="119"/>
      <c r="H352" s="120"/>
      <c r="I352" s="119"/>
      <c r="J352" s="119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237"/>
    </row>
    <row r="353">
      <c r="F353" s="119"/>
      <c r="G353" s="119"/>
      <c r="H353" s="120"/>
      <c r="I353" s="119"/>
      <c r="J353" s="119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237"/>
    </row>
    <row r="354">
      <c r="F354" s="119"/>
      <c r="G354" s="119"/>
      <c r="H354" s="120"/>
      <c r="I354" s="119"/>
      <c r="J354" s="119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237"/>
    </row>
    <row r="355">
      <c r="F355" s="119"/>
      <c r="G355" s="119"/>
      <c r="H355" s="120"/>
      <c r="I355" s="119"/>
      <c r="J355" s="119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237"/>
    </row>
    <row r="356">
      <c r="F356" s="119"/>
      <c r="G356" s="119"/>
      <c r="H356" s="120"/>
      <c r="I356" s="119"/>
      <c r="J356" s="119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237"/>
    </row>
    <row r="357">
      <c r="F357" s="119"/>
      <c r="G357" s="119"/>
      <c r="H357" s="120"/>
      <c r="I357" s="119"/>
      <c r="J357" s="119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237"/>
    </row>
    <row r="358">
      <c r="F358" s="119"/>
      <c r="G358" s="119"/>
      <c r="H358" s="120"/>
      <c r="I358" s="119"/>
      <c r="J358" s="119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237"/>
    </row>
    <row r="359">
      <c r="F359" s="119"/>
      <c r="G359" s="119"/>
      <c r="H359" s="120"/>
      <c r="I359" s="119"/>
      <c r="J359" s="119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237"/>
    </row>
    <row r="360">
      <c r="F360" s="119"/>
      <c r="G360" s="119"/>
      <c r="H360" s="120"/>
      <c r="I360" s="119"/>
      <c r="J360" s="119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237"/>
    </row>
    <row r="361">
      <c r="F361" s="119"/>
      <c r="G361" s="119"/>
      <c r="H361" s="120"/>
      <c r="I361" s="119"/>
      <c r="J361" s="119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237"/>
    </row>
    <row r="362">
      <c r="F362" s="119"/>
      <c r="G362" s="119"/>
      <c r="H362" s="120"/>
      <c r="I362" s="119"/>
      <c r="J362" s="119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237"/>
    </row>
    <row r="363">
      <c r="F363" s="119"/>
      <c r="G363" s="119"/>
      <c r="H363" s="120"/>
      <c r="I363" s="119"/>
      <c r="J363" s="119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237"/>
    </row>
    <row r="364">
      <c r="F364" s="119"/>
      <c r="G364" s="119"/>
      <c r="H364" s="120"/>
      <c r="I364" s="119"/>
      <c r="J364" s="119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237"/>
    </row>
    <row r="365">
      <c r="F365" s="119"/>
      <c r="G365" s="119"/>
      <c r="H365" s="120"/>
      <c r="I365" s="119"/>
      <c r="J365" s="119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237"/>
    </row>
    <row r="366">
      <c r="F366" s="119"/>
      <c r="G366" s="119"/>
      <c r="H366" s="120"/>
      <c r="I366" s="119"/>
      <c r="J366" s="119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237"/>
    </row>
    <row r="367">
      <c r="F367" s="119"/>
      <c r="G367" s="119"/>
      <c r="H367" s="120"/>
      <c r="I367" s="119"/>
      <c r="J367" s="119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237"/>
    </row>
    <row r="368">
      <c r="F368" s="119"/>
      <c r="G368" s="119"/>
      <c r="H368" s="120"/>
      <c r="I368" s="119"/>
      <c r="J368" s="119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237"/>
    </row>
    <row r="369">
      <c r="F369" s="119"/>
      <c r="G369" s="119"/>
      <c r="H369" s="120"/>
      <c r="I369" s="119"/>
      <c r="J369" s="119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237"/>
    </row>
    <row r="370">
      <c r="F370" s="119"/>
      <c r="G370" s="119"/>
      <c r="H370" s="120"/>
      <c r="I370" s="119"/>
      <c r="J370" s="119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237"/>
    </row>
    <row r="371">
      <c r="F371" s="119"/>
      <c r="G371" s="119"/>
      <c r="H371" s="120"/>
      <c r="I371" s="119"/>
      <c r="J371" s="119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237"/>
    </row>
    <row r="372">
      <c r="F372" s="119"/>
      <c r="G372" s="119"/>
      <c r="H372" s="120"/>
      <c r="I372" s="119"/>
      <c r="J372" s="119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237"/>
    </row>
    <row r="373">
      <c r="F373" s="119"/>
      <c r="G373" s="119"/>
      <c r="H373" s="120"/>
      <c r="I373" s="119"/>
      <c r="J373" s="119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237"/>
    </row>
    <row r="374">
      <c r="F374" s="119"/>
      <c r="G374" s="119"/>
      <c r="H374" s="120"/>
      <c r="I374" s="119"/>
      <c r="J374" s="119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237"/>
    </row>
    <row r="375">
      <c r="F375" s="119"/>
      <c r="G375" s="119"/>
      <c r="H375" s="120"/>
      <c r="I375" s="119"/>
      <c r="J375" s="119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237"/>
    </row>
    <row r="376">
      <c r="F376" s="119"/>
      <c r="G376" s="119"/>
      <c r="H376" s="120"/>
      <c r="I376" s="119"/>
      <c r="J376" s="119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237"/>
    </row>
    <row r="377">
      <c r="F377" s="119"/>
      <c r="G377" s="119"/>
      <c r="H377" s="120"/>
      <c r="I377" s="119"/>
      <c r="J377" s="119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237"/>
    </row>
    <row r="378">
      <c r="F378" s="119"/>
      <c r="G378" s="119"/>
      <c r="H378" s="120"/>
      <c r="I378" s="119"/>
      <c r="J378" s="119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237"/>
    </row>
    <row r="379">
      <c r="F379" s="119"/>
      <c r="G379" s="119"/>
      <c r="H379" s="120"/>
      <c r="I379" s="119"/>
      <c r="J379" s="119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237"/>
    </row>
    <row r="380">
      <c r="F380" s="119"/>
      <c r="G380" s="119"/>
      <c r="H380" s="120"/>
      <c r="I380" s="119"/>
      <c r="J380" s="119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237"/>
    </row>
    <row r="381">
      <c r="F381" s="119"/>
      <c r="G381" s="119"/>
      <c r="H381" s="120"/>
      <c r="I381" s="119"/>
      <c r="J381" s="119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237"/>
    </row>
    <row r="382">
      <c r="F382" s="119"/>
      <c r="G382" s="119"/>
      <c r="H382" s="120"/>
      <c r="I382" s="119"/>
      <c r="J382" s="119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237"/>
    </row>
    <row r="383">
      <c r="F383" s="119"/>
      <c r="G383" s="119"/>
      <c r="H383" s="120"/>
      <c r="I383" s="119"/>
      <c r="J383" s="119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237"/>
    </row>
    <row r="384">
      <c r="F384" s="119"/>
      <c r="G384" s="119"/>
      <c r="H384" s="120"/>
      <c r="I384" s="119"/>
      <c r="J384" s="119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237"/>
    </row>
    <row r="385">
      <c r="F385" s="119"/>
      <c r="G385" s="119"/>
      <c r="H385" s="120"/>
      <c r="I385" s="119"/>
      <c r="J385" s="119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237"/>
    </row>
    <row r="386">
      <c r="F386" s="119"/>
      <c r="G386" s="119"/>
      <c r="H386" s="120"/>
      <c r="I386" s="119"/>
      <c r="J386" s="119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237"/>
    </row>
    <row r="387">
      <c r="F387" s="119"/>
      <c r="G387" s="119"/>
      <c r="H387" s="120"/>
      <c r="I387" s="119"/>
      <c r="J387" s="119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237"/>
    </row>
    <row r="388">
      <c r="F388" s="119"/>
      <c r="G388" s="119"/>
      <c r="H388" s="120"/>
      <c r="I388" s="119"/>
      <c r="J388" s="119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237"/>
    </row>
    <row r="389">
      <c r="F389" s="119"/>
      <c r="G389" s="119"/>
      <c r="H389" s="120"/>
      <c r="I389" s="119"/>
      <c r="J389" s="119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237"/>
    </row>
    <row r="390">
      <c r="F390" s="119"/>
      <c r="G390" s="119"/>
      <c r="H390" s="120"/>
      <c r="I390" s="119"/>
      <c r="J390" s="119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237"/>
    </row>
    <row r="391">
      <c r="F391" s="119"/>
      <c r="G391" s="119"/>
      <c r="H391" s="120"/>
      <c r="I391" s="119"/>
      <c r="J391" s="119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237"/>
    </row>
    <row r="392">
      <c r="F392" s="119"/>
      <c r="G392" s="119"/>
      <c r="H392" s="120"/>
      <c r="I392" s="119"/>
      <c r="J392" s="119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237"/>
    </row>
    <row r="393">
      <c r="F393" s="119"/>
      <c r="G393" s="119"/>
      <c r="H393" s="120"/>
      <c r="I393" s="119"/>
      <c r="J393" s="119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237"/>
    </row>
    <row r="394">
      <c r="F394" s="119"/>
      <c r="G394" s="119"/>
      <c r="H394" s="120"/>
      <c r="I394" s="119"/>
      <c r="J394" s="119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237"/>
    </row>
    <row r="395">
      <c r="F395" s="119"/>
      <c r="G395" s="119"/>
      <c r="H395" s="120"/>
      <c r="I395" s="119"/>
      <c r="J395" s="119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237"/>
    </row>
    <row r="396">
      <c r="F396" s="119"/>
      <c r="G396" s="119"/>
      <c r="H396" s="120"/>
      <c r="I396" s="119"/>
      <c r="J396" s="119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237"/>
    </row>
    <row r="397">
      <c r="F397" s="119"/>
      <c r="G397" s="119"/>
      <c r="H397" s="120"/>
      <c r="I397" s="119"/>
      <c r="J397" s="119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237"/>
    </row>
    <row r="398">
      <c r="F398" s="119"/>
      <c r="G398" s="119"/>
      <c r="H398" s="120"/>
      <c r="I398" s="119"/>
      <c r="J398" s="119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237"/>
    </row>
    <row r="399">
      <c r="F399" s="119"/>
      <c r="G399" s="119"/>
      <c r="H399" s="120"/>
      <c r="I399" s="119"/>
      <c r="J399" s="119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237"/>
    </row>
    <row r="400">
      <c r="F400" s="119"/>
      <c r="G400" s="119"/>
      <c r="H400" s="120"/>
      <c r="I400" s="119"/>
      <c r="J400" s="119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237"/>
    </row>
    <row r="401">
      <c r="F401" s="119"/>
      <c r="G401" s="119"/>
      <c r="H401" s="120"/>
      <c r="I401" s="119"/>
      <c r="J401" s="119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237"/>
    </row>
    <row r="402">
      <c r="F402" s="119"/>
      <c r="G402" s="119"/>
      <c r="H402" s="120"/>
      <c r="I402" s="119"/>
      <c r="J402" s="119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237"/>
    </row>
    <row r="403">
      <c r="F403" s="119"/>
      <c r="G403" s="119"/>
      <c r="H403" s="120"/>
      <c r="I403" s="119"/>
      <c r="J403" s="119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237"/>
    </row>
    <row r="404">
      <c r="F404" s="119"/>
      <c r="G404" s="119"/>
      <c r="H404" s="120"/>
      <c r="I404" s="119"/>
      <c r="J404" s="119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237"/>
    </row>
    <row r="405">
      <c r="F405" s="119"/>
      <c r="G405" s="119"/>
      <c r="H405" s="120"/>
      <c r="I405" s="119"/>
      <c r="J405" s="119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237"/>
    </row>
    <row r="406">
      <c r="F406" s="119"/>
      <c r="G406" s="119"/>
      <c r="H406" s="120"/>
      <c r="I406" s="119"/>
      <c r="J406" s="119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237"/>
    </row>
    <row r="407">
      <c r="F407" s="119"/>
      <c r="G407" s="119"/>
      <c r="H407" s="120"/>
      <c r="I407" s="119"/>
      <c r="J407" s="119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237"/>
    </row>
    <row r="408">
      <c r="F408" s="119"/>
      <c r="G408" s="119"/>
      <c r="H408" s="120"/>
      <c r="I408" s="119"/>
      <c r="J408" s="119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237"/>
    </row>
    <row r="409">
      <c r="F409" s="119"/>
      <c r="G409" s="119"/>
      <c r="H409" s="120"/>
      <c r="I409" s="119"/>
      <c r="J409" s="119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237"/>
    </row>
    <row r="410">
      <c r="F410" s="119"/>
      <c r="G410" s="119"/>
      <c r="H410" s="120"/>
      <c r="I410" s="119"/>
      <c r="J410" s="119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237"/>
    </row>
    <row r="411">
      <c r="F411" s="119"/>
      <c r="G411" s="119"/>
      <c r="H411" s="120"/>
      <c r="I411" s="119"/>
      <c r="J411" s="119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237"/>
    </row>
    <row r="412">
      <c r="F412" s="119"/>
      <c r="G412" s="119"/>
      <c r="H412" s="120"/>
      <c r="I412" s="119"/>
      <c r="J412" s="119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237"/>
    </row>
    <row r="413">
      <c r="F413" s="119"/>
      <c r="G413" s="119"/>
      <c r="H413" s="120"/>
      <c r="I413" s="119"/>
      <c r="J413" s="119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237"/>
    </row>
    <row r="414">
      <c r="F414" s="119"/>
      <c r="G414" s="119"/>
      <c r="H414" s="120"/>
      <c r="I414" s="119"/>
      <c r="J414" s="119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237"/>
    </row>
    <row r="415">
      <c r="F415" s="119"/>
      <c r="G415" s="119"/>
      <c r="H415" s="120"/>
      <c r="I415" s="119"/>
      <c r="J415" s="119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237"/>
    </row>
    <row r="416">
      <c r="F416" s="119"/>
      <c r="G416" s="119"/>
      <c r="H416" s="120"/>
      <c r="I416" s="119"/>
      <c r="J416" s="119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237"/>
    </row>
    <row r="417">
      <c r="F417" s="119"/>
      <c r="G417" s="119"/>
      <c r="H417" s="120"/>
      <c r="I417" s="119"/>
      <c r="J417" s="119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237"/>
    </row>
    <row r="418">
      <c r="F418" s="119"/>
      <c r="G418" s="119"/>
      <c r="H418" s="120"/>
      <c r="I418" s="119"/>
      <c r="J418" s="119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237"/>
    </row>
    <row r="419">
      <c r="F419" s="119"/>
      <c r="G419" s="119"/>
      <c r="H419" s="120"/>
      <c r="I419" s="119"/>
      <c r="J419" s="119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237"/>
    </row>
    <row r="420">
      <c r="F420" s="119"/>
      <c r="G420" s="119"/>
      <c r="H420" s="120"/>
      <c r="I420" s="119"/>
      <c r="J420" s="119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237"/>
    </row>
    <row r="421">
      <c r="F421" s="119"/>
      <c r="G421" s="119"/>
      <c r="H421" s="120"/>
      <c r="I421" s="119"/>
      <c r="J421" s="119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237"/>
    </row>
    <row r="422">
      <c r="F422" s="119"/>
      <c r="G422" s="119"/>
      <c r="H422" s="120"/>
      <c r="I422" s="119"/>
      <c r="J422" s="119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237"/>
    </row>
    <row r="423">
      <c r="F423" s="119"/>
      <c r="G423" s="119"/>
      <c r="H423" s="120"/>
      <c r="I423" s="119"/>
      <c r="J423" s="119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237"/>
    </row>
    <row r="424">
      <c r="F424" s="119"/>
      <c r="G424" s="119"/>
      <c r="H424" s="120"/>
      <c r="I424" s="119"/>
      <c r="J424" s="119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237"/>
    </row>
    <row r="425">
      <c r="F425" s="119"/>
      <c r="G425" s="119"/>
      <c r="H425" s="120"/>
      <c r="I425" s="119"/>
      <c r="J425" s="119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237"/>
    </row>
    <row r="426">
      <c r="F426" s="119"/>
      <c r="G426" s="119"/>
      <c r="H426" s="120"/>
      <c r="I426" s="119"/>
      <c r="J426" s="119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237"/>
    </row>
    <row r="427">
      <c r="F427" s="119"/>
      <c r="G427" s="119"/>
      <c r="H427" s="120"/>
      <c r="I427" s="119"/>
      <c r="J427" s="119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237"/>
    </row>
    <row r="428">
      <c r="F428" s="119"/>
      <c r="G428" s="119"/>
      <c r="H428" s="120"/>
      <c r="I428" s="119"/>
      <c r="J428" s="119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237"/>
    </row>
    <row r="429">
      <c r="F429" s="119"/>
      <c r="G429" s="119"/>
      <c r="H429" s="120"/>
      <c r="I429" s="119"/>
      <c r="J429" s="119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237"/>
    </row>
    <row r="430">
      <c r="F430" s="119"/>
      <c r="G430" s="119"/>
      <c r="H430" s="120"/>
      <c r="I430" s="119"/>
      <c r="J430" s="119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237"/>
    </row>
    <row r="431">
      <c r="F431" s="119"/>
      <c r="G431" s="119"/>
      <c r="H431" s="120"/>
      <c r="I431" s="119"/>
      <c r="J431" s="119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237"/>
    </row>
    <row r="432">
      <c r="F432" s="119"/>
      <c r="G432" s="119"/>
      <c r="H432" s="120"/>
      <c r="I432" s="119"/>
      <c r="J432" s="119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237"/>
    </row>
    <row r="433">
      <c r="F433" s="119"/>
      <c r="G433" s="119"/>
      <c r="H433" s="120"/>
      <c r="I433" s="119"/>
      <c r="J433" s="119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237"/>
    </row>
    <row r="434">
      <c r="F434" s="119"/>
      <c r="G434" s="119"/>
      <c r="H434" s="120"/>
      <c r="I434" s="119"/>
      <c r="J434" s="119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237"/>
    </row>
    <row r="435">
      <c r="F435" s="119"/>
      <c r="G435" s="119"/>
      <c r="H435" s="120"/>
      <c r="I435" s="119"/>
      <c r="J435" s="119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237"/>
    </row>
    <row r="436">
      <c r="F436" s="119"/>
      <c r="G436" s="119"/>
      <c r="H436" s="120"/>
      <c r="I436" s="119"/>
      <c r="J436" s="119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237"/>
    </row>
    <row r="437">
      <c r="F437" s="119"/>
      <c r="G437" s="119"/>
      <c r="H437" s="120"/>
      <c r="I437" s="119"/>
      <c r="J437" s="119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237"/>
    </row>
    <row r="438">
      <c r="F438" s="119"/>
      <c r="G438" s="119"/>
      <c r="H438" s="120"/>
      <c r="I438" s="119"/>
      <c r="J438" s="119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237"/>
    </row>
    <row r="439">
      <c r="F439" s="119"/>
      <c r="G439" s="119"/>
      <c r="H439" s="120"/>
      <c r="I439" s="119"/>
      <c r="J439" s="119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237"/>
    </row>
    <row r="440">
      <c r="F440" s="119"/>
      <c r="G440" s="119"/>
      <c r="H440" s="120"/>
      <c r="I440" s="119"/>
      <c r="J440" s="119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237"/>
    </row>
    <row r="441">
      <c r="F441" s="119"/>
      <c r="G441" s="119"/>
      <c r="H441" s="120"/>
      <c r="I441" s="119"/>
      <c r="J441" s="119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237"/>
    </row>
    <row r="442">
      <c r="F442" s="119"/>
      <c r="G442" s="119"/>
      <c r="H442" s="120"/>
      <c r="I442" s="119"/>
      <c r="J442" s="119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237"/>
    </row>
    <row r="443">
      <c r="F443" s="119"/>
      <c r="G443" s="119"/>
      <c r="H443" s="120"/>
      <c r="I443" s="119"/>
      <c r="J443" s="119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237"/>
    </row>
    <row r="444">
      <c r="F444" s="119"/>
      <c r="G444" s="119"/>
      <c r="H444" s="120"/>
      <c r="I444" s="119"/>
      <c r="J444" s="119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237"/>
    </row>
    <row r="445">
      <c r="F445" s="119"/>
      <c r="G445" s="119"/>
      <c r="H445" s="120"/>
      <c r="I445" s="119"/>
      <c r="J445" s="119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237"/>
    </row>
    <row r="446">
      <c r="F446" s="119"/>
      <c r="G446" s="119"/>
      <c r="H446" s="120"/>
      <c r="I446" s="119"/>
      <c r="J446" s="119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237"/>
    </row>
    <row r="447">
      <c r="F447" s="119"/>
      <c r="G447" s="119"/>
      <c r="H447" s="120"/>
      <c r="I447" s="119"/>
      <c r="J447" s="119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237"/>
    </row>
    <row r="448">
      <c r="F448" s="119"/>
      <c r="G448" s="119"/>
      <c r="H448" s="120"/>
      <c r="I448" s="119"/>
      <c r="J448" s="119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237"/>
    </row>
    <row r="449">
      <c r="F449" s="119"/>
      <c r="G449" s="119"/>
      <c r="H449" s="120"/>
      <c r="I449" s="119"/>
      <c r="J449" s="119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237"/>
    </row>
    <row r="450">
      <c r="F450" s="119"/>
      <c r="G450" s="119"/>
      <c r="H450" s="120"/>
      <c r="I450" s="119"/>
      <c r="J450" s="119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237"/>
    </row>
    <row r="451">
      <c r="F451" s="119"/>
      <c r="G451" s="119"/>
      <c r="H451" s="120"/>
      <c r="I451" s="119"/>
      <c r="J451" s="119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237"/>
    </row>
    <row r="452">
      <c r="F452" s="119"/>
      <c r="G452" s="119"/>
      <c r="H452" s="120"/>
      <c r="I452" s="119"/>
      <c r="J452" s="119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237"/>
    </row>
    <row r="453">
      <c r="F453" s="119"/>
      <c r="G453" s="119"/>
      <c r="H453" s="120"/>
      <c r="I453" s="119"/>
      <c r="J453" s="119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237"/>
    </row>
    <row r="454">
      <c r="F454" s="119"/>
      <c r="G454" s="119"/>
      <c r="H454" s="120"/>
      <c r="I454" s="119"/>
      <c r="J454" s="119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237"/>
    </row>
    <row r="455">
      <c r="F455" s="119"/>
      <c r="G455" s="119"/>
      <c r="H455" s="120"/>
      <c r="I455" s="119"/>
      <c r="J455" s="119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237"/>
    </row>
    <row r="456">
      <c r="F456" s="119"/>
      <c r="G456" s="119"/>
      <c r="H456" s="120"/>
      <c r="I456" s="119"/>
      <c r="J456" s="119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237"/>
    </row>
    <row r="457">
      <c r="F457" s="119"/>
      <c r="G457" s="119"/>
      <c r="H457" s="120"/>
      <c r="I457" s="119"/>
      <c r="J457" s="119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237"/>
    </row>
    <row r="458">
      <c r="F458" s="119"/>
      <c r="G458" s="119"/>
      <c r="H458" s="120"/>
      <c r="I458" s="119"/>
      <c r="J458" s="119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237"/>
    </row>
    <row r="459">
      <c r="F459" s="119"/>
      <c r="G459" s="119"/>
      <c r="H459" s="120"/>
      <c r="I459" s="119"/>
      <c r="J459" s="119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237"/>
    </row>
    <row r="460">
      <c r="F460" s="119"/>
      <c r="G460" s="119"/>
      <c r="H460" s="120"/>
      <c r="I460" s="119"/>
      <c r="J460" s="119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237"/>
    </row>
    <row r="461">
      <c r="F461" s="119"/>
      <c r="G461" s="119"/>
      <c r="H461" s="120"/>
      <c r="I461" s="119"/>
      <c r="J461" s="119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237"/>
    </row>
    <row r="462">
      <c r="F462" s="119"/>
      <c r="G462" s="119"/>
      <c r="H462" s="120"/>
      <c r="I462" s="119"/>
      <c r="J462" s="119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237"/>
    </row>
    <row r="463">
      <c r="F463" s="119"/>
      <c r="G463" s="119"/>
      <c r="H463" s="120"/>
      <c r="I463" s="119"/>
      <c r="J463" s="119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237"/>
    </row>
    <row r="464">
      <c r="F464" s="119"/>
      <c r="G464" s="119"/>
      <c r="H464" s="120"/>
      <c r="I464" s="119"/>
      <c r="J464" s="119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237"/>
    </row>
    <row r="465">
      <c r="F465" s="119"/>
      <c r="G465" s="119"/>
      <c r="H465" s="120"/>
      <c r="I465" s="119"/>
      <c r="J465" s="119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237"/>
    </row>
    <row r="466">
      <c r="F466" s="119"/>
      <c r="G466" s="119"/>
      <c r="H466" s="120"/>
      <c r="I466" s="119"/>
      <c r="J466" s="119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237"/>
    </row>
    <row r="467">
      <c r="F467" s="119"/>
      <c r="G467" s="119"/>
      <c r="H467" s="120"/>
      <c r="I467" s="119"/>
      <c r="J467" s="119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237"/>
    </row>
    <row r="468">
      <c r="F468" s="119"/>
      <c r="G468" s="119"/>
      <c r="H468" s="120"/>
      <c r="I468" s="119"/>
      <c r="J468" s="119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237"/>
    </row>
    <row r="469">
      <c r="F469" s="119"/>
      <c r="G469" s="119"/>
      <c r="H469" s="120"/>
      <c r="I469" s="119"/>
      <c r="J469" s="119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237"/>
    </row>
    <row r="470">
      <c r="F470" s="119"/>
      <c r="G470" s="119"/>
      <c r="H470" s="120"/>
      <c r="I470" s="119"/>
      <c r="J470" s="119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237"/>
    </row>
    <row r="471">
      <c r="F471" s="119"/>
      <c r="G471" s="119"/>
      <c r="H471" s="120"/>
      <c r="I471" s="119"/>
      <c r="J471" s="119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237"/>
    </row>
    <row r="472">
      <c r="F472" s="119"/>
      <c r="G472" s="119"/>
      <c r="H472" s="120"/>
      <c r="I472" s="119"/>
      <c r="J472" s="119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237"/>
    </row>
    <row r="473">
      <c r="F473" s="119"/>
      <c r="G473" s="119"/>
      <c r="H473" s="120"/>
      <c r="I473" s="119"/>
      <c r="J473" s="119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237"/>
    </row>
    <row r="474">
      <c r="F474" s="119"/>
      <c r="G474" s="119"/>
      <c r="H474" s="120"/>
      <c r="I474" s="119"/>
      <c r="J474" s="119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237"/>
    </row>
    <row r="475">
      <c r="F475" s="119"/>
      <c r="G475" s="119"/>
      <c r="H475" s="120"/>
      <c r="I475" s="119"/>
      <c r="J475" s="119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237"/>
    </row>
    <row r="476">
      <c r="F476" s="119"/>
      <c r="G476" s="119"/>
      <c r="H476" s="120"/>
      <c r="I476" s="119"/>
      <c r="J476" s="119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237"/>
    </row>
    <row r="477">
      <c r="F477" s="119"/>
      <c r="G477" s="119"/>
      <c r="H477" s="120"/>
      <c r="I477" s="119"/>
      <c r="J477" s="119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237"/>
    </row>
    <row r="478">
      <c r="F478" s="119"/>
      <c r="G478" s="119"/>
      <c r="H478" s="120"/>
      <c r="I478" s="119"/>
      <c r="J478" s="119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237"/>
    </row>
    <row r="479">
      <c r="F479" s="119"/>
      <c r="G479" s="119"/>
      <c r="H479" s="120"/>
      <c r="I479" s="119"/>
      <c r="J479" s="119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237"/>
    </row>
    <row r="480">
      <c r="F480" s="119"/>
      <c r="G480" s="119"/>
      <c r="H480" s="120"/>
      <c r="I480" s="119"/>
      <c r="J480" s="119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237"/>
    </row>
    <row r="481">
      <c r="F481" s="119"/>
      <c r="G481" s="119"/>
      <c r="H481" s="120"/>
      <c r="I481" s="119"/>
      <c r="J481" s="119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237"/>
    </row>
    <row r="482">
      <c r="F482" s="119"/>
      <c r="G482" s="119"/>
      <c r="H482" s="120"/>
      <c r="I482" s="119"/>
      <c r="J482" s="119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237"/>
    </row>
    <row r="483">
      <c r="F483" s="119"/>
      <c r="G483" s="119"/>
      <c r="H483" s="120"/>
      <c r="I483" s="119"/>
      <c r="J483" s="119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237"/>
    </row>
    <row r="484">
      <c r="F484" s="119"/>
      <c r="G484" s="119"/>
      <c r="H484" s="120"/>
      <c r="I484" s="119"/>
      <c r="J484" s="119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237"/>
    </row>
    <row r="485">
      <c r="F485" s="119"/>
      <c r="G485" s="119"/>
      <c r="H485" s="120"/>
      <c r="I485" s="119"/>
      <c r="J485" s="119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237"/>
    </row>
    <row r="486">
      <c r="F486" s="119"/>
      <c r="G486" s="119"/>
      <c r="H486" s="120"/>
      <c r="I486" s="119"/>
      <c r="J486" s="119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237"/>
    </row>
    <row r="487">
      <c r="F487" s="119"/>
      <c r="G487" s="119"/>
      <c r="H487" s="120"/>
      <c r="I487" s="119"/>
      <c r="J487" s="119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237"/>
    </row>
    <row r="488">
      <c r="F488" s="119"/>
      <c r="G488" s="119"/>
      <c r="H488" s="120"/>
      <c r="I488" s="119"/>
      <c r="J488" s="119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237"/>
    </row>
    <row r="489">
      <c r="F489" s="119"/>
      <c r="G489" s="119"/>
      <c r="H489" s="120"/>
      <c r="I489" s="119"/>
      <c r="J489" s="119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237"/>
    </row>
    <row r="490">
      <c r="F490" s="119"/>
      <c r="G490" s="119"/>
      <c r="H490" s="120"/>
      <c r="I490" s="119"/>
      <c r="J490" s="119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237"/>
    </row>
    <row r="491">
      <c r="F491" s="119"/>
      <c r="G491" s="119"/>
      <c r="H491" s="120"/>
      <c r="I491" s="119"/>
      <c r="J491" s="119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237"/>
    </row>
    <row r="492">
      <c r="F492" s="119"/>
      <c r="G492" s="119"/>
      <c r="H492" s="120"/>
      <c r="I492" s="119"/>
      <c r="J492" s="119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237"/>
    </row>
    <row r="493">
      <c r="F493" s="119"/>
      <c r="G493" s="119"/>
      <c r="H493" s="120"/>
      <c r="I493" s="119"/>
      <c r="J493" s="119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237"/>
    </row>
    <row r="494">
      <c r="F494" s="119"/>
      <c r="G494" s="119"/>
      <c r="H494" s="120"/>
      <c r="I494" s="119"/>
      <c r="J494" s="119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237"/>
    </row>
    <row r="495">
      <c r="F495" s="119"/>
      <c r="G495" s="119"/>
      <c r="H495" s="120"/>
      <c r="I495" s="119"/>
      <c r="J495" s="119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237"/>
    </row>
    <row r="496">
      <c r="F496" s="119"/>
      <c r="G496" s="119"/>
      <c r="H496" s="120"/>
      <c r="I496" s="119"/>
      <c r="J496" s="119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237"/>
    </row>
    <row r="497">
      <c r="F497" s="119"/>
      <c r="G497" s="119"/>
      <c r="H497" s="120"/>
      <c r="I497" s="119"/>
      <c r="J497" s="119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237"/>
    </row>
    <row r="498">
      <c r="F498" s="119"/>
      <c r="G498" s="119"/>
      <c r="H498" s="120"/>
      <c r="I498" s="119"/>
      <c r="J498" s="119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237"/>
    </row>
    <row r="499">
      <c r="F499" s="119"/>
      <c r="G499" s="119"/>
      <c r="H499" s="120"/>
      <c r="I499" s="119"/>
      <c r="J499" s="119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237"/>
    </row>
    <row r="500">
      <c r="F500" s="119"/>
      <c r="G500" s="119"/>
      <c r="H500" s="120"/>
      <c r="I500" s="119"/>
      <c r="J500" s="119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237"/>
    </row>
    <row r="501">
      <c r="F501" s="119"/>
      <c r="G501" s="119"/>
      <c r="H501" s="120"/>
      <c r="I501" s="119"/>
      <c r="J501" s="119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237"/>
    </row>
    <row r="502">
      <c r="F502" s="119"/>
      <c r="G502" s="119"/>
      <c r="H502" s="120"/>
      <c r="I502" s="119"/>
      <c r="J502" s="119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237"/>
    </row>
    <row r="503">
      <c r="F503" s="119"/>
      <c r="G503" s="119"/>
      <c r="H503" s="120"/>
      <c r="I503" s="119"/>
      <c r="J503" s="119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237"/>
    </row>
    <row r="504">
      <c r="F504" s="119"/>
      <c r="G504" s="119"/>
      <c r="H504" s="120"/>
      <c r="I504" s="119"/>
      <c r="J504" s="119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237"/>
    </row>
    <row r="505">
      <c r="F505" s="119"/>
      <c r="G505" s="119"/>
      <c r="H505" s="120"/>
      <c r="I505" s="119"/>
      <c r="J505" s="119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237"/>
    </row>
    <row r="506">
      <c r="F506" s="119"/>
      <c r="G506" s="119"/>
      <c r="H506" s="120"/>
      <c r="I506" s="119"/>
      <c r="J506" s="119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237"/>
    </row>
    <row r="507">
      <c r="F507" s="119"/>
      <c r="G507" s="119"/>
      <c r="H507" s="120"/>
      <c r="I507" s="119"/>
      <c r="J507" s="119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237"/>
    </row>
    <row r="508">
      <c r="F508" s="119"/>
      <c r="G508" s="119"/>
      <c r="H508" s="120"/>
      <c r="I508" s="119"/>
      <c r="J508" s="119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237"/>
    </row>
    <row r="509">
      <c r="F509" s="119"/>
      <c r="G509" s="119"/>
      <c r="H509" s="120"/>
      <c r="I509" s="119"/>
      <c r="J509" s="119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237"/>
    </row>
    <row r="510">
      <c r="F510" s="119"/>
      <c r="G510" s="119"/>
      <c r="H510" s="120"/>
      <c r="I510" s="119"/>
      <c r="J510" s="119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237"/>
    </row>
    <row r="511">
      <c r="F511" s="119"/>
      <c r="G511" s="119"/>
      <c r="H511" s="120"/>
      <c r="I511" s="119"/>
      <c r="J511" s="119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237"/>
    </row>
    <row r="512">
      <c r="F512" s="119"/>
      <c r="G512" s="119"/>
      <c r="H512" s="120"/>
      <c r="I512" s="119"/>
      <c r="J512" s="119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237"/>
    </row>
    <row r="513">
      <c r="F513" s="119"/>
      <c r="G513" s="119"/>
      <c r="H513" s="120"/>
      <c r="I513" s="119"/>
      <c r="J513" s="119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237"/>
    </row>
    <row r="514">
      <c r="F514" s="119"/>
      <c r="G514" s="119"/>
      <c r="H514" s="120"/>
      <c r="I514" s="119"/>
      <c r="J514" s="119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237"/>
    </row>
    <row r="515">
      <c r="F515" s="119"/>
      <c r="G515" s="119"/>
      <c r="H515" s="120"/>
      <c r="I515" s="119"/>
      <c r="J515" s="119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237"/>
    </row>
    <row r="516">
      <c r="F516" s="119"/>
      <c r="G516" s="119"/>
      <c r="H516" s="120"/>
      <c r="I516" s="119"/>
      <c r="J516" s="119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237"/>
    </row>
    <row r="517">
      <c r="F517" s="119"/>
      <c r="G517" s="119"/>
      <c r="H517" s="120"/>
      <c r="I517" s="119"/>
      <c r="J517" s="119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237"/>
    </row>
    <row r="518">
      <c r="F518" s="119"/>
      <c r="G518" s="119"/>
      <c r="H518" s="120"/>
      <c r="I518" s="119"/>
      <c r="J518" s="119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237"/>
    </row>
    <row r="519">
      <c r="F519" s="119"/>
      <c r="G519" s="119"/>
      <c r="H519" s="120"/>
      <c r="I519" s="119"/>
      <c r="J519" s="119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237"/>
    </row>
    <row r="520">
      <c r="F520" s="119"/>
      <c r="G520" s="119"/>
      <c r="H520" s="120"/>
      <c r="I520" s="119"/>
      <c r="J520" s="119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237"/>
    </row>
    <row r="521">
      <c r="F521" s="119"/>
      <c r="G521" s="119"/>
      <c r="H521" s="120"/>
      <c r="I521" s="119"/>
      <c r="J521" s="119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237"/>
    </row>
    <row r="522">
      <c r="F522" s="119"/>
      <c r="G522" s="119"/>
      <c r="H522" s="120"/>
      <c r="I522" s="119"/>
      <c r="J522" s="119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237"/>
    </row>
    <row r="523">
      <c r="F523" s="119"/>
      <c r="G523" s="119"/>
      <c r="H523" s="120"/>
      <c r="I523" s="119"/>
      <c r="J523" s="119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237"/>
    </row>
    <row r="524">
      <c r="F524" s="119"/>
      <c r="G524" s="119"/>
      <c r="H524" s="120"/>
      <c r="I524" s="119"/>
      <c r="J524" s="119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237"/>
    </row>
    <row r="525">
      <c r="F525" s="119"/>
      <c r="G525" s="119"/>
      <c r="H525" s="120"/>
      <c r="I525" s="119"/>
      <c r="J525" s="119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237"/>
    </row>
    <row r="526">
      <c r="F526" s="119"/>
      <c r="G526" s="119"/>
      <c r="H526" s="120"/>
      <c r="I526" s="119"/>
      <c r="J526" s="119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237"/>
    </row>
    <row r="527">
      <c r="F527" s="119"/>
      <c r="G527" s="119"/>
      <c r="H527" s="120"/>
      <c r="I527" s="119"/>
      <c r="J527" s="119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237"/>
    </row>
    <row r="528">
      <c r="F528" s="119"/>
      <c r="G528" s="119"/>
      <c r="H528" s="120"/>
      <c r="I528" s="119"/>
      <c r="J528" s="119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237"/>
    </row>
    <row r="529">
      <c r="F529" s="119"/>
      <c r="G529" s="119"/>
      <c r="H529" s="120"/>
      <c r="I529" s="119"/>
      <c r="J529" s="119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237"/>
    </row>
    <row r="530">
      <c r="F530" s="119"/>
      <c r="G530" s="119"/>
      <c r="H530" s="120"/>
      <c r="I530" s="119"/>
      <c r="J530" s="119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237"/>
    </row>
    <row r="531">
      <c r="F531" s="119"/>
      <c r="G531" s="119"/>
      <c r="H531" s="120"/>
      <c r="I531" s="119"/>
      <c r="J531" s="119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237"/>
    </row>
    <row r="532">
      <c r="F532" s="119"/>
      <c r="G532" s="119"/>
      <c r="H532" s="120"/>
      <c r="I532" s="119"/>
      <c r="J532" s="119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237"/>
    </row>
    <row r="533">
      <c r="F533" s="119"/>
      <c r="G533" s="119"/>
      <c r="H533" s="120"/>
      <c r="I533" s="119"/>
      <c r="J533" s="119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237"/>
    </row>
    <row r="534">
      <c r="F534" s="119"/>
      <c r="G534" s="119"/>
      <c r="H534" s="120"/>
      <c r="I534" s="119"/>
      <c r="J534" s="119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237"/>
    </row>
    <row r="535">
      <c r="F535" s="119"/>
      <c r="G535" s="119"/>
      <c r="H535" s="120"/>
      <c r="I535" s="119"/>
      <c r="J535" s="119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237"/>
    </row>
    <row r="536">
      <c r="F536" s="119"/>
      <c r="G536" s="119"/>
      <c r="H536" s="120"/>
      <c r="I536" s="119"/>
      <c r="J536" s="119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237"/>
    </row>
    <row r="537">
      <c r="F537" s="119"/>
      <c r="G537" s="119"/>
      <c r="H537" s="120"/>
      <c r="I537" s="119"/>
      <c r="J537" s="119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237"/>
    </row>
    <row r="538">
      <c r="F538" s="119"/>
      <c r="G538" s="119"/>
      <c r="H538" s="120"/>
      <c r="I538" s="119"/>
      <c r="J538" s="119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237"/>
    </row>
    <row r="539">
      <c r="F539" s="119"/>
      <c r="G539" s="119"/>
      <c r="H539" s="120"/>
      <c r="I539" s="119"/>
      <c r="J539" s="119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237"/>
    </row>
    <row r="540">
      <c r="F540" s="119"/>
      <c r="G540" s="119"/>
      <c r="H540" s="120"/>
      <c r="I540" s="119"/>
      <c r="J540" s="119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237"/>
    </row>
    <row r="541">
      <c r="F541" s="119"/>
      <c r="G541" s="119"/>
      <c r="H541" s="120"/>
      <c r="I541" s="119"/>
      <c r="J541" s="119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237"/>
    </row>
    <row r="542">
      <c r="F542" s="119"/>
      <c r="G542" s="119"/>
      <c r="H542" s="120"/>
      <c r="I542" s="119"/>
      <c r="J542" s="119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237"/>
    </row>
    <row r="543">
      <c r="F543" s="119"/>
      <c r="G543" s="119"/>
      <c r="H543" s="120"/>
      <c r="I543" s="119"/>
      <c r="J543" s="119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237"/>
    </row>
    <row r="544">
      <c r="F544" s="119"/>
      <c r="G544" s="119"/>
      <c r="H544" s="120"/>
      <c r="I544" s="119"/>
      <c r="J544" s="119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237"/>
    </row>
    <row r="545">
      <c r="F545" s="119"/>
      <c r="G545" s="119"/>
      <c r="H545" s="120"/>
      <c r="I545" s="119"/>
      <c r="J545" s="119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237"/>
    </row>
    <row r="546">
      <c r="F546" s="119"/>
      <c r="G546" s="119"/>
      <c r="H546" s="120"/>
      <c r="I546" s="119"/>
      <c r="J546" s="119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237"/>
    </row>
    <row r="547">
      <c r="F547" s="119"/>
      <c r="G547" s="119"/>
      <c r="H547" s="120"/>
      <c r="I547" s="119"/>
      <c r="J547" s="119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237"/>
    </row>
    <row r="548">
      <c r="F548" s="119"/>
      <c r="G548" s="119"/>
      <c r="H548" s="120"/>
      <c r="I548" s="119"/>
      <c r="J548" s="119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237"/>
    </row>
    <row r="549">
      <c r="F549" s="119"/>
      <c r="G549" s="119"/>
      <c r="H549" s="120"/>
      <c r="I549" s="119"/>
      <c r="J549" s="119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237"/>
    </row>
    <row r="550">
      <c r="F550" s="119"/>
      <c r="G550" s="119"/>
      <c r="H550" s="120"/>
      <c r="I550" s="119"/>
      <c r="J550" s="119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237"/>
    </row>
    <row r="551">
      <c r="F551" s="119"/>
      <c r="G551" s="119"/>
      <c r="H551" s="120"/>
      <c r="I551" s="119"/>
      <c r="J551" s="119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237"/>
    </row>
    <row r="552">
      <c r="F552" s="119"/>
      <c r="G552" s="119"/>
      <c r="H552" s="120"/>
      <c r="I552" s="119"/>
      <c r="J552" s="119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237"/>
    </row>
    <row r="553">
      <c r="F553" s="119"/>
      <c r="G553" s="119"/>
      <c r="H553" s="120"/>
      <c r="I553" s="119"/>
      <c r="J553" s="119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237"/>
    </row>
    <row r="554">
      <c r="F554" s="119"/>
      <c r="G554" s="119"/>
      <c r="H554" s="120"/>
      <c r="I554" s="119"/>
      <c r="J554" s="119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237"/>
    </row>
    <row r="555">
      <c r="F555" s="119"/>
      <c r="G555" s="119"/>
      <c r="H555" s="120"/>
      <c r="I555" s="119"/>
      <c r="J555" s="119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237"/>
    </row>
    <row r="556">
      <c r="F556" s="119"/>
      <c r="G556" s="119"/>
      <c r="H556" s="120"/>
      <c r="I556" s="119"/>
      <c r="J556" s="119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237"/>
    </row>
    <row r="557">
      <c r="F557" s="119"/>
      <c r="G557" s="119"/>
      <c r="H557" s="120"/>
      <c r="I557" s="119"/>
      <c r="J557" s="119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237"/>
    </row>
    <row r="558">
      <c r="F558" s="119"/>
      <c r="G558" s="119"/>
      <c r="H558" s="120"/>
      <c r="I558" s="119"/>
      <c r="J558" s="119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237"/>
    </row>
    <row r="559">
      <c r="F559" s="119"/>
      <c r="G559" s="119"/>
      <c r="H559" s="120"/>
      <c r="I559" s="119"/>
      <c r="J559" s="119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237"/>
    </row>
    <row r="560">
      <c r="F560" s="119"/>
      <c r="G560" s="119"/>
      <c r="H560" s="120"/>
      <c r="I560" s="119"/>
      <c r="J560" s="119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237"/>
    </row>
    <row r="561">
      <c r="F561" s="119"/>
      <c r="G561" s="119"/>
      <c r="H561" s="120"/>
      <c r="I561" s="119"/>
      <c r="J561" s="119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237"/>
    </row>
    <row r="562">
      <c r="F562" s="119"/>
      <c r="G562" s="119"/>
      <c r="H562" s="120"/>
      <c r="I562" s="119"/>
      <c r="J562" s="119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237"/>
    </row>
    <row r="563">
      <c r="F563" s="119"/>
      <c r="G563" s="119"/>
      <c r="H563" s="120"/>
      <c r="I563" s="119"/>
      <c r="J563" s="119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237"/>
    </row>
    <row r="564">
      <c r="F564" s="119"/>
      <c r="G564" s="119"/>
      <c r="H564" s="120"/>
      <c r="I564" s="119"/>
      <c r="J564" s="119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237"/>
    </row>
    <row r="565">
      <c r="F565" s="119"/>
      <c r="G565" s="119"/>
      <c r="H565" s="120"/>
      <c r="I565" s="119"/>
      <c r="J565" s="119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237"/>
    </row>
    <row r="566">
      <c r="F566" s="119"/>
      <c r="G566" s="119"/>
      <c r="H566" s="120"/>
      <c r="I566" s="119"/>
      <c r="J566" s="119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237"/>
    </row>
    <row r="567">
      <c r="F567" s="119"/>
      <c r="G567" s="119"/>
      <c r="H567" s="120"/>
      <c r="I567" s="119"/>
      <c r="J567" s="119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237"/>
    </row>
    <row r="568">
      <c r="F568" s="119"/>
      <c r="G568" s="119"/>
      <c r="H568" s="120"/>
      <c r="I568" s="119"/>
      <c r="J568" s="119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237"/>
    </row>
    <row r="569">
      <c r="F569" s="119"/>
      <c r="G569" s="119"/>
      <c r="H569" s="120"/>
      <c r="I569" s="119"/>
      <c r="J569" s="119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237"/>
    </row>
    <row r="570">
      <c r="F570" s="119"/>
      <c r="G570" s="119"/>
      <c r="H570" s="120"/>
      <c r="I570" s="119"/>
      <c r="J570" s="119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237"/>
    </row>
    <row r="571">
      <c r="F571" s="119"/>
      <c r="G571" s="119"/>
      <c r="H571" s="120"/>
      <c r="I571" s="119"/>
      <c r="J571" s="119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237"/>
    </row>
    <row r="572">
      <c r="F572" s="119"/>
      <c r="G572" s="119"/>
      <c r="H572" s="120"/>
      <c r="I572" s="119"/>
      <c r="J572" s="119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237"/>
    </row>
    <row r="573">
      <c r="F573" s="119"/>
      <c r="G573" s="119"/>
      <c r="H573" s="120"/>
      <c r="I573" s="119"/>
      <c r="J573" s="119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237"/>
    </row>
    <row r="574">
      <c r="F574" s="119"/>
      <c r="G574" s="119"/>
      <c r="H574" s="120"/>
      <c r="I574" s="119"/>
      <c r="J574" s="119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237"/>
    </row>
    <row r="575">
      <c r="F575" s="119"/>
      <c r="G575" s="119"/>
      <c r="H575" s="120"/>
      <c r="I575" s="119"/>
      <c r="J575" s="119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237"/>
    </row>
    <row r="576">
      <c r="F576" s="119"/>
      <c r="G576" s="119"/>
      <c r="H576" s="120"/>
      <c r="I576" s="119"/>
      <c r="J576" s="119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237"/>
    </row>
    <row r="577">
      <c r="F577" s="119"/>
      <c r="G577" s="119"/>
      <c r="H577" s="120"/>
      <c r="I577" s="119"/>
      <c r="J577" s="119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237"/>
    </row>
    <row r="578">
      <c r="F578" s="119"/>
      <c r="G578" s="119"/>
      <c r="H578" s="120"/>
      <c r="I578" s="119"/>
      <c r="J578" s="119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237"/>
    </row>
    <row r="579">
      <c r="F579" s="119"/>
      <c r="G579" s="119"/>
      <c r="H579" s="120"/>
      <c r="I579" s="119"/>
      <c r="J579" s="119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237"/>
    </row>
    <row r="580">
      <c r="F580" s="119"/>
      <c r="G580" s="119"/>
      <c r="H580" s="120"/>
      <c r="I580" s="119"/>
      <c r="J580" s="119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237"/>
    </row>
    <row r="581">
      <c r="F581" s="119"/>
      <c r="G581" s="119"/>
      <c r="H581" s="120"/>
      <c r="I581" s="119"/>
      <c r="J581" s="119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237"/>
    </row>
    <row r="582">
      <c r="F582" s="119"/>
      <c r="G582" s="119"/>
      <c r="H582" s="120"/>
      <c r="I582" s="119"/>
      <c r="J582" s="119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237"/>
    </row>
    <row r="583">
      <c r="F583" s="119"/>
      <c r="G583" s="119"/>
      <c r="H583" s="120"/>
      <c r="I583" s="119"/>
      <c r="J583" s="119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237"/>
    </row>
    <row r="584">
      <c r="F584" s="119"/>
      <c r="G584" s="119"/>
      <c r="H584" s="120"/>
      <c r="I584" s="119"/>
      <c r="J584" s="119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237"/>
    </row>
    <row r="585">
      <c r="F585" s="119"/>
      <c r="G585" s="119"/>
      <c r="H585" s="120"/>
      <c r="I585" s="119"/>
      <c r="J585" s="119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237"/>
    </row>
    <row r="586">
      <c r="F586" s="119"/>
      <c r="G586" s="119"/>
      <c r="H586" s="120"/>
      <c r="I586" s="119"/>
      <c r="J586" s="119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237"/>
    </row>
    <row r="587">
      <c r="F587" s="119"/>
      <c r="G587" s="119"/>
      <c r="H587" s="120"/>
      <c r="I587" s="119"/>
      <c r="J587" s="119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237"/>
    </row>
    <row r="588">
      <c r="F588" s="119"/>
      <c r="G588" s="119"/>
      <c r="H588" s="120"/>
      <c r="I588" s="119"/>
      <c r="J588" s="119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237"/>
    </row>
    <row r="589">
      <c r="F589" s="119"/>
      <c r="G589" s="119"/>
      <c r="H589" s="120"/>
      <c r="I589" s="119"/>
      <c r="J589" s="119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237"/>
    </row>
    <row r="590">
      <c r="F590" s="119"/>
      <c r="G590" s="119"/>
      <c r="H590" s="120"/>
      <c r="I590" s="119"/>
      <c r="J590" s="119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237"/>
    </row>
    <row r="591">
      <c r="F591" s="119"/>
      <c r="G591" s="119"/>
      <c r="H591" s="120"/>
      <c r="I591" s="119"/>
      <c r="J591" s="119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237"/>
    </row>
    <row r="592">
      <c r="F592" s="119"/>
      <c r="G592" s="119"/>
      <c r="H592" s="120"/>
      <c r="I592" s="119"/>
      <c r="J592" s="119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237"/>
    </row>
    <row r="593">
      <c r="F593" s="119"/>
      <c r="G593" s="119"/>
      <c r="H593" s="120"/>
      <c r="I593" s="119"/>
      <c r="J593" s="119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237"/>
    </row>
    <row r="594">
      <c r="F594" s="119"/>
      <c r="G594" s="119"/>
      <c r="H594" s="120"/>
      <c r="I594" s="119"/>
      <c r="J594" s="119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237"/>
    </row>
    <row r="595">
      <c r="F595" s="119"/>
      <c r="G595" s="119"/>
      <c r="H595" s="120"/>
      <c r="I595" s="119"/>
      <c r="J595" s="119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237"/>
    </row>
    <row r="596">
      <c r="F596" s="119"/>
      <c r="G596" s="119"/>
      <c r="H596" s="120"/>
      <c r="I596" s="119"/>
      <c r="J596" s="119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237"/>
    </row>
    <row r="597">
      <c r="F597" s="119"/>
      <c r="G597" s="119"/>
      <c r="H597" s="120"/>
      <c r="I597" s="119"/>
      <c r="J597" s="119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237"/>
    </row>
    <row r="598">
      <c r="F598" s="119"/>
      <c r="G598" s="119"/>
      <c r="H598" s="120"/>
      <c r="I598" s="119"/>
      <c r="J598" s="119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237"/>
    </row>
    <row r="599">
      <c r="F599" s="119"/>
      <c r="G599" s="119"/>
      <c r="H599" s="120"/>
      <c r="I599" s="119"/>
      <c r="J599" s="119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237"/>
    </row>
    <row r="600">
      <c r="F600" s="119"/>
      <c r="G600" s="119"/>
      <c r="H600" s="120"/>
      <c r="I600" s="119"/>
      <c r="J600" s="119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237"/>
    </row>
    <row r="601">
      <c r="F601" s="119"/>
      <c r="G601" s="119"/>
      <c r="H601" s="120"/>
      <c r="I601" s="119"/>
      <c r="J601" s="119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237"/>
    </row>
    <row r="602">
      <c r="F602" s="119"/>
      <c r="G602" s="119"/>
      <c r="H602" s="120"/>
      <c r="I602" s="119"/>
      <c r="J602" s="119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237"/>
    </row>
    <row r="603">
      <c r="F603" s="119"/>
      <c r="G603" s="119"/>
      <c r="H603" s="120"/>
      <c r="I603" s="119"/>
      <c r="J603" s="119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237"/>
    </row>
    <row r="604">
      <c r="F604" s="119"/>
      <c r="G604" s="119"/>
      <c r="H604" s="120"/>
      <c r="I604" s="119"/>
      <c r="J604" s="119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237"/>
    </row>
    <row r="605">
      <c r="F605" s="119"/>
      <c r="G605" s="119"/>
      <c r="H605" s="120"/>
      <c r="I605" s="119"/>
      <c r="J605" s="119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237"/>
    </row>
    <row r="606">
      <c r="F606" s="119"/>
      <c r="G606" s="119"/>
      <c r="H606" s="120"/>
      <c r="I606" s="119"/>
      <c r="J606" s="119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237"/>
    </row>
    <row r="607">
      <c r="F607" s="119"/>
      <c r="G607" s="119"/>
      <c r="H607" s="120"/>
      <c r="I607" s="119"/>
      <c r="J607" s="119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237"/>
    </row>
    <row r="608">
      <c r="F608" s="119"/>
      <c r="G608" s="119"/>
      <c r="H608" s="120"/>
      <c r="I608" s="119"/>
      <c r="J608" s="119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237"/>
    </row>
    <row r="609">
      <c r="F609" s="119"/>
      <c r="G609" s="119"/>
      <c r="H609" s="120"/>
      <c r="I609" s="119"/>
      <c r="J609" s="119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237"/>
    </row>
    <row r="610">
      <c r="F610" s="119"/>
      <c r="G610" s="119"/>
      <c r="H610" s="120"/>
      <c r="I610" s="119"/>
      <c r="J610" s="119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237"/>
    </row>
    <row r="611">
      <c r="F611" s="119"/>
      <c r="G611" s="119"/>
      <c r="H611" s="120"/>
      <c r="I611" s="119"/>
      <c r="J611" s="119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237"/>
    </row>
    <row r="612">
      <c r="F612" s="119"/>
      <c r="G612" s="119"/>
      <c r="H612" s="120"/>
      <c r="I612" s="119"/>
      <c r="J612" s="119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237"/>
    </row>
    <row r="613">
      <c r="F613" s="119"/>
      <c r="G613" s="119"/>
      <c r="H613" s="120"/>
      <c r="I613" s="119"/>
      <c r="J613" s="119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237"/>
    </row>
    <row r="614">
      <c r="F614" s="119"/>
      <c r="G614" s="119"/>
      <c r="H614" s="120"/>
      <c r="I614" s="119"/>
      <c r="J614" s="119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237"/>
    </row>
    <row r="615">
      <c r="F615" s="119"/>
      <c r="G615" s="119"/>
      <c r="H615" s="120"/>
      <c r="I615" s="119"/>
      <c r="J615" s="119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237"/>
    </row>
    <row r="616">
      <c r="F616" s="119"/>
      <c r="G616" s="119"/>
      <c r="H616" s="120"/>
      <c r="I616" s="119"/>
      <c r="J616" s="119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237"/>
    </row>
    <row r="617">
      <c r="F617" s="119"/>
      <c r="G617" s="119"/>
      <c r="H617" s="120"/>
      <c r="I617" s="119"/>
      <c r="J617" s="119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237"/>
    </row>
    <row r="618">
      <c r="F618" s="119"/>
      <c r="G618" s="119"/>
      <c r="H618" s="120"/>
      <c r="I618" s="119"/>
      <c r="J618" s="119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237"/>
    </row>
    <row r="619">
      <c r="F619" s="119"/>
      <c r="G619" s="119"/>
      <c r="H619" s="120"/>
      <c r="I619" s="119"/>
      <c r="J619" s="119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237"/>
    </row>
    <row r="620">
      <c r="F620" s="119"/>
      <c r="G620" s="119"/>
      <c r="H620" s="120"/>
      <c r="I620" s="119"/>
      <c r="J620" s="119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237"/>
    </row>
    <row r="621">
      <c r="F621" s="119"/>
      <c r="G621" s="119"/>
      <c r="H621" s="120"/>
      <c r="I621" s="119"/>
      <c r="J621" s="119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237"/>
    </row>
    <row r="622">
      <c r="F622" s="119"/>
      <c r="G622" s="119"/>
      <c r="H622" s="120"/>
      <c r="I622" s="119"/>
      <c r="J622" s="119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237"/>
    </row>
    <row r="623">
      <c r="F623" s="119"/>
      <c r="G623" s="119"/>
      <c r="H623" s="120"/>
      <c r="I623" s="119"/>
      <c r="J623" s="119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237"/>
    </row>
    <row r="624">
      <c r="F624" s="119"/>
      <c r="G624" s="119"/>
      <c r="H624" s="120"/>
      <c r="I624" s="119"/>
      <c r="J624" s="119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237"/>
    </row>
    <row r="625">
      <c r="F625" s="119"/>
      <c r="G625" s="119"/>
      <c r="H625" s="120"/>
      <c r="I625" s="119"/>
      <c r="J625" s="119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237"/>
    </row>
    <row r="626">
      <c r="F626" s="119"/>
      <c r="G626" s="119"/>
      <c r="H626" s="120"/>
      <c r="I626" s="119"/>
      <c r="J626" s="119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237"/>
    </row>
    <row r="627">
      <c r="F627" s="119"/>
      <c r="G627" s="119"/>
      <c r="H627" s="120"/>
      <c r="I627" s="119"/>
      <c r="J627" s="119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237"/>
    </row>
    <row r="628">
      <c r="F628" s="119"/>
      <c r="G628" s="119"/>
      <c r="H628" s="120"/>
      <c r="I628" s="119"/>
      <c r="J628" s="119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237"/>
    </row>
    <row r="629">
      <c r="F629" s="119"/>
      <c r="G629" s="119"/>
      <c r="H629" s="120"/>
      <c r="I629" s="119"/>
      <c r="J629" s="119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237"/>
    </row>
    <row r="630">
      <c r="F630" s="119"/>
      <c r="G630" s="119"/>
      <c r="H630" s="120"/>
      <c r="I630" s="119"/>
      <c r="J630" s="119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237"/>
    </row>
    <row r="631">
      <c r="F631" s="119"/>
      <c r="G631" s="119"/>
      <c r="H631" s="120"/>
      <c r="I631" s="119"/>
      <c r="J631" s="119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237"/>
    </row>
    <row r="632">
      <c r="F632" s="119"/>
      <c r="G632" s="119"/>
      <c r="H632" s="120"/>
      <c r="I632" s="119"/>
      <c r="J632" s="119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237"/>
    </row>
    <row r="633">
      <c r="F633" s="119"/>
      <c r="G633" s="119"/>
      <c r="H633" s="120"/>
      <c r="I633" s="119"/>
      <c r="J633" s="119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237"/>
    </row>
    <row r="634">
      <c r="F634" s="119"/>
      <c r="G634" s="119"/>
      <c r="H634" s="120"/>
      <c r="I634" s="119"/>
      <c r="J634" s="119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237"/>
    </row>
    <row r="635">
      <c r="F635" s="119"/>
      <c r="G635" s="119"/>
      <c r="H635" s="120"/>
      <c r="I635" s="119"/>
      <c r="J635" s="119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237"/>
    </row>
    <row r="636">
      <c r="F636" s="119"/>
      <c r="G636" s="119"/>
      <c r="H636" s="120"/>
      <c r="I636" s="119"/>
      <c r="J636" s="119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237"/>
    </row>
    <row r="637">
      <c r="F637" s="119"/>
      <c r="G637" s="119"/>
      <c r="H637" s="120"/>
      <c r="I637" s="119"/>
      <c r="J637" s="119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237"/>
    </row>
    <row r="638">
      <c r="F638" s="119"/>
      <c r="G638" s="119"/>
      <c r="H638" s="120"/>
      <c r="I638" s="119"/>
      <c r="J638" s="119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237"/>
    </row>
    <row r="639">
      <c r="F639" s="119"/>
      <c r="G639" s="119"/>
      <c r="H639" s="120"/>
      <c r="I639" s="119"/>
      <c r="J639" s="119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237"/>
    </row>
    <row r="640">
      <c r="F640" s="119"/>
      <c r="G640" s="119"/>
      <c r="H640" s="120"/>
      <c r="I640" s="119"/>
      <c r="J640" s="119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237"/>
    </row>
    <row r="641">
      <c r="F641" s="119"/>
      <c r="G641" s="119"/>
      <c r="H641" s="120"/>
      <c r="I641" s="119"/>
      <c r="J641" s="119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237"/>
    </row>
    <row r="642">
      <c r="F642" s="119"/>
      <c r="G642" s="119"/>
      <c r="H642" s="120"/>
      <c r="I642" s="119"/>
      <c r="J642" s="119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237"/>
    </row>
    <row r="643">
      <c r="F643" s="119"/>
      <c r="G643" s="119"/>
      <c r="H643" s="120"/>
      <c r="I643" s="119"/>
      <c r="J643" s="119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237"/>
    </row>
    <row r="644">
      <c r="F644" s="119"/>
      <c r="G644" s="119"/>
      <c r="H644" s="120"/>
      <c r="I644" s="119"/>
      <c r="J644" s="119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237"/>
    </row>
    <row r="645">
      <c r="F645" s="119"/>
      <c r="G645" s="119"/>
      <c r="H645" s="120"/>
      <c r="I645" s="119"/>
      <c r="J645" s="119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237"/>
    </row>
    <row r="646">
      <c r="F646" s="119"/>
      <c r="G646" s="119"/>
      <c r="H646" s="120"/>
      <c r="I646" s="119"/>
      <c r="J646" s="119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237"/>
    </row>
    <row r="647">
      <c r="F647" s="119"/>
      <c r="G647" s="119"/>
      <c r="H647" s="120"/>
      <c r="I647" s="119"/>
      <c r="J647" s="119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237"/>
    </row>
    <row r="648">
      <c r="F648" s="119"/>
      <c r="G648" s="119"/>
      <c r="H648" s="120"/>
      <c r="I648" s="119"/>
      <c r="J648" s="119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237"/>
    </row>
    <row r="649">
      <c r="F649" s="119"/>
      <c r="G649" s="119"/>
      <c r="H649" s="120"/>
      <c r="I649" s="119"/>
      <c r="J649" s="119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237"/>
    </row>
    <row r="650">
      <c r="F650" s="119"/>
      <c r="G650" s="119"/>
      <c r="H650" s="120"/>
      <c r="I650" s="119"/>
      <c r="J650" s="119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237"/>
    </row>
    <row r="651">
      <c r="F651" s="119"/>
      <c r="G651" s="119"/>
      <c r="H651" s="120"/>
      <c r="I651" s="119"/>
      <c r="J651" s="119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237"/>
    </row>
    <row r="652">
      <c r="F652" s="119"/>
      <c r="G652" s="119"/>
      <c r="H652" s="120"/>
      <c r="I652" s="119"/>
      <c r="J652" s="119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237"/>
    </row>
    <row r="653">
      <c r="F653" s="119"/>
      <c r="G653" s="119"/>
      <c r="H653" s="120"/>
      <c r="I653" s="119"/>
      <c r="J653" s="119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237"/>
    </row>
    <row r="654">
      <c r="F654" s="119"/>
      <c r="G654" s="119"/>
      <c r="H654" s="120"/>
      <c r="I654" s="119"/>
      <c r="J654" s="119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237"/>
    </row>
    <row r="655">
      <c r="F655" s="119"/>
      <c r="G655" s="119"/>
      <c r="H655" s="120"/>
      <c r="I655" s="119"/>
      <c r="J655" s="119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237"/>
    </row>
    <row r="656">
      <c r="F656" s="119"/>
      <c r="G656" s="119"/>
      <c r="H656" s="120"/>
      <c r="I656" s="119"/>
      <c r="J656" s="119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237"/>
    </row>
    <row r="657">
      <c r="F657" s="119"/>
      <c r="G657" s="119"/>
      <c r="H657" s="120"/>
      <c r="I657" s="119"/>
      <c r="J657" s="119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237"/>
    </row>
    <row r="658">
      <c r="F658" s="119"/>
      <c r="G658" s="119"/>
      <c r="H658" s="120"/>
      <c r="I658" s="119"/>
      <c r="J658" s="119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237"/>
    </row>
    <row r="659">
      <c r="F659" s="119"/>
      <c r="G659" s="119"/>
      <c r="H659" s="120"/>
      <c r="I659" s="119"/>
      <c r="J659" s="119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237"/>
    </row>
    <row r="660">
      <c r="F660" s="119"/>
      <c r="G660" s="119"/>
      <c r="H660" s="120"/>
      <c r="I660" s="119"/>
      <c r="J660" s="119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237"/>
    </row>
    <row r="661">
      <c r="F661" s="119"/>
      <c r="G661" s="119"/>
      <c r="H661" s="120"/>
      <c r="I661" s="119"/>
      <c r="J661" s="119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237"/>
    </row>
    <row r="662">
      <c r="F662" s="119"/>
      <c r="G662" s="119"/>
      <c r="H662" s="120"/>
      <c r="I662" s="119"/>
      <c r="J662" s="119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237"/>
    </row>
    <row r="663">
      <c r="F663" s="119"/>
      <c r="G663" s="119"/>
      <c r="H663" s="120"/>
      <c r="I663" s="119"/>
      <c r="J663" s="119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237"/>
    </row>
    <row r="664">
      <c r="F664" s="119"/>
      <c r="G664" s="119"/>
      <c r="H664" s="120"/>
      <c r="I664" s="119"/>
      <c r="J664" s="119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237"/>
    </row>
    <row r="665">
      <c r="F665" s="119"/>
      <c r="G665" s="119"/>
      <c r="H665" s="120"/>
      <c r="I665" s="119"/>
      <c r="J665" s="119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237"/>
    </row>
    <row r="666">
      <c r="F666" s="119"/>
      <c r="G666" s="119"/>
      <c r="H666" s="120"/>
      <c r="I666" s="119"/>
      <c r="J666" s="119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237"/>
    </row>
    <row r="667">
      <c r="F667" s="119"/>
      <c r="G667" s="119"/>
      <c r="H667" s="120"/>
      <c r="I667" s="119"/>
      <c r="J667" s="119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237"/>
    </row>
    <row r="668">
      <c r="F668" s="119"/>
      <c r="G668" s="119"/>
      <c r="H668" s="120"/>
      <c r="I668" s="119"/>
      <c r="J668" s="119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237"/>
    </row>
    <row r="669">
      <c r="F669" s="119"/>
      <c r="G669" s="119"/>
      <c r="H669" s="120"/>
      <c r="I669" s="119"/>
      <c r="J669" s="119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237"/>
    </row>
    <row r="670">
      <c r="F670" s="119"/>
      <c r="G670" s="119"/>
      <c r="H670" s="120"/>
      <c r="I670" s="119"/>
      <c r="J670" s="119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237"/>
    </row>
    <row r="671">
      <c r="F671" s="119"/>
      <c r="G671" s="119"/>
      <c r="H671" s="120"/>
      <c r="I671" s="119"/>
      <c r="J671" s="119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237"/>
    </row>
    <row r="672">
      <c r="F672" s="119"/>
      <c r="G672" s="119"/>
      <c r="H672" s="120"/>
      <c r="I672" s="119"/>
      <c r="J672" s="119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237"/>
    </row>
    <row r="673">
      <c r="F673" s="119"/>
      <c r="G673" s="119"/>
      <c r="H673" s="120"/>
      <c r="I673" s="119"/>
      <c r="J673" s="119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237"/>
    </row>
    <row r="674">
      <c r="F674" s="119"/>
      <c r="G674" s="119"/>
      <c r="H674" s="120"/>
      <c r="I674" s="119"/>
      <c r="J674" s="119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237"/>
    </row>
    <row r="675">
      <c r="F675" s="119"/>
      <c r="G675" s="119"/>
      <c r="H675" s="120"/>
      <c r="I675" s="119"/>
      <c r="J675" s="119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237"/>
    </row>
    <row r="676">
      <c r="F676" s="119"/>
      <c r="G676" s="119"/>
      <c r="H676" s="120"/>
      <c r="I676" s="119"/>
      <c r="J676" s="119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237"/>
    </row>
    <row r="677">
      <c r="F677" s="119"/>
      <c r="G677" s="119"/>
      <c r="H677" s="120"/>
      <c r="I677" s="119"/>
      <c r="J677" s="119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237"/>
    </row>
    <row r="678">
      <c r="F678" s="119"/>
      <c r="G678" s="119"/>
      <c r="H678" s="120"/>
      <c r="I678" s="119"/>
      <c r="J678" s="119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237"/>
    </row>
    <row r="679">
      <c r="F679" s="119"/>
      <c r="G679" s="119"/>
      <c r="H679" s="120"/>
      <c r="I679" s="119"/>
      <c r="J679" s="119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237"/>
    </row>
    <row r="680">
      <c r="F680" s="119"/>
      <c r="G680" s="119"/>
      <c r="H680" s="120"/>
      <c r="I680" s="119"/>
      <c r="J680" s="119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237"/>
    </row>
    <row r="681">
      <c r="F681" s="119"/>
      <c r="G681" s="119"/>
      <c r="H681" s="120"/>
      <c r="I681" s="119"/>
      <c r="J681" s="119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237"/>
    </row>
    <row r="682">
      <c r="F682" s="119"/>
      <c r="G682" s="119"/>
      <c r="H682" s="120"/>
      <c r="I682" s="119"/>
      <c r="J682" s="119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237"/>
    </row>
    <row r="683">
      <c r="F683" s="119"/>
      <c r="G683" s="119"/>
      <c r="H683" s="120"/>
      <c r="I683" s="119"/>
      <c r="J683" s="119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237"/>
    </row>
    <row r="684">
      <c r="F684" s="119"/>
      <c r="G684" s="119"/>
      <c r="H684" s="120"/>
      <c r="I684" s="119"/>
      <c r="J684" s="119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237"/>
    </row>
    <row r="685">
      <c r="F685" s="119"/>
      <c r="G685" s="119"/>
      <c r="H685" s="120"/>
      <c r="I685" s="119"/>
      <c r="J685" s="119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237"/>
    </row>
    <row r="686">
      <c r="F686" s="119"/>
      <c r="G686" s="119"/>
      <c r="H686" s="120"/>
      <c r="I686" s="119"/>
      <c r="J686" s="119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237"/>
    </row>
    <row r="687">
      <c r="F687" s="119"/>
      <c r="G687" s="119"/>
      <c r="H687" s="120"/>
      <c r="I687" s="119"/>
      <c r="J687" s="119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237"/>
    </row>
    <row r="688">
      <c r="F688" s="119"/>
      <c r="G688" s="119"/>
      <c r="H688" s="120"/>
      <c r="I688" s="119"/>
      <c r="J688" s="119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237"/>
    </row>
    <row r="689">
      <c r="F689" s="119"/>
      <c r="G689" s="119"/>
      <c r="H689" s="120"/>
      <c r="I689" s="119"/>
      <c r="J689" s="119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237"/>
    </row>
    <row r="690">
      <c r="F690" s="119"/>
      <c r="G690" s="119"/>
      <c r="H690" s="120"/>
      <c r="I690" s="119"/>
      <c r="J690" s="119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237"/>
    </row>
    <row r="691">
      <c r="F691" s="119"/>
      <c r="G691" s="119"/>
      <c r="H691" s="120"/>
      <c r="I691" s="119"/>
      <c r="J691" s="119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237"/>
    </row>
    <row r="692">
      <c r="F692" s="119"/>
      <c r="G692" s="119"/>
      <c r="H692" s="120"/>
      <c r="I692" s="119"/>
      <c r="J692" s="119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237"/>
    </row>
    <row r="693">
      <c r="F693" s="119"/>
      <c r="G693" s="119"/>
      <c r="H693" s="120"/>
      <c r="I693" s="119"/>
      <c r="J693" s="119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237"/>
    </row>
    <row r="694">
      <c r="F694" s="119"/>
      <c r="G694" s="119"/>
      <c r="H694" s="120"/>
      <c r="I694" s="119"/>
      <c r="J694" s="119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237"/>
    </row>
    <row r="695">
      <c r="F695" s="119"/>
      <c r="G695" s="119"/>
      <c r="H695" s="120"/>
      <c r="I695" s="119"/>
      <c r="J695" s="119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237"/>
    </row>
    <row r="696">
      <c r="F696" s="119"/>
      <c r="G696" s="119"/>
      <c r="H696" s="120"/>
      <c r="I696" s="119"/>
      <c r="J696" s="119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237"/>
    </row>
    <row r="697">
      <c r="F697" s="119"/>
      <c r="G697" s="119"/>
      <c r="H697" s="120"/>
      <c r="I697" s="119"/>
      <c r="J697" s="119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237"/>
    </row>
    <row r="698">
      <c r="F698" s="119"/>
      <c r="G698" s="119"/>
      <c r="H698" s="120"/>
      <c r="I698" s="119"/>
      <c r="J698" s="119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237"/>
    </row>
    <row r="699">
      <c r="F699" s="119"/>
      <c r="G699" s="119"/>
      <c r="H699" s="120"/>
      <c r="I699" s="119"/>
      <c r="J699" s="119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237"/>
    </row>
    <row r="700">
      <c r="F700" s="119"/>
      <c r="G700" s="119"/>
      <c r="H700" s="120"/>
      <c r="I700" s="119"/>
      <c r="J700" s="119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237"/>
    </row>
    <row r="701">
      <c r="F701" s="119"/>
      <c r="G701" s="119"/>
      <c r="H701" s="120"/>
      <c r="I701" s="119"/>
      <c r="J701" s="119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237"/>
    </row>
    <row r="702">
      <c r="F702" s="119"/>
      <c r="G702" s="119"/>
      <c r="H702" s="120"/>
      <c r="I702" s="119"/>
      <c r="J702" s="119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237"/>
    </row>
    <row r="703">
      <c r="F703" s="119"/>
      <c r="G703" s="119"/>
      <c r="H703" s="120"/>
      <c r="I703" s="119"/>
      <c r="J703" s="119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237"/>
    </row>
    <row r="704">
      <c r="F704" s="119"/>
      <c r="G704" s="119"/>
      <c r="H704" s="120"/>
      <c r="I704" s="119"/>
      <c r="J704" s="119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237"/>
    </row>
    <row r="705">
      <c r="F705" s="119"/>
      <c r="G705" s="119"/>
      <c r="H705" s="120"/>
      <c r="I705" s="119"/>
      <c r="J705" s="119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237"/>
    </row>
    <row r="706">
      <c r="F706" s="119"/>
      <c r="G706" s="119"/>
      <c r="H706" s="120"/>
      <c r="I706" s="119"/>
      <c r="J706" s="119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237"/>
    </row>
    <row r="707">
      <c r="F707" s="119"/>
      <c r="G707" s="119"/>
      <c r="H707" s="120"/>
      <c r="I707" s="119"/>
      <c r="J707" s="119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237"/>
    </row>
    <row r="708">
      <c r="F708" s="119"/>
      <c r="G708" s="119"/>
      <c r="H708" s="120"/>
      <c r="I708" s="119"/>
      <c r="J708" s="119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237"/>
    </row>
    <row r="709">
      <c r="F709" s="119"/>
      <c r="G709" s="119"/>
      <c r="H709" s="120"/>
      <c r="I709" s="119"/>
      <c r="J709" s="119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237"/>
    </row>
    <row r="710">
      <c r="F710" s="119"/>
      <c r="G710" s="119"/>
      <c r="H710" s="120"/>
      <c r="I710" s="119"/>
      <c r="J710" s="119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237"/>
    </row>
    <row r="711">
      <c r="F711" s="119"/>
      <c r="G711" s="119"/>
      <c r="H711" s="120"/>
      <c r="I711" s="119"/>
      <c r="J711" s="119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237"/>
    </row>
    <row r="712">
      <c r="F712" s="119"/>
      <c r="G712" s="119"/>
      <c r="H712" s="120"/>
      <c r="I712" s="119"/>
      <c r="J712" s="119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237"/>
    </row>
    <row r="713">
      <c r="F713" s="119"/>
      <c r="G713" s="119"/>
      <c r="H713" s="120"/>
      <c r="I713" s="119"/>
      <c r="J713" s="119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237"/>
    </row>
    <row r="714">
      <c r="F714" s="119"/>
      <c r="G714" s="119"/>
      <c r="H714" s="120"/>
      <c r="I714" s="119"/>
      <c r="J714" s="119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237"/>
    </row>
    <row r="715">
      <c r="F715" s="119"/>
      <c r="G715" s="119"/>
      <c r="H715" s="120"/>
      <c r="I715" s="119"/>
      <c r="J715" s="119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237"/>
    </row>
    <row r="716">
      <c r="F716" s="119"/>
      <c r="G716" s="119"/>
      <c r="H716" s="120"/>
      <c r="I716" s="119"/>
      <c r="J716" s="119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237"/>
    </row>
    <row r="717">
      <c r="F717" s="119"/>
      <c r="G717" s="119"/>
      <c r="H717" s="120"/>
      <c r="I717" s="119"/>
      <c r="J717" s="119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237"/>
    </row>
    <row r="718">
      <c r="F718" s="119"/>
      <c r="G718" s="119"/>
      <c r="H718" s="120"/>
      <c r="I718" s="119"/>
      <c r="J718" s="119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237"/>
    </row>
    <row r="719">
      <c r="F719" s="119"/>
      <c r="G719" s="119"/>
      <c r="H719" s="120"/>
      <c r="I719" s="119"/>
      <c r="J719" s="119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237"/>
    </row>
    <row r="720">
      <c r="F720" s="119"/>
      <c r="G720" s="119"/>
      <c r="H720" s="120"/>
      <c r="I720" s="119"/>
      <c r="J720" s="119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237"/>
    </row>
    <row r="721">
      <c r="F721" s="119"/>
      <c r="G721" s="119"/>
      <c r="H721" s="120"/>
      <c r="I721" s="119"/>
      <c r="J721" s="119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237"/>
    </row>
    <row r="722">
      <c r="F722" s="119"/>
      <c r="G722" s="119"/>
      <c r="H722" s="120"/>
      <c r="I722" s="119"/>
      <c r="J722" s="119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237"/>
    </row>
    <row r="723">
      <c r="F723" s="119"/>
      <c r="G723" s="119"/>
      <c r="H723" s="120"/>
      <c r="I723" s="119"/>
      <c r="J723" s="119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237"/>
    </row>
    <row r="724">
      <c r="F724" s="119"/>
      <c r="G724" s="119"/>
      <c r="H724" s="120"/>
      <c r="I724" s="119"/>
      <c r="J724" s="119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237"/>
    </row>
    <row r="725">
      <c r="F725" s="119"/>
      <c r="G725" s="119"/>
      <c r="H725" s="120"/>
      <c r="I725" s="119"/>
      <c r="J725" s="119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237"/>
    </row>
    <row r="726">
      <c r="F726" s="119"/>
      <c r="G726" s="119"/>
      <c r="H726" s="120"/>
      <c r="I726" s="119"/>
      <c r="J726" s="119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237"/>
    </row>
    <row r="727">
      <c r="F727" s="119"/>
      <c r="G727" s="119"/>
      <c r="H727" s="120"/>
      <c r="I727" s="119"/>
      <c r="J727" s="119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237"/>
    </row>
    <row r="728">
      <c r="F728" s="119"/>
      <c r="G728" s="119"/>
      <c r="H728" s="120"/>
      <c r="I728" s="119"/>
      <c r="J728" s="119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237"/>
    </row>
    <row r="729">
      <c r="F729" s="119"/>
      <c r="G729" s="119"/>
      <c r="H729" s="120"/>
      <c r="I729" s="119"/>
      <c r="J729" s="119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237"/>
    </row>
    <row r="730">
      <c r="F730" s="119"/>
      <c r="G730" s="119"/>
      <c r="H730" s="120"/>
      <c r="I730" s="119"/>
      <c r="J730" s="119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237"/>
    </row>
    <row r="731">
      <c r="F731" s="119"/>
      <c r="G731" s="119"/>
      <c r="H731" s="120"/>
      <c r="I731" s="119"/>
      <c r="J731" s="119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237"/>
    </row>
    <row r="732">
      <c r="F732" s="119"/>
      <c r="G732" s="119"/>
      <c r="H732" s="120"/>
      <c r="I732" s="119"/>
      <c r="J732" s="119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237"/>
    </row>
    <row r="733">
      <c r="F733" s="119"/>
      <c r="G733" s="119"/>
      <c r="H733" s="120"/>
      <c r="I733" s="119"/>
      <c r="J733" s="119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237"/>
    </row>
    <row r="734">
      <c r="F734" s="119"/>
      <c r="G734" s="119"/>
      <c r="H734" s="120"/>
      <c r="I734" s="119"/>
      <c r="J734" s="119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237"/>
    </row>
    <row r="735">
      <c r="F735" s="119"/>
      <c r="G735" s="119"/>
      <c r="H735" s="120"/>
      <c r="I735" s="119"/>
      <c r="J735" s="119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237"/>
    </row>
    <row r="736">
      <c r="F736" s="119"/>
      <c r="G736" s="119"/>
      <c r="H736" s="120"/>
      <c r="I736" s="119"/>
      <c r="J736" s="119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237"/>
    </row>
    <row r="737">
      <c r="F737" s="119"/>
      <c r="G737" s="119"/>
      <c r="H737" s="120"/>
      <c r="I737" s="119"/>
      <c r="J737" s="119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237"/>
    </row>
    <row r="738">
      <c r="F738" s="119"/>
      <c r="G738" s="119"/>
      <c r="H738" s="120"/>
      <c r="I738" s="119"/>
      <c r="J738" s="119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237"/>
    </row>
    <row r="739">
      <c r="F739" s="119"/>
      <c r="G739" s="119"/>
      <c r="H739" s="120"/>
      <c r="I739" s="119"/>
      <c r="J739" s="119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237"/>
    </row>
    <row r="740">
      <c r="F740" s="119"/>
      <c r="G740" s="119"/>
      <c r="H740" s="120"/>
      <c r="I740" s="119"/>
      <c r="J740" s="119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237"/>
    </row>
    <row r="741">
      <c r="F741" s="119"/>
      <c r="G741" s="119"/>
      <c r="H741" s="120"/>
      <c r="I741" s="119"/>
      <c r="J741" s="119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237"/>
    </row>
    <row r="742">
      <c r="F742" s="119"/>
      <c r="G742" s="119"/>
      <c r="H742" s="120"/>
      <c r="I742" s="119"/>
      <c r="J742" s="119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237"/>
    </row>
    <row r="743">
      <c r="F743" s="119"/>
      <c r="G743" s="119"/>
      <c r="H743" s="120"/>
      <c r="I743" s="119"/>
      <c r="J743" s="119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237"/>
    </row>
    <row r="744">
      <c r="F744" s="119"/>
      <c r="G744" s="119"/>
      <c r="H744" s="120"/>
      <c r="I744" s="119"/>
      <c r="J744" s="119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237"/>
    </row>
    <row r="745">
      <c r="F745" s="119"/>
      <c r="G745" s="119"/>
      <c r="H745" s="120"/>
      <c r="I745" s="119"/>
      <c r="J745" s="119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237"/>
    </row>
    <row r="746">
      <c r="F746" s="119"/>
      <c r="G746" s="119"/>
      <c r="H746" s="120"/>
      <c r="I746" s="119"/>
      <c r="J746" s="119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237"/>
    </row>
    <row r="747">
      <c r="F747" s="119"/>
      <c r="G747" s="119"/>
      <c r="H747" s="120"/>
      <c r="I747" s="119"/>
      <c r="J747" s="119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237"/>
    </row>
    <row r="748">
      <c r="F748" s="119"/>
      <c r="G748" s="119"/>
      <c r="H748" s="120"/>
      <c r="I748" s="119"/>
      <c r="J748" s="119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237"/>
    </row>
    <row r="749">
      <c r="F749" s="119"/>
      <c r="G749" s="119"/>
      <c r="H749" s="120"/>
      <c r="I749" s="119"/>
      <c r="J749" s="119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237"/>
    </row>
    <row r="750">
      <c r="F750" s="119"/>
      <c r="G750" s="119"/>
      <c r="H750" s="120"/>
      <c r="I750" s="119"/>
      <c r="J750" s="119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237"/>
    </row>
    <row r="751">
      <c r="F751" s="119"/>
      <c r="G751" s="119"/>
      <c r="H751" s="120"/>
      <c r="I751" s="119"/>
      <c r="J751" s="119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237"/>
    </row>
    <row r="752">
      <c r="F752" s="119"/>
      <c r="G752" s="119"/>
      <c r="H752" s="120"/>
      <c r="I752" s="119"/>
      <c r="J752" s="119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237"/>
    </row>
    <row r="753">
      <c r="F753" s="119"/>
      <c r="G753" s="119"/>
      <c r="H753" s="120"/>
      <c r="I753" s="119"/>
      <c r="J753" s="119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237"/>
    </row>
    <row r="754">
      <c r="F754" s="119"/>
      <c r="G754" s="119"/>
      <c r="H754" s="120"/>
      <c r="I754" s="119"/>
      <c r="J754" s="119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237"/>
    </row>
    <row r="755">
      <c r="F755" s="119"/>
      <c r="G755" s="119"/>
      <c r="H755" s="120"/>
      <c r="I755" s="119"/>
      <c r="J755" s="119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237"/>
    </row>
    <row r="756">
      <c r="F756" s="119"/>
      <c r="G756" s="119"/>
      <c r="H756" s="120"/>
      <c r="I756" s="119"/>
      <c r="J756" s="119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237"/>
    </row>
    <row r="757">
      <c r="F757" s="119"/>
      <c r="G757" s="119"/>
      <c r="H757" s="120"/>
      <c r="I757" s="119"/>
      <c r="J757" s="119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237"/>
    </row>
    <row r="758">
      <c r="F758" s="119"/>
      <c r="G758" s="119"/>
      <c r="H758" s="120"/>
      <c r="I758" s="119"/>
      <c r="J758" s="119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237"/>
    </row>
    <row r="759">
      <c r="F759" s="119"/>
      <c r="G759" s="119"/>
      <c r="H759" s="120"/>
      <c r="I759" s="119"/>
      <c r="J759" s="119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237"/>
    </row>
    <row r="760">
      <c r="F760" s="119"/>
      <c r="G760" s="119"/>
      <c r="H760" s="120"/>
      <c r="I760" s="119"/>
      <c r="J760" s="119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237"/>
    </row>
    <row r="761">
      <c r="F761" s="119"/>
      <c r="G761" s="119"/>
      <c r="H761" s="120"/>
      <c r="I761" s="119"/>
      <c r="J761" s="119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237"/>
    </row>
    <row r="762">
      <c r="F762" s="119"/>
      <c r="G762" s="119"/>
      <c r="H762" s="120"/>
      <c r="I762" s="119"/>
      <c r="J762" s="119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237"/>
    </row>
    <row r="763">
      <c r="F763" s="119"/>
      <c r="G763" s="119"/>
      <c r="H763" s="120"/>
      <c r="I763" s="119"/>
      <c r="J763" s="119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237"/>
    </row>
    <row r="764">
      <c r="F764" s="119"/>
      <c r="G764" s="119"/>
      <c r="H764" s="120"/>
      <c r="I764" s="119"/>
      <c r="J764" s="119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237"/>
    </row>
    <row r="765">
      <c r="F765" s="119"/>
      <c r="G765" s="119"/>
      <c r="H765" s="120"/>
      <c r="I765" s="119"/>
      <c r="J765" s="119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237"/>
    </row>
    <row r="766">
      <c r="F766" s="119"/>
      <c r="G766" s="119"/>
      <c r="H766" s="120"/>
      <c r="I766" s="119"/>
      <c r="J766" s="119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237"/>
    </row>
    <row r="767">
      <c r="F767" s="119"/>
      <c r="G767" s="119"/>
      <c r="H767" s="120"/>
      <c r="I767" s="119"/>
      <c r="J767" s="119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237"/>
    </row>
    <row r="768">
      <c r="F768" s="119"/>
      <c r="G768" s="119"/>
      <c r="H768" s="120"/>
      <c r="I768" s="119"/>
      <c r="J768" s="119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237"/>
    </row>
    <row r="769">
      <c r="F769" s="119"/>
      <c r="G769" s="119"/>
      <c r="H769" s="120"/>
      <c r="I769" s="119"/>
      <c r="J769" s="119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237"/>
    </row>
    <row r="770">
      <c r="F770" s="119"/>
      <c r="G770" s="119"/>
      <c r="H770" s="120"/>
      <c r="I770" s="119"/>
      <c r="J770" s="119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237"/>
    </row>
    <row r="771">
      <c r="F771" s="119"/>
      <c r="G771" s="119"/>
      <c r="H771" s="120"/>
      <c r="I771" s="119"/>
      <c r="J771" s="119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237"/>
    </row>
    <row r="772">
      <c r="F772" s="119"/>
      <c r="G772" s="119"/>
      <c r="H772" s="120"/>
      <c r="I772" s="119"/>
      <c r="J772" s="119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237"/>
    </row>
    <row r="773">
      <c r="F773" s="119"/>
      <c r="G773" s="119"/>
      <c r="H773" s="120"/>
      <c r="I773" s="119"/>
      <c r="J773" s="119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237"/>
    </row>
    <row r="774">
      <c r="F774" s="119"/>
      <c r="G774" s="119"/>
      <c r="H774" s="120"/>
      <c r="I774" s="119"/>
      <c r="J774" s="119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237"/>
    </row>
    <row r="775">
      <c r="F775" s="119"/>
      <c r="G775" s="119"/>
      <c r="H775" s="120"/>
      <c r="I775" s="119"/>
      <c r="J775" s="119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237"/>
    </row>
    <row r="776">
      <c r="F776" s="119"/>
      <c r="G776" s="119"/>
      <c r="H776" s="120"/>
      <c r="I776" s="119"/>
      <c r="J776" s="119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237"/>
    </row>
    <row r="777">
      <c r="F777" s="119"/>
      <c r="G777" s="119"/>
      <c r="H777" s="120"/>
      <c r="I777" s="119"/>
      <c r="J777" s="119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237"/>
    </row>
    <row r="778">
      <c r="F778" s="119"/>
      <c r="G778" s="119"/>
      <c r="H778" s="120"/>
      <c r="I778" s="119"/>
      <c r="J778" s="119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237"/>
    </row>
    <row r="779">
      <c r="F779" s="119"/>
      <c r="G779" s="119"/>
      <c r="H779" s="120"/>
      <c r="I779" s="119"/>
      <c r="J779" s="119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237"/>
    </row>
    <row r="780">
      <c r="F780" s="119"/>
      <c r="G780" s="119"/>
      <c r="H780" s="120"/>
      <c r="I780" s="119"/>
      <c r="J780" s="119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237"/>
    </row>
    <row r="781">
      <c r="F781" s="119"/>
      <c r="G781" s="119"/>
      <c r="H781" s="120"/>
      <c r="I781" s="119"/>
      <c r="J781" s="119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237"/>
    </row>
    <row r="782">
      <c r="F782" s="119"/>
      <c r="G782" s="119"/>
      <c r="H782" s="120"/>
      <c r="I782" s="119"/>
      <c r="J782" s="119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237"/>
    </row>
    <row r="783">
      <c r="F783" s="119"/>
      <c r="G783" s="119"/>
      <c r="H783" s="120"/>
      <c r="I783" s="119"/>
      <c r="J783" s="119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237"/>
    </row>
    <row r="784">
      <c r="F784" s="119"/>
      <c r="G784" s="119"/>
      <c r="H784" s="120"/>
      <c r="I784" s="119"/>
      <c r="J784" s="119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237"/>
    </row>
    <row r="785">
      <c r="F785" s="119"/>
      <c r="G785" s="119"/>
      <c r="H785" s="120"/>
      <c r="I785" s="119"/>
      <c r="J785" s="119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237"/>
    </row>
    <row r="786">
      <c r="F786" s="119"/>
      <c r="G786" s="119"/>
      <c r="H786" s="120"/>
      <c r="I786" s="119"/>
      <c r="J786" s="119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237"/>
    </row>
    <row r="787">
      <c r="F787" s="119"/>
      <c r="G787" s="119"/>
      <c r="H787" s="120"/>
      <c r="I787" s="119"/>
      <c r="J787" s="119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237"/>
    </row>
    <row r="788">
      <c r="F788" s="119"/>
      <c r="G788" s="119"/>
      <c r="H788" s="120"/>
      <c r="I788" s="119"/>
      <c r="J788" s="119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237"/>
    </row>
    <row r="789">
      <c r="F789" s="119"/>
      <c r="G789" s="119"/>
      <c r="H789" s="120"/>
      <c r="I789" s="119"/>
      <c r="J789" s="119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237"/>
    </row>
    <row r="790">
      <c r="F790" s="119"/>
      <c r="G790" s="119"/>
      <c r="H790" s="120"/>
      <c r="I790" s="119"/>
      <c r="J790" s="119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237"/>
    </row>
    <row r="791">
      <c r="F791" s="119"/>
      <c r="G791" s="119"/>
      <c r="H791" s="120"/>
      <c r="I791" s="119"/>
      <c r="J791" s="119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237"/>
    </row>
    <row r="792">
      <c r="F792" s="119"/>
      <c r="G792" s="119"/>
      <c r="H792" s="120"/>
      <c r="I792" s="119"/>
      <c r="J792" s="119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237"/>
    </row>
    <row r="793">
      <c r="F793" s="119"/>
      <c r="G793" s="119"/>
      <c r="H793" s="120"/>
      <c r="I793" s="119"/>
      <c r="J793" s="119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237"/>
    </row>
    <row r="794">
      <c r="F794" s="119"/>
      <c r="G794" s="119"/>
      <c r="H794" s="120"/>
      <c r="I794" s="119"/>
      <c r="J794" s="119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237"/>
    </row>
    <row r="795">
      <c r="F795" s="119"/>
      <c r="G795" s="119"/>
      <c r="H795" s="120"/>
      <c r="I795" s="119"/>
      <c r="J795" s="119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237"/>
    </row>
    <row r="796">
      <c r="F796" s="119"/>
      <c r="G796" s="119"/>
      <c r="H796" s="120"/>
      <c r="I796" s="119"/>
      <c r="J796" s="119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237"/>
    </row>
    <row r="797">
      <c r="F797" s="119"/>
      <c r="G797" s="119"/>
      <c r="H797" s="120"/>
      <c r="I797" s="119"/>
      <c r="J797" s="119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237"/>
    </row>
    <row r="798">
      <c r="F798" s="119"/>
      <c r="G798" s="119"/>
      <c r="H798" s="120"/>
      <c r="I798" s="119"/>
      <c r="J798" s="119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237"/>
    </row>
    <row r="799">
      <c r="F799" s="119"/>
      <c r="G799" s="119"/>
      <c r="H799" s="120"/>
      <c r="I799" s="119"/>
      <c r="J799" s="119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237"/>
    </row>
    <row r="800">
      <c r="F800" s="119"/>
      <c r="G800" s="119"/>
      <c r="H800" s="120"/>
      <c r="I800" s="119"/>
      <c r="J800" s="119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237"/>
    </row>
    <row r="801">
      <c r="F801" s="119"/>
      <c r="G801" s="119"/>
      <c r="H801" s="120"/>
      <c r="I801" s="119"/>
      <c r="J801" s="119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237"/>
    </row>
    <row r="802">
      <c r="F802" s="119"/>
      <c r="G802" s="119"/>
      <c r="H802" s="120"/>
      <c r="I802" s="119"/>
      <c r="J802" s="119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237"/>
    </row>
    <row r="803">
      <c r="F803" s="119"/>
      <c r="G803" s="119"/>
      <c r="H803" s="120"/>
      <c r="I803" s="119"/>
      <c r="J803" s="119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237"/>
    </row>
    <row r="804">
      <c r="F804" s="119"/>
      <c r="G804" s="119"/>
      <c r="H804" s="120"/>
      <c r="I804" s="119"/>
      <c r="J804" s="119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237"/>
    </row>
    <row r="805">
      <c r="F805" s="119"/>
      <c r="G805" s="119"/>
      <c r="H805" s="120"/>
      <c r="I805" s="119"/>
      <c r="J805" s="119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237"/>
    </row>
    <row r="806">
      <c r="F806" s="119"/>
      <c r="G806" s="119"/>
      <c r="H806" s="120"/>
      <c r="I806" s="119"/>
      <c r="J806" s="119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237"/>
    </row>
    <row r="807">
      <c r="F807" s="119"/>
      <c r="G807" s="119"/>
      <c r="H807" s="120"/>
      <c r="I807" s="119"/>
      <c r="J807" s="119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237"/>
    </row>
    <row r="808">
      <c r="F808" s="119"/>
      <c r="G808" s="119"/>
      <c r="H808" s="120"/>
      <c r="I808" s="119"/>
      <c r="J808" s="119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237"/>
    </row>
    <row r="809">
      <c r="F809" s="119"/>
      <c r="G809" s="119"/>
      <c r="H809" s="120"/>
      <c r="I809" s="119"/>
      <c r="J809" s="119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237"/>
    </row>
    <row r="810">
      <c r="F810" s="119"/>
      <c r="G810" s="119"/>
      <c r="H810" s="120"/>
      <c r="I810" s="119"/>
      <c r="J810" s="119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237"/>
    </row>
    <row r="811">
      <c r="F811" s="119"/>
      <c r="G811" s="119"/>
      <c r="H811" s="120"/>
      <c r="I811" s="119"/>
      <c r="J811" s="119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237"/>
    </row>
    <row r="812">
      <c r="F812" s="119"/>
      <c r="G812" s="119"/>
      <c r="H812" s="120"/>
      <c r="I812" s="119"/>
      <c r="J812" s="119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237"/>
    </row>
    <row r="813">
      <c r="F813" s="119"/>
      <c r="G813" s="119"/>
      <c r="H813" s="120"/>
      <c r="I813" s="119"/>
      <c r="J813" s="119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237"/>
    </row>
    <row r="814">
      <c r="F814" s="119"/>
      <c r="G814" s="119"/>
      <c r="H814" s="120"/>
      <c r="I814" s="119"/>
      <c r="J814" s="119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237"/>
    </row>
    <row r="815">
      <c r="F815" s="119"/>
      <c r="G815" s="119"/>
      <c r="H815" s="120"/>
      <c r="I815" s="119"/>
      <c r="J815" s="119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237"/>
    </row>
    <row r="816">
      <c r="F816" s="119"/>
      <c r="G816" s="119"/>
      <c r="H816" s="120"/>
      <c r="I816" s="119"/>
      <c r="J816" s="119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237"/>
    </row>
    <row r="817">
      <c r="F817" s="119"/>
      <c r="G817" s="119"/>
      <c r="H817" s="120"/>
      <c r="I817" s="119"/>
      <c r="J817" s="119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237"/>
    </row>
    <row r="818">
      <c r="F818" s="119"/>
      <c r="G818" s="119"/>
      <c r="H818" s="120"/>
      <c r="I818" s="119"/>
      <c r="J818" s="119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237"/>
    </row>
    <row r="819">
      <c r="F819" s="119"/>
      <c r="G819" s="119"/>
      <c r="H819" s="120"/>
      <c r="I819" s="119"/>
      <c r="J819" s="119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237"/>
    </row>
    <row r="820">
      <c r="F820" s="119"/>
      <c r="G820" s="119"/>
      <c r="H820" s="120"/>
      <c r="I820" s="119"/>
      <c r="J820" s="119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237"/>
    </row>
    <row r="821">
      <c r="F821" s="119"/>
      <c r="G821" s="119"/>
      <c r="H821" s="120"/>
      <c r="I821" s="119"/>
      <c r="J821" s="119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237"/>
    </row>
    <row r="822">
      <c r="F822" s="119"/>
      <c r="G822" s="119"/>
      <c r="H822" s="120"/>
      <c r="I822" s="119"/>
      <c r="J822" s="119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237"/>
    </row>
    <row r="823">
      <c r="F823" s="119"/>
      <c r="G823" s="119"/>
      <c r="H823" s="120"/>
      <c r="I823" s="119"/>
      <c r="J823" s="119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237"/>
    </row>
    <row r="824">
      <c r="F824" s="119"/>
      <c r="G824" s="119"/>
      <c r="H824" s="120"/>
      <c r="I824" s="119"/>
      <c r="J824" s="119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237"/>
    </row>
    <row r="825">
      <c r="F825" s="119"/>
      <c r="G825" s="119"/>
      <c r="H825" s="120"/>
      <c r="I825" s="119"/>
      <c r="J825" s="119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237"/>
    </row>
    <row r="826">
      <c r="F826" s="119"/>
      <c r="G826" s="119"/>
      <c r="H826" s="120"/>
      <c r="I826" s="119"/>
      <c r="J826" s="119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237"/>
    </row>
    <row r="827">
      <c r="F827" s="119"/>
      <c r="G827" s="119"/>
      <c r="H827" s="120"/>
      <c r="I827" s="119"/>
      <c r="J827" s="119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237"/>
    </row>
    <row r="828">
      <c r="F828" s="119"/>
      <c r="G828" s="119"/>
      <c r="H828" s="120"/>
      <c r="I828" s="119"/>
      <c r="J828" s="119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237"/>
    </row>
    <row r="829">
      <c r="F829" s="119"/>
      <c r="G829" s="119"/>
      <c r="H829" s="120"/>
      <c r="I829" s="119"/>
      <c r="J829" s="119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237"/>
    </row>
    <row r="830">
      <c r="F830" s="119"/>
      <c r="G830" s="119"/>
      <c r="H830" s="120"/>
      <c r="I830" s="119"/>
      <c r="J830" s="119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237"/>
    </row>
    <row r="831">
      <c r="F831" s="119"/>
      <c r="G831" s="119"/>
      <c r="H831" s="120"/>
      <c r="I831" s="119"/>
      <c r="J831" s="119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237"/>
    </row>
    <row r="832">
      <c r="F832" s="119"/>
      <c r="G832" s="119"/>
      <c r="H832" s="120"/>
      <c r="I832" s="119"/>
      <c r="J832" s="119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237"/>
    </row>
    <row r="833">
      <c r="F833" s="119"/>
      <c r="G833" s="119"/>
      <c r="H833" s="120"/>
      <c r="I833" s="119"/>
      <c r="J833" s="119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237"/>
    </row>
    <row r="834">
      <c r="F834" s="119"/>
      <c r="G834" s="119"/>
      <c r="H834" s="120"/>
      <c r="I834" s="119"/>
      <c r="J834" s="119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237"/>
    </row>
    <row r="835">
      <c r="F835" s="119"/>
      <c r="G835" s="119"/>
      <c r="H835" s="120"/>
      <c r="I835" s="119"/>
      <c r="J835" s="119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237"/>
    </row>
    <row r="836">
      <c r="F836" s="119"/>
      <c r="G836" s="119"/>
      <c r="H836" s="120"/>
      <c r="I836" s="119"/>
      <c r="J836" s="119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237"/>
    </row>
    <row r="837">
      <c r="F837" s="119"/>
      <c r="G837" s="119"/>
      <c r="H837" s="120"/>
      <c r="I837" s="119"/>
      <c r="J837" s="119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237"/>
    </row>
    <row r="838">
      <c r="F838" s="119"/>
      <c r="G838" s="119"/>
      <c r="H838" s="120"/>
      <c r="I838" s="119"/>
      <c r="J838" s="119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237"/>
    </row>
    <row r="839">
      <c r="F839" s="119"/>
      <c r="G839" s="119"/>
      <c r="H839" s="120"/>
      <c r="I839" s="119"/>
      <c r="J839" s="119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237"/>
    </row>
    <row r="840">
      <c r="F840" s="119"/>
      <c r="G840" s="119"/>
      <c r="H840" s="120"/>
      <c r="I840" s="119"/>
      <c r="J840" s="119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237"/>
    </row>
    <row r="841">
      <c r="F841" s="119"/>
      <c r="G841" s="119"/>
      <c r="H841" s="120"/>
      <c r="I841" s="119"/>
      <c r="J841" s="119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237"/>
    </row>
    <row r="842">
      <c r="F842" s="119"/>
      <c r="G842" s="119"/>
      <c r="H842" s="120"/>
      <c r="I842" s="119"/>
      <c r="J842" s="119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237"/>
    </row>
    <row r="843">
      <c r="F843" s="119"/>
      <c r="G843" s="119"/>
      <c r="H843" s="120"/>
      <c r="I843" s="119"/>
      <c r="J843" s="119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237"/>
    </row>
    <row r="844">
      <c r="F844" s="119"/>
      <c r="G844" s="119"/>
      <c r="H844" s="120"/>
      <c r="I844" s="119"/>
      <c r="J844" s="119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237"/>
    </row>
    <row r="845">
      <c r="F845" s="119"/>
      <c r="G845" s="119"/>
      <c r="H845" s="120"/>
      <c r="I845" s="119"/>
      <c r="J845" s="119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237"/>
    </row>
    <row r="846">
      <c r="F846" s="119"/>
      <c r="G846" s="119"/>
      <c r="H846" s="120"/>
      <c r="I846" s="119"/>
      <c r="J846" s="119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237"/>
    </row>
    <row r="847">
      <c r="F847" s="119"/>
      <c r="G847" s="119"/>
      <c r="H847" s="120"/>
      <c r="I847" s="119"/>
      <c r="J847" s="119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237"/>
    </row>
    <row r="848">
      <c r="F848" s="119"/>
      <c r="G848" s="119"/>
      <c r="H848" s="120"/>
      <c r="I848" s="119"/>
      <c r="J848" s="119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237"/>
    </row>
    <row r="849">
      <c r="F849" s="119"/>
      <c r="G849" s="119"/>
      <c r="H849" s="120"/>
      <c r="I849" s="119"/>
      <c r="J849" s="119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237"/>
    </row>
    <row r="850">
      <c r="F850" s="119"/>
      <c r="G850" s="119"/>
      <c r="H850" s="120"/>
      <c r="I850" s="119"/>
      <c r="J850" s="119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237"/>
    </row>
    <row r="851">
      <c r="F851" s="119"/>
      <c r="G851" s="119"/>
      <c r="H851" s="120"/>
      <c r="I851" s="119"/>
      <c r="J851" s="119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237"/>
    </row>
    <row r="852">
      <c r="F852" s="119"/>
      <c r="G852" s="119"/>
      <c r="H852" s="120"/>
      <c r="I852" s="119"/>
      <c r="J852" s="119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237"/>
    </row>
    <row r="853">
      <c r="F853" s="119"/>
      <c r="G853" s="119"/>
      <c r="H853" s="120"/>
      <c r="I853" s="119"/>
      <c r="J853" s="119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237"/>
    </row>
    <row r="854">
      <c r="F854" s="119"/>
      <c r="G854" s="119"/>
      <c r="H854" s="120"/>
      <c r="I854" s="119"/>
      <c r="J854" s="119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237"/>
    </row>
    <row r="855">
      <c r="F855" s="119"/>
      <c r="G855" s="119"/>
      <c r="H855" s="120"/>
      <c r="I855" s="119"/>
      <c r="J855" s="119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237"/>
    </row>
    <row r="856">
      <c r="F856" s="119"/>
      <c r="G856" s="119"/>
      <c r="H856" s="120"/>
      <c r="I856" s="119"/>
      <c r="J856" s="119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237"/>
    </row>
    <row r="857">
      <c r="F857" s="119"/>
      <c r="G857" s="119"/>
      <c r="H857" s="120"/>
      <c r="I857" s="119"/>
      <c r="J857" s="119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237"/>
    </row>
    <row r="858">
      <c r="F858" s="119"/>
      <c r="G858" s="119"/>
      <c r="H858" s="120"/>
      <c r="I858" s="119"/>
      <c r="J858" s="119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237"/>
    </row>
    <row r="859">
      <c r="F859" s="119"/>
      <c r="G859" s="119"/>
      <c r="H859" s="120"/>
      <c r="I859" s="119"/>
      <c r="J859" s="119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237"/>
    </row>
    <row r="860">
      <c r="F860" s="119"/>
      <c r="G860" s="119"/>
      <c r="H860" s="120"/>
      <c r="I860" s="119"/>
      <c r="J860" s="119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237"/>
    </row>
    <row r="861">
      <c r="F861" s="119"/>
      <c r="G861" s="119"/>
      <c r="H861" s="120"/>
      <c r="I861" s="119"/>
      <c r="J861" s="119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237"/>
    </row>
    <row r="862">
      <c r="F862" s="119"/>
      <c r="G862" s="119"/>
      <c r="H862" s="120"/>
      <c r="I862" s="119"/>
      <c r="J862" s="119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237"/>
    </row>
    <row r="863">
      <c r="F863" s="119"/>
      <c r="G863" s="119"/>
      <c r="H863" s="120"/>
      <c r="I863" s="119"/>
      <c r="J863" s="119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237"/>
    </row>
    <row r="864">
      <c r="F864" s="119"/>
      <c r="G864" s="119"/>
      <c r="H864" s="120"/>
      <c r="I864" s="119"/>
      <c r="J864" s="119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237"/>
    </row>
    <row r="865">
      <c r="F865" s="119"/>
      <c r="G865" s="119"/>
      <c r="H865" s="120"/>
      <c r="I865" s="119"/>
      <c r="J865" s="119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237"/>
    </row>
    <row r="866">
      <c r="F866" s="119"/>
      <c r="G866" s="119"/>
      <c r="H866" s="120"/>
      <c r="I866" s="119"/>
      <c r="J866" s="119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237"/>
    </row>
    <row r="867">
      <c r="F867" s="119"/>
      <c r="G867" s="119"/>
      <c r="H867" s="120"/>
      <c r="I867" s="119"/>
      <c r="J867" s="119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237"/>
    </row>
    <row r="868">
      <c r="F868" s="119"/>
      <c r="G868" s="119"/>
      <c r="H868" s="120"/>
      <c r="I868" s="119"/>
      <c r="J868" s="119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237"/>
    </row>
    <row r="869">
      <c r="F869" s="119"/>
      <c r="G869" s="119"/>
      <c r="H869" s="120"/>
      <c r="I869" s="119"/>
      <c r="J869" s="119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237"/>
    </row>
    <row r="870">
      <c r="F870" s="119"/>
      <c r="G870" s="119"/>
      <c r="H870" s="120"/>
      <c r="I870" s="119"/>
      <c r="J870" s="119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237"/>
    </row>
    <row r="871">
      <c r="F871" s="119"/>
      <c r="G871" s="119"/>
      <c r="H871" s="120"/>
      <c r="I871" s="119"/>
      <c r="J871" s="119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237"/>
    </row>
    <row r="872">
      <c r="F872" s="119"/>
      <c r="G872" s="119"/>
      <c r="H872" s="120"/>
      <c r="I872" s="119"/>
      <c r="J872" s="119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237"/>
    </row>
    <row r="873">
      <c r="F873" s="119"/>
      <c r="G873" s="119"/>
      <c r="H873" s="120"/>
      <c r="I873" s="119"/>
      <c r="J873" s="119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237"/>
    </row>
    <row r="874">
      <c r="F874" s="119"/>
      <c r="G874" s="119"/>
      <c r="H874" s="120"/>
      <c r="I874" s="119"/>
      <c r="J874" s="119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237"/>
    </row>
    <row r="875">
      <c r="F875" s="119"/>
      <c r="G875" s="119"/>
      <c r="H875" s="120"/>
      <c r="I875" s="119"/>
      <c r="J875" s="119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237"/>
    </row>
    <row r="876">
      <c r="F876" s="119"/>
      <c r="G876" s="119"/>
      <c r="H876" s="120"/>
      <c r="I876" s="119"/>
      <c r="J876" s="119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237"/>
    </row>
    <row r="877">
      <c r="F877" s="119"/>
      <c r="G877" s="119"/>
      <c r="H877" s="120"/>
      <c r="I877" s="119"/>
      <c r="J877" s="119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237"/>
    </row>
    <row r="878">
      <c r="F878" s="119"/>
      <c r="G878" s="119"/>
      <c r="H878" s="120"/>
      <c r="I878" s="119"/>
      <c r="J878" s="119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237"/>
    </row>
    <row r="879">
      <c r="F879" s="119"/>
      <c r="G879" s="119"/>
      <c r="H879" s="120"/>
      <c r="I879" s="119"/>
      <c r="J879" s="119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237"/>
    </row>
    <row r="880">
      <c r="F880" s="119"/>
      <c r="G880" s="119"/>
      <c r="H880" s="120"/>
      <c r="I880" s="119"/>
      <c r="J880" s="119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237"/>
    </row>
    <row r="881">
      <c r="F881" s="119"/>
      <c r="G881" s="119"/>
      <c r="H881" s="120"/>
      <c r="I881" s="119"/>
      <c r="J881" s="119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237"/>
    </row>
    <row r="882">
      <c r="F882" s="119"/>
      <c r="G882" s="119"/>
      <c r="H882" s="120"/>
      <c r="I882" s="119"/>
      <c r="J882" s="119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237"/>
    </row>
    <row r="883">
      <c r="F883" s="119"/>
      <c r="G883" s="119"/>
      <c r="H883" s="120"/>
      <c r="I883" s="119"/>
      <c r="J883" s="119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237"/>
    </row>
    <row r="884">
      <c r="F884" s="119"/>
      <c r="G884" s="119"/>
      <c r="H884" s="120"/>
      <c r="I884" s="119"/>
      <c r="J884" s="119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237"/>
    </row>
    <row r="885">
      <c r="F885" s="119"/>
      <c r="G885" s="119"/>
      <c r="H885" s="120"/>
      <c r="I885" s="119"/>
      <c r="J885" s="119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237"/>
    </row>
    <row r="886">
      <c r="F886" s="119"/>
      <c r="G886" s="119"/>
      <c r="H886" s="120"/>
      <c r="I886" s="119"/>
      <c r="J886" s="119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237"/>
    </row>
    <row r="887">
      <c r="F887" s="119"/>
      <c r="G887" s="119"/>
      <c r="H887" s="120"/>
      <c r="I887" s="119"/>
      <c r="J887" s="119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237"/>
    </row>
    <row r="888">
      <c r="F888" s="119"/>
      <c r="G888" s="119"/>
      <c r="H888" s="120"/>
      <c r="I888" s="119"/>
      <c r="J888" s="119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237"/>
    </row>
    <row r="889">
      <c r="F889" s="119"/>
      <c r="G889" s="119"/>
      <c r="H889" s="120"/>
      <c r="I889" s="119"/>
      <c r="J889" s="119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237"/>
    </row>
    <row r="890">
      <c r="F890" s="119"/>
      <c r="G890" s="119"/>
      <c r="H890" s="120"/>
      <c r="I890" s="119"/>
      <c r="J890" s="119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237"/>
    </row>
    <row r="891">
      <c r="F891" s="119"/>
      <c r="G891" s="119"/>
      <c r="H891" s="120"/>
      <c r="I891" s="119"/>
      <c r="J891" s="119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237"/>
    </row>
    <row r="892">
      <c r="F892" s="119"/>
      <c r="G892" s="119"/>
      <c r="H892" s="120"/>
      <c r="I892" s="119"/>
      <c r="J892" s="119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237"/>
    </row>
    <row r="893">
      <c r="F893" s="119"/>
      <c r="G893" s="119"/>
      <c r="H893" s="120"/>
      <c r="I893" s="119"/>
      <c r="J893" s="119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237"/>
    </row>
    <row r="894">
      <c r="F894" s="119"/>
      <c r="G894" s="119"/>
      <c r="H894" s="120"/>
      <c r="I894" s="119"/>
      <c r="J894" s="119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237"/>
    </row>
    <row r="895">
      <c r="F895" s="119"/>
      <c r="G895" s="119"/>
      <c r="H895" s="120"/>
      <c r="I895" s="119"/>
      <c r="J895" s="119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237"/>
    </row>
    <row r="896">
      <c r="F896" s="119"/>
      <c r="G896" s="119"/>
      <c r="H896" s="120"/>
      <c r="I896" s="119"/>
      <c r="J896" s="119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237"/>
    </row>
    <row r="897">
      <c r="F897" s="119"/>
      <c r="G897" s="119"/>
      <c r="H897" s="120"/>
      <c r="I897" s="119"/>
      <c r="J897" s="119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237"/>
    </row>
    <row r="898">
      <c r="F898" s="119"/>
      <c r="G898" s="119"/>
      <c r="H898" s="120"/>
      <c r="I898" s="119"/>
      <c r="J898" s="119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237"/>
    </row>
    <row r="899">
      <c r="F899" s="119"/>
      <c r="G899" s="119"/>
      <c r="H899" s="120"/>
      <c r="I899" s="119"/>
      <c r="J899" s="119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237"/>
    </row>
    <row r="900">
      <c r="F900" s="119"/>
      <c r="G900" s="119"/>
      <c r="H900" s="120"/>
      <c r="I900" s="119"/>
      <c r="J900" s="119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237"/>
    </row>
    <row r="901">
      <c r="F901" s="119"/>
      <c r="G901" s="119"/>
      <c r="H901" s="120"/>
      <c r="I901" s="119"/>
      <c r="J901" s="119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237"/>
    </row>
    <row r="902">
      <c r="F902" s="119"/>
      <c r="G902" s="119"/>
      <c r="H902" s="120"/>
      <c r="I902" s="119"/>
      <c r="J902" s="119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237"/>
    </row>
    <row r="903">
      <c r="F903" s="119"/>
      <c r="G903" s="119"/>
      <c r="H903" s="120"/>
      <c r="I903" s="119"/>
      <c r="J903" s="119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237"/>
    </row>
    <row r="904">
      <c r="F904" s="119"/>
      <c r="G904" s="119"/>
      <c r="H904" s="120"/>
      <c r="I904" s="119"/>
      <c r="J904" s="119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237"/>
    </row>
    <row r="905">
      <c r="F905" s="119"/>
      <c r="G905" s="119"/>
      <c r="H905" s="120"/>
      <c r="I905" s="119"/>
      <c r="J905" s="119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237"/>
    </row>
    <row r="906">
      <c r="F906" s="119"/>
      <c r="G906" s="119"/>
      <c r="H906" s="120"/>
      <c r="I906" s="119"/>
      <c r="J906" s="119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237"/>
    </row>
    <row r="907">
      <c r="F907" s="119"/>
      <c r="G907" s="119"/>
      <c r="H907" s="120"/>
      <c r="I907" s="119"/>
      <c r="J907" s="119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237"/>
    </row>
    <row r="908">
      <c r="F908" s="119"/>
      <c r="G908" s="119"/>
      <c r="H908" s="120"/>
      <c r="I908" s="119"/>
      <c r="J908" s="119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237"/>
    </row>
    <row r="909">
      <c r="F909" s="119"/>
      <c r="G909" s="119"/>
      <c r="H909" s="120"/>
      <c r="I909" s="119"/>
      <c r="J909" s="119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237"/>
    </row>
    <row r="910">
      <c r="F910" s="119"/>
      <c r="G910" s="119"/>
      <c r="H910" s="120"/>
      <c r="I910" s="119"/>
      <c r="J910" s="119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237"/>
    </row>
    <row r="911">
      <c r="F911" s="119"/>
      <c r="G911" s="119"/>
      <c r="H911" s="120"/>
      <c r="I911" s="119"/>
      <c r="J911" s="119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237"/>
    </row>
    <row r="912">
      <c r="F912" s="119"/>
      <c r="G912" s="119"/>
      <c r="H912" s="120"/>
      <c r="I912" s="119"/>
      <c r="J912" s="119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237"/>
    </row>
    <row r="913">
      <c r="F913" s="119"/>
      <c r="G913" s="119"/>
      <c r="H913" s="120"/>
      <c r="I913" s="119"/>
      <c r="J913" s="119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237"/>
    </row>
    <row r="914">
      <c r="F914" s="119"/>
      <c r="G914" s="119"/>
      <c r="H914" s="120"/>
      <c r="I914" s="119"/>
      <c r="J914" s="119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237"/>
    </row>
    <row r="915">
      <c r="F915" s="119"/>
      <c r="G915" s="119"/>
      <c r="H915" s="120"/>
      <c r="I915" s="119"/>
      <c r="J915" s="119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237"/>
    </row>
    <row r="916">
      <c r="F916" s="119"/>
      <c r="G916" s="119"/>
      <c r="H916" s="120"/>
      <c r="I916" s="119"/>
      <c r="J916" s="119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237"/>
    </row>
    <row r="917">
      <c r="F917" s="119"/>
      <c r="G917" s="119"/>
      <c r="H917" s="120"/>
      <c r="I917" s="119"/>
      <c r="J917" s="119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237"/>
    </row>
    <row r="918">
      <c r="F918" s="119"/>
      <c r="G918" s="119"/>
      <c r="H918" s="120"/>
      <c r="I918" s="119"/>
      <c r="J918" s="119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237"/>
    </row>
    <row r="919">
      <c r="F919" s="119"/>
      <c r="G919" s="119"/>
      <c r="H919" s="120"/>
      <c r="I919" s="119"/>
      <c r="J919" s="119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237"/>
    </row>
    <row r="920">
      <c r="F920" s="119"/>
      <c r="G920" s="119"/>
      <c r="H920" s="120"/>
      <c r="I920" s="119"/>
      <c r="J920" s="119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237"/>
    </row>
    <row r="921">
      <c r="F921" s="119"/>
      <c r="G921" s="119"/>
      <c r="H921" s="120"/>
      <c r="I921" s="119"/>
      <c r="J921" s="119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237"/>
    </row>
    <row r="922">
      <c r="F922" s="119"/>
      <c r="G922" s="119"/>
      <c r="H922" s="120"/>
      <c r="I922" s="119"/>
      <c r="J922" s="119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237"/>
    </row>
    <row r="923">
      <c r="F923" s="119"/>
      <c r="G923" s="119"/>
      <c r="H923" s="120"/>
      <c r="I923" s="119"/>
      <c r="J923" s="119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237"/>
    </row>
    <row r="924">
      <c r="F924" s="119"/>
      <c r="G924" s="119"/>
      <c r="H924" s="120"/>
      <c r="I924" s="119"/>
      <c r="J924" s="119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237"/>
    </row>
    <row r="925">
      <c r="F925" s="119"/>
      <c r="G925" s="119"/>
      <c r="H925" s="120"/>
      <c r="I925" s="119"/>
      <c r="J925" s="119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237"/>
    </row>
    <row r="926">
      <c r="F926" s="119"/>
      <c r="G926" s="119"/>
      <c r="H926" s="120"/>
      <c r="I926" s="119"/>
      <c r="J926" s="119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237"/>
    </row>
    <row r="927">
      <c r="F927" s="119"/>
      <c r="G927" s="119"/>
      <c r="H927" s="120"/>
      <c r="I927" s="119"/>
      <c r="J927" s="119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237"/>
    </row>
    <row r="928">
      <c r="F928" s="119"/>
      <c r="G928" s="119"/>
      <c r="H928" s="120"/>
      <c r="I928" s="119"/>
      <c r="J928" s="119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237"/>
    </row>
    <row r="929">
      <c r="F929" s="119"/>
      <c r="G929" s="119"/>
      <c r="H929" s="120"/>
      <c r="I929" s="119"/>
      <c r="J929" s="119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237"/>
    </row>
    <row r="930">
      <c r="F930" s="119"/>
      <c r="G930" s="119"/>
      <c r="H930" s="120"/>
      <c r="I930" s="119"/>
      <c r="J930" s="119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237"/>
    </row>
    <row r="931">
      <c r="F931" s="119"/>
      <c r="G931" s="119"/>
      <c r="H931" s="120"/>
      <c r="I931" s="119"/>
      <c r="J931" s="119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237"/>
    </row>
    <row r="932">
      <c r="F932" s="119"/>
      <c r="G932" s="119"/>
      <c r="H932" s="120"/>
      <c r="I932" s="119"/>
      <c r="J932" s="119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237"/>
    </row>
    <row r="933">
      <c r="F933" s="119"/>
      <c r="G933" s="119"/>
      <c r="H933" s="120"/>
      <c r="I933" s="119"/>
      <c r="J933" s="119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237"/>
    </row>
    <row r="934">
      <c r="F934" s="119"/>
      <c r="G934" s="119"/>
      <c r="H934" s="120"/>
      <c r="I934" s="119"/>
      <c r="J934" s="119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237"/>
    </row>
    <row r="935">
      <c r="F935" s="119"/>
      <c r="G935" s="119"/>
      <c r="H935" s="120"/>
      <c r="I935" s="119"/>
      <c r="J935" s="119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237"/>
    </row>
    <row r="936">
      <c r="F936" s="119"/>
      <c r="G936" s="119"/>
      <c r="H936" s="120"/>
      <c r="I936" s="119"/>
      <c r="J936" s="119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237"/>
    </row>
    <row r="937">
      <c r="F937" s="119"/>
      <c r="G937" s="119"/>
      <c r="H937" s="120"/>
      <c r="I937" s="119"/>
      <c r="J937" s="119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237"/>
    </row>
    <row r="938">
      <c r="F938" s="119"/>
      <c r="G938" s="119"/>
      <c r="H938" s="120"/>
      <c r="I938" s="119"/>
      <c r="J938" s="119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237"/>
    </row>
    <row r="939">
      <c r="F939" s="119"/>
      <c r="G939" s="119"/>
      <c r="H939" s="120"/>
      <c r="I939" s="119"/>
      <c r="J939" s="119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237"/>
    </row>
    <row r="940">
      <c r="F940" s="119"/>
      <c r="G940" s="119"/>
      <c r="H940" s="120"/>
      <c r="I940" s="119"/>
      <c r="J940" s="119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237"/>
    </row>
    <row r="941">
      <c r="F941" s="119"/>
      <c r="G941" s="119"/>
      <c r="H941" s="120"/>
      <c r="I941" s="119"/>
      <c r="J941" s="119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237"/>
    </row>
    <row r="942">
      <c r="F942" s="119"/>
      <c r="G942" s="119"/>
      <c r="H942" s="120"/>
      <c r="I942" s="119"/>
      <c r="J942" s="119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237"/>
    </row>
    <row r="943">
      <c r="F943" s="119"/>
      <c r="G943" s="119"/>
      <c r="H943" s="120"/>
      <c r="I943" s="119"/>
      <c r="J943" s="119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237"/>
    </row>
    <row r="944">
      <c r="F944" s="119"/>
      <c r="G944" s="119"/>
      <c r="H944" s="120"/>
      <c r="I944" s="119"/>
      <c r="J944" s="119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237"/>
    </row>
    <row r="945">
      <c r="F945" s="119"/>
      <c r="G945" s="119"/>
      <c r="H945" s="120"/>
      <c r="I945" s="119"/>
      <c r="J945" s="119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237"/>
    </row>
    <row r="946">
      <c r="F946" s="119"/>
      <c r="G946" s="119"/>
      <c r="H946" s="120"/>
      <c r="I946" s="119"/>
      <c r="J946" s="119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237"/>
    </row>
    <row r="947">
      <c r="F947" s="119"/>
      <c r="G947" s="119"/>
      <c r="H947" s="120"/>
      <c r="I947" s="119"/>
      <c r="J947" s="119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237"/>
    </row>
    <row r="948">
      <c r="F948" s="119"/>
      <c r="G948" s="119"/>
      <c r="H948" s="120"/>
      <c r="I948" s="119"/>
      <c r="J948" s="119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237"/>
    </row>
    <row r="949">
      <c r="F949" s="119"/>
      <c r="G949" s="119"/>
      <c r="H949" s="120"/>
      <c r="I949" s="119"/>
      <c r="J949" s="119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237"/>
    </row>
    <row r="950">
      <c r="F950" s="119"/>
      <c r="G950" s="119"/>
      <c r="H950" s="120"/>
      <c r="I950" s="119"/>
      <c r="J950" s="119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237"/>
    </row>
    <row r="951">
      <c r="F951" s="119"/>
      <c r="G951" s="119"/>
      <c r="H951" s="120"/>
      <c r="I951" s="119"/>
      <c r="J951" s="119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237"/>
    </row>
    <row r="952">
      <c r="F952" s="119"/>
      <c r="G952" s="119"/>
      <c r="H952" s="120"/>
      <c r="I952" s="119"/>
      <c r="J952" s="119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237"/>
    </row>
    <row r="953">
      <c r="F953" s="119"/>
      <c r="G953" s="119"/>
      <c r="H953" s="120"/>
      <c r="I953" s="119"/>
      <c r="J953" s="119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237"/>
    </row>
    <row r="954">
      <c r="F954" s="119"/>
      <c r="G954" s="119"/>
      <c r="H954" s="120"/>
      <c r="I954" s="119"/>
      <c r="J954" s="119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237"/>
    </row>
    <row r="955">
      <c r="F955" s="119"/>
      <c r="G955" s="119"/>
      <c r="H955" s="120"/>
      <c r="I955" s="119"/>
      <c r="J955" s="119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237"/>
    </row>
    <row r="956">
      <c r="F956" s="119"/>
      <c r="G956" s="119"/>
      <c r="H956" s="120"/>
      <c r="I956" s="119"/>
      <c r="J956" s="119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237"/>
    </row>
    <row r="957">
      <c r="F957" s="119"/>
      <c r="G957" s="119"/>
      <c r="H957" s="120"/>
      <c r="I957" s="119"/>
      <c r="J957" s="119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237"/>
    </row>
    <row r="958">
      <c r="F958" s="119"/>
      <c r="G958" s="119"/>
      <c r="H958" s="120"/>
      <c r="I958" s="119"/>
      <c r="J958" s="119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237"/>
    </row>
    <row r="959">
      <c r="F959" s="119"/>
      <c r="G959" s="119"/>
      <c r="H959" s="120"/>
      <c r="I959" s="119"/>
      <c r="J959" s="119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237"/>
    </row>
    <row r="960">
      <c r="F960" s="119"/>
      <c r="G960" s="119"/>
      <c r="H960" s="120"/>
      <c r="I960" s="119"/>
      <c r="J960" s="119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237"/>
    </row>
    <row r="961">
      <c r="F961" s="119"/>
      <c r="G961" s="119"/>
      <c r="H961" s="120"/>
      <c r="I961" s="119"/>
      <c r="J961" s="119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237"/>
    </row>
    <row r="962">
      <c r="F962" s="119"/>
      <c r="G962" s="119"/>
      <c r="H962" s="120"/>
      <c r="I962" s="119"/>
      <c r="J962" s="119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237"/>
    </row>
    <row r="963">
      <c r="F963" s="119"/>
      <c r="G963" s="119"/>
      <c r="H963" s="120"/>
      <c r="I963" s="119"/>
      <c r="J963" s="119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237"/>
    </row>
    <row r="964">
      <c r="F964" s="119"/>
      <c r="G964" s="119"/>
      <c r="H964" s="120"/>
      <c r="I964" s="119"/>
      <c r="J964" s="119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237"/>
    </row>
    <row r="965">
      <c r="F965" s="119"/>
      <c r="G965" s="119"/>
      <c r="H965" s="120"/>
      <c r="I965" s="119"/>
      <c r="J965" s="119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237"/>
    </row>
    <row r="966">
      <c r="F966" s="119"/>
      <c r="G966" s="119"/>
      <c r="H966" s="120"/>
      <c r="I966" s="119"/>
      <c r="J966" s="119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237"/>
    </row>
    <row r="967">
      <c r="F967" s="119"/>
      <c r="G967" s="119"/>
      <c r="H967" s="120"/>
      <c r="I967" s="119"/>
      <c r="J967" s="119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237"/>
    </row>
    <row r="968">
      <c r="F968" s="119"/>
      <c r="G968" s="119"/>
      <c r="H968" s="120"/>
      <c r="I968" s="119"/>
      <c r="J968" s="119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237"/>
    </row>
    <row r="969">
      <c r="F969" s="119"/>
      <c r="G969" s="119"/>
      <c r="H969" s="120"/>
      <c r="I969" s="119"/>
      <c r="J969" s="119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237"/>
    </row>
    <row r="970">
      <c r="F970" s="119"/>
      <c r="G970" s="119"/>
      <c r="H970" s="120"/>
      <c r="I970" s="119"/>
      <c r="J970" s="119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237"/>
    </row>
    <row r="971">
      <c r="F971" s="119"/>
      <c r="G971" s="119"/>
      <c r="H971" s="120"/>
      <c r="I971" s="119"/>
      <c r="J971" s="119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237"/>
    </row>
    <row r="972">
      <c r="F972" s="119"/>
      <c r="G972" s="119"/>
      <c r="H972" s="120"/>
      <c r="I972" s="119"/>
      <c r="J972" s="119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237"/>
    </row>
    <row r="973">
      <c r="F973" s="119"/>
      <c r="G973" s="119"/>
      <c r="H973" s="120"/>
      <c r="I973" s="119"/>
      <c r="J973" s="119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237"/>
    </row>
    <row r="974">
      <c r="F974" s="119"/>
      <c r="G974" s="119"/>
      <c r="H974" s="120"/>
      <c r="I974" s="119"/>
      <c r="J974" s="119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237"/>
    </row>
    <row r="975">
      <c r="F975" s="119"/>
      <c r="G975" s="119"/>
      <c r="H975" s="120"/>
      <c r="I975" s="119"/>
      <c r="J975" s="119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237"/>
    </row>
    <row r="976">
      <c r="F976" s="119"/>
      <c r="G976" s="119"/>
      <c r="H976" s="120"/>
      <c r="I976" s="119"/>
      <c r="J976" s="119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237"/>
    </row>
    <row r="977">
      <c r="F977" s="119"/>
      <c r="G977" s="119"/>
      <c r="H977" s="120"/>
      <c r="I977" s="119"/>
      <c r="J977" s="119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237"/>
    </row>
    <row r="978">
      <c r="F978" s="119"/>
      <c r="G978" s="119"/>
      <c r="H978" s="120"/>
      <c r="I978" s="119"/>
      <c r="J978" s="119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237"/>
    </row>
    <row r="979">
      <c r="F979" s="119"/>
      <c r="G979" s="119"/>
      <c r="H979" s="120"/>
      <c r="I979" s="119"/>
      <c r="J979" s="119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237"/>
    </row>
    <row r="980">
      <c r="F980" s="119"/>
      <c r="G980" s="119"/>
      <c r="H980" s="120"/>
      <c r="I980" s="119"/>
      <c r="J980" s="119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237"/>
    </row>
    <row r="981">
      <c r="F981" s="119"/>
      <c r="G981" s="119"/>
      <c r="H981" s="120"/>
      <c r="I981" s="119"/>
      <c r="J981" s="119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237"/>
    </row>
    <row r="982">
      <c r="F982" s="119"/>
      <c r="G982" s="119"/>
      <c r="H982" s="120"/>
      <c r="I982" s="119"/>
      <c r="J982" s="119"/>
      <c r="M982" s="2"/>
      <c r="N982" s="2"/>
      <c r="O982" s="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237"/>
    </row>
    <row r="983">
      <c r="F983" s="119"/>
      <c r="G983" s="119"/>
      <c r="H983" s="120"/>
      <c r="I983" s="119"/>
      <c r="J983" s="119"/>
      <c r="M983" s="2"/>
      <c r="N983" s="2"/>
      <c r="O983" s="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237"/>
    </row>
    <row r="984">
      <c r="F984" s="119"/>
      <c r="G984" s="119"/>
      <c r="H984" s="120"/>
      <c r="I984" s="119"/>
      <c r="J984" s="119"/>
      <c r="M984" s="2"/>
      <c r="N984" s="2"/>
      <c r="O984" s="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237"/>
    </row>
    <row r="985">
      <c r="F985" s="119"/>
      <c r="G985" s="119"/>
      <c r="H985" s="120"/>
      <c r="I985" s="119"/>
      <c r="J985" s="119"/>
      <c r="M985" s="2"/>
      <c r="N985" s="2"/>
      <c r="O985" s="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237"/>
    </row>
    <row r="986">
      <c r="F986" s="119"/>
      <c r="G986" s="119"/>
      <c r="H986" s="120"/>
      <c r="I986" s="119"/>
      <c r="J986" s="119"/>
      <c r="M986" s="2"/>
      <c r="N986" s="2"/>
      <c r="O986" s="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237"/>
    </row>
    <row r="987">
      <c r="F987" s="119"/>
      <c r="G987" s="119"/>
      <c r="H987" s="120"/>
      <c r="I987" s="119"/>
      <c r="J987" s="119"/>
      <c r="M987" s="2"/>
      <c r="N987" s="2"/>
      <c r="O987" s="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237"/>
    </row>
    <row r="988">
      <c r="F988" s="119"/>
      <c r="G988" s="119"/>
      <c r="H988" s="120"/>
      <c r="I988" s="119"/>
      <c r="J988" s="119"/>
      <c r="M988" s="2"/>
      <c r="N988" s="2"/>
      <c r="O988" s="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237"/>
    </row>
    <row r="989">
      <c r="F989" s="119"/>
      <c r="G989" s="119"/>
      <c r="H989" s="120"/>
      <c r="I989" s="119"/>
      <c r="J989" s="119"/>
      <c r="M989" s="2"/>
      <c r="N989" s="2"/>
      <c r="O989" s="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237"/>
    </row>
    <row r="990">
      <c r="F990" s="119"/>
      <c r="G990" s="119"/>
      <c r="H990" s="120"/>
      <c r="I990" s="119"/>
      <c r="J990" s="119"/>
      <c r="M990" s="2"/>
      <c r="N990" s="2"/>
      <c r="O990" s="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237"/>
    </row>
    <row r="991">
      <c r="F991" s="119"/>
      <c r="G991" s="119"/>
      <c r="H991" s="120"/>
      <c r="I991" s="119"/>
      <c r="J991" s="119"/>
      <c r="M991" s="2"/>
      <c r="N991" s="2"/>
      <c r="O991" s="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237"/>
    </row>
    <row r="992">
      <c r="F992" s="119"/>
      <c r="G992" s="119"/>
      <c r="H992" s="120"/>
      <c r="I992" s="119"/>
      <c r="J992" s="119"/>
      <c r="M992" s="2"/>
      <c r="N992" s="2"/>
      <c r="O992" s="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237"/>
    </row>
    <row r="993">
      <c r="F993" s="119"/>
      <c r="G993" s="119"/>
      <c r="H993" s="120"/>
      <c r="I993" s="119"/>
      <c r="J993" s="119"/>
      <c r="M993" s="2"/>
      <c r="N993" s="2"/>
      <c r="O993" s="2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237"/>
    </row>
    <row r="994">
      <c r="F994" s="119"/>
      <c r="G994" s="119"/>
      <c r="H994" s="120"/>
      <c r="I994" s="119"/>
      <c r="J994" s="119"/>
      <c r="M994" s="2"/>
      <c r="N994" s="2"/>
      <c r="O994" s="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237"/>
    </row>
    <row r="995">
      <c r="F995" s="119"/>
      <c r="G995" s="119"/>
      <c r="H995" s="120"/>
      <c r="I995" s="119"/>
      <c r="J995" s="119"/>
      <c r="M995" s="2"/>
      <c r="N995" s="2"/>
      <c r="O995" s="2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237"/>
    </row>
    <row r="996">
      <c r="F996" s="119"/>
      <c r="G996" s="119"/>
      <c r="H996" s="120"/>
      <c r="I996" s="119"/>
      <c r="J996" s="119"/>
      <c r="M996" s="2"/>
      <c r="N996" s="2"/>
      <c r="O996" s="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237"/>
    </row>
    <row r="997">
      <c r="F997" s="119"/>
      <c r="G997" s="119"/>
      <c r="H997" s="120"/>
      <c r="I997" s="119"/>
      <c r="J997" s="119"/>
      <c r="M997" s="2"/>
      <c r="N997" s="2"/>
      <c r="O997" s="2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237"/>
    </row>
    <row r="998">
      <c r="F998" s="119"/>
      <c r="G998" s="119"/>
      <c r="H998" s="120"/>
      <c r="I998" s="119"/>
      <c r="J998" s="119"/>
      <c r="M998" s="2"/>
      <c r="N998" s="2"/>
      <c r="O998" s="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237"/>
    </row>
    <row r="999">
      <c r="F999" s="119"/>
      <c r="G999" s="119"/>
      <c r="H999" s="120"/>
      <c r="I999" s="119"/>
      <c r="J999" s="119"/>
      <c r="M999" s="2"/>
      <c r="N999" s="2"/>
      <c r="O999" s="2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237"/>
    </row>
    <row r="1000">
      <c r="F1000" s="119"/>
      <c r="G1000" s="119"/>
      <c r="H1000" s="120"/>
      <c r="I1000" s="119"/>
      <c r="J1000" s="119"/>
      <c r="M1000" s="2"/>
      <c r="N1000" s="2"/>
      <c r="O1000" s="2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237"/>
    </row>
    <row r="1001">
      <c r="F1001" s="119"/>
      <c r="G1001" s="119"/>
      <c r="H1001" s="120"/>
      <c r="I1001" s="119"/>
      <c r="J1001" s="119"/>
      <c r="M1001" s="2"/>
      <c r="N1001" s="2"/>
      <c r="O1001" s="2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4"/>
      <c r="AE1001" s="237"/>
    </row>
    <row r="1002">
      <c r="F1002" s="119"/>
      <c r="G1002" s="119"/>
      <c r="H1002" s="120"/>
      <c r="I1002" s="119"/>
      <c r="J1002" s="119"/>
      <c r="M1002" s="2"/>
      <c r="N1002" s="2"/>
      <c r="O1002" s="2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4"/>
      <c r="AE1002" s="237"/>
    </row>
  </sheetData>
  <mergeCells count="61"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E10:AE11"/>
    <mergeCell ref="A1:AD1"/>
    <mergeCell ref="A2:AD2"/>
    <mergeCell ref="A3:AC3"/>
    <mergeCell ref="A4:AD4"/>
    <mergeCell ref="A5:AD5"/>
    <mergeCell ref="A7:AD7"/>
    <mergeCell ref="A10:A11"/>
    <mergeCell ref="AD10:AD11"/>
    <mergeCell ref="A24:A25"/>
    <mergeCell ref="A26:A27"/>
    <mergeCell ref="A28:A30"/>
    <mergeCell ref="A31:A33"/>
    <mergeCell ref="A34:A36"/>
    <mergeCell ref="A37:A39"/>
    <mergeCell ref="A40:A41"/>
    <mergeCell ref="A62:L62"/>
    <mergeCell ref="A63:L63"/>
    <mergeCell ref="A64:L64"/>
    <mergeCell ref="A65:L65"/>
    <mergeCell ref="A66:AD66"/>
    <mergeCell ref="A42:A44"/>
    <mergeCell ref="A45:A47"/>
    <mergeCell ref="A48:A49"/>
    <mergeCell ref="A50:A52"/>
    <mergeCell ref="A53:A55"/>
    <mergeCell ref="A56:A57"/>
    <mergeCell ref="A59:A6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B10:B11"/>
    <mergeCell ref="C10:C11"/>
    <mergeCell ref="A12:A14"/>
    <mergeCell ref="A15:A17"/>
    <mergeCell ref="A18:A19"/>
    <mergeCell ref="A20:A21"/>
    <mergeCell ref="A22:A2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3" max="3" width="13.0"/>
    <col customWidth="1" min="4" max="4" width="11.57"/>
    <col customWidth="1" min="5" max="5" width="0.43"/>
    <col customWidth="1" min="7" max="7" width="12.71"/>
    <col customWidth="1" min="8" max="8" width="25.0"/>
    <col customWidth="1" min="9" max="9" width="11.0"/>
    <col customWidth="1" min="10" max="10" width="13.86"/>
    <col customWidth="1" min="11" max="11" width="9.29"/>
    <col customWidth="1" min="12" max="12" width="37.57"/>
    <col customWidth="1" min="13" max="13" width="11.57"/>
    <col customWidth="1" min="17" max="17" width="7.86"/>
    <col customWidth="1" min="18" max="18" width="14.43"/>
    <col customWidth="1" min="19" max="19" width="14.86"/>
    <col customWidth="1" min="20" max="20" width="13.29"/>
    <col customWidth="1" min="21" max="21" width="14.14"/>
    <col customWidth="1" min="22" max="22" width="11.0"/>
    <col customWidth="1" min="23" max="23" width="10.71"/>
    <col customWidth="1" min="25" max="28" width="0.43"/>
  </cols>
  <sheetData>
    <row r="1">
      <c r="A1" s="295" t="s">
        <v>591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  <c r="AF1" s="237"/>
    </row>
    <row r="2">
      <c r="A2" s="8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  <c r="AF2" s="237"/>
    </row>
    <row r="3">
      <c r="A3" s="9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10"/>
      <c r="AF3" s="237"/>
    </row>
    <row r="4">
      <c r="A4" s="11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/>
      <c r="AF4" s="237"/>
    </row>
    <row r="5">
      <c r="A5" s="11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7"/>
      <c r="AF5" s="237"/>
    </row>
    <row r="6">
      <c r="A6" s="11"/>
      <c r="B6" s="12"/>
      <c r="C6" s="12"/>
      <c r="D6" s="12"/>
      <c r="E6" s="12"/>
      <c r="F6" s="121"/>
      <c r="G6" s="121"/>
      <c r="H6" s="122"/>
      <c r="I6" s="121"/>
      <c r="J6" s="121"/>
      <c r="K6" s="12"/>
      <c r="L6" s="12"/>
      <c r="M6" s="121"/>
      <c r="N6" s="13"/>
      <c r="O6" s="13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  <c r="AF6" s="237"/>
    </row>
    <row r="7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309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237"/>
    </row>
    <row r="8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309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237"/>
    </row>
    <row r="9">
      <c r="A9" s="310" t="s">
        <v>12</v>
      </c>
      <c r="B9" s="310" t="s">
        <v>15</v>
      </c>
      <c r="C9" s="310" t="s">
        <v>13</v>
      </c>
      <c r="D9" s="310" t="s">
        <v>14</v>
      </c>
      <c r="E9" s="310" t="s">
        <v>15</v>
      </c>
      <c r="F9" s="310" t="s">
        <v>16</v>
      </c>
      <c r="G9" s="310" t="s">
        <v>169</v>
      </c>
      <c r="H9" s="311" t="s">
        <v>23</v>
      </c>
      <c r="I9" s="310" t="s">
        <v>27</v>
      </c>
      <c r="J9" s="310" t="s">
        <v>30</v>
      </c>
      <c r="K9" s="310" t="s">
        <v>18</v>
      </c>
      <c r="L9" s="310" t="s">
        <v>31</v>
      </c>
      <c r="M9" s="310" t="s">
        <v>170</v>
      </c>
      <c r="N9" s="310" t="s">
        <v>21</v>
      </c>
      <c r="O9" s="312" t="s">
        <v>592</v>
      </c>
      <c r="P9" s="310" t="s">
        <v>22</v>
      </c>
      <c r="Q9" s="313" t="s">
        <v>24</v>
      </c>
      <c r="R9" s="313" t="s">
        <v>25</v>
      </c>
      <c r="S9" s="313" t="s">
        <v>174</v>
      </c>
      <c r="T9" s="313" t="s">
        <v>37</v>
      </c>
      <c r="U9" s="313" t="s">
        <v>39</v>
      </c>
      <c r="V9" s="313" t="s">
        <v>40</v>
      </c>
      <c r="W9" s="313" t="s">
        <v>43</v>
      </c>
      <c r="X9" s="313" t="s">
        <v>45</v>
      </c>
      <c r="Y9" s="313" t="s">
        <v>46</v>
      </c>
      <c r="Z9" s="313" t="s">
        <v>47</v>
      </c>
      <c r="AA9" s="313" t="s">
        <v>48</v>
      </c>
      <c r="AB9" s="314" t="s">
        <v>575</v>
      </c>
      <c r="AC9" s="313" t="s">
        <v>32</v>
      </c>
      <c r="AD9" s="313" t="s">
        <v>33</v>
      </c>
      <c r="AE9" s="238" t="s">
        <v>34</v>
      </c>
      <c r="AF9" s="239" t="s">
        <v>455</v>
      </c>
    </row>
    <row r="10" ht="42.0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240"/>
      <c r="AF10" s="30"/>
    </row>
    <row r="11">
      <c r="A11" s="277" t="s">
        <v>369</v>
      </c>
      <c r="B11" s="262" t="s">
        <v>544</v>
      </c>
      <c r="C11" s="297">
        <v>46205.0</v>
      </c>
      <c r="D11" s="297">
        <v>46205.0</v>
      </c>
      <c r="E11" s="298"/>
      <c r="F11" s="299" t="s">
        <v>113</v>
      </c>
      <c r="G11" s="300" t="s">
        <v>544</v>
      </c>
      <c r="H11" s="301"/>
      <c r="I11" s="299"/>
      <c r="J11" s="300" t="s">
        <v>593</v>
      </c>
      <c r="K11" s="302" t="s">
        <v>594</v>
      </c>
      <c r="L11" s="299" t="s">
        <v>595</v>
      </c>
      <c r="M11" s="315"/>
      <c r="N11" s="305">
        <v>1000000.0</v>
      </c>
      <c r="O11" s="305"/>
      <c r="P11" s="305">
        <v>1000000.0</v>
      </c>
      <c r="Q11" s="306"/>
      <c r="R11" s="307"/>
      <c r="S11" s="306"/>
      <c r="T11" s="306"/>
      <c r="U11" s="306"/>
      <c r="V11" s="306"/>
      <c r="W11" s="306"/>
      <c r="X11" s="241"/>
      <c r="Y11" s="306"/>
      <c r="Z11" s="306"/>
      <c r="AA11" s="306"/>
      <c r="AB11" s="306"/>
      <c r="AC11" s="306">
        <f>N11</f>
        <v>1000000</v>
      </c>
      <c r="AD11" s="306"/>
      <c r="AE11" s="316" t="s">
        <v>596</v>
      </c>
      <c r="AF11" s="241">
        <f t="shared" ref="AF11:AF16" si="1">AD11-AC11</f>
        <v>-1000000</v>
      </c>
    </row>
    <row r="12">
      <c r="A12" s="219"/>
      <c r="B12" s="262" t="s">
        <v>544</v>
      </c>
      <c r="C12" s="297">
        <v>46205.0</v>
      </c>
      <c r="D12" s="297">
        <v>46206.0</v>
      </c>
      <c r="E12" s="37"/>
      <c r="F12" s="263" t="s">
        <v>113</v>
      </c>
      <c r="G12" s="263" t="s">
        <v>544</v>
      </c>
      <c r="H12" s="264"/>
      <c r="I12" s="263" t="s">
        <v>597</v>
      </c>
      <c r="J12" s="263" t="s">
        <v>598</v>
      </c>
      <c r="K12" s="266" t="s">
        <v>238</v>
      </c>
      <c r="L12" s="263" t="s">
        <v>595</v>
      </c>
      <c r="M12" s="262">
        <v>1.0</v>
      </c>
      <c r="N12" s="304">
        <v>3600000.0</v>
      </c>
      <c r="O12" s="268">
        <f>900000+1000000</f>
        <v>1900000</v>
      </c>
      <c r="P12" s="268">
        <f>4500000/1.08</f>
        <v>4166666.667</v>
      </c>
      <c r="Q12" s="241"/>
      <c r="R12" s="45"/>
      <c r="S12" s="241"/>
      <c r="T12" s="241"/>
      <c r="U12" s="241"/>
      <c r="V12" s="241"/>
      <c r="W12" s="241"/>
      <c r="X12" s="317">
        <f>1263960/1.08</f>
        <v>1170333.333</v>
      </c>
      <c r="Y12" s="241"/>
      <c r="Z12" s="241"/>
      <c r="AA12" s="241"/>
      <c r="AB12" s="241"/>
      <c r="AC12" s="241">
        <f t="shared" ref="AC12:AC13" si="2">N12+O12</f>
        <v>5500000</v>
      </c>
      <c r="AD12" s="241">
        <f t="shared" ref="AD12:AD13" si="3">P12+X12</f>
        <v>5337000</v>
      </c>
      <c r="AE12" s="63"/>
      <c r="AF12" s="241">
        <f t="shared" si="1"/>
        <v>-163000</v>
      </c>
    </row>
    <row r="13">
      <c r="A13" s="30"/>
      <c r="B13" s="262" t="s">
        <v>544</v>
      </c>
      <c r="C13" s="297">
        <v>46205.0</v>
      </c>
      <c r="D13" s="297">
        <v>46209.0</v>
      </c>
      <c r="E13" s="37"/>
      <c r="F13" s="263" t="s">
        <v>561</v>
      </c>
      <c r="G13" s="263" t="s">
        <v>544</v>
      </c>
      <c r="H13" s="264"/>
      <c r="I13" s="263" t="s">
        <v>597</v>
      </c>
      <c r="J13" s="263" t="s">
        <v>600</v>
      </c>
      <c r="K13" s="266" t="s">
        <v>181</v>
      </c>
      <c r="L13" s="263" t="s">
        <v>601</v>
      </c>
      <c r="M13" s="262">
        <v>1.0</v>
      </c>
      <c r="N13" s="304">
        <v>3.0E7</v>
      </c>
      <c r="O13" s="268">
        <f>1836000+1500000+800000</f>
        <v>4136000</v>
      </c>
      <c r="P13" s="268">
        <f>53300000/1.08</f>
        <v>49351851.85</v>
      </c>
      <c r="Q13" s="241"/>
      <c r="R13" s="45"/>
      <c r="S13" s="241"/>
      <c r="T13" s="274"/>
      <c r="U13" s="274"/>
      <c r="V13" s="241"/>
      <c r="W13" s="241"/>
      <c r="X13" s="274">
        <f>8549573/1.08</f>
        <v>7916271.296</v>
      </c>
      <c r="Y13" s="241"/>
      <c r="Z13" s="241"/>
      <c r="AA13" s="241"/>
      <c r="AB13" s="274"/>
      <c r="AC13" s="274">
        <f t="shared" si="2"/>
        <v>34136000</v>
      </c>
      <c r="AD13" s="241">
        <f t="shared" si="3"/>
        <v>57268123.15</v>
      </c>
      <c r="AE13" s="63"/>
      <c r="AF13" s="241">
        <f t="shared" si="1"/>
        <v>23132123.15</v>
      </c>
    </row>
    <row r="14">
      <c r="A14" s="277" t="s">
        <v>602</v>
      </c>
      <c r="B14" s="262" t="s">
        <v>459</v>
      </c>
      <c r="C14" s="288">
        <v>46212.0</v>
      </c>
      <c r="D14" s="288">
        <v>46213.0</v>
      </c>
      <c r="E14" s="37"/>
      <c r="F14" s="263" t="s">
        <v>113</v>
      </c>
      <c r="G14" s="263" t="s">
        <v>603</v>
      </c>
      <c r="H14" s="49"/>
      <c r="I14" s="263"/>
      <c r="J14" s="263"/>
      <c r="K14" s="266"/>
      <c r="L14" s="263" t="s">
        <v>576</v>
      </c>
      <c r="M14" s="262"/>
      <c r="N14" s="278">
        <v>859273.0</v>
      </c>
      <c r="O14" s="318"/>
      <c r="P14" s="269">
        <v>1389000.0</v>
      </c>
      <c r="Q14" s="274"/>
      <c r="R14" s="269"/>
      <c r="S14" s="241"/>
      <c r="T14" s="241"/>
      <c r="U14" s="241"/>
      <c r="V14" s="241"/>
      <c r="W14" s="241"/>
      <c r="X14" s="241"/>
      <c r="Y14" s="241"/>
      <c r="Z14" s="241"/>
      <c r="AA14" s="241"/>
      <c r="AB14" s="274"/>
      <c r="AC14" s="241">
        <f t="shared" ref="AC14:AC16" si="4">N14</f>
        <v>859273</v>
      </c>
      <c r="AD14" s="241">
        <f t="shared" ref="AD14:AD15" si="5">P14</f>
        <v>1389000</v>
      </c>
      <c r="AE14" s="137"/>
      <c r="AF14" s="241">
        <f t="shared" si="1"/>
        <v>529727</v>
      </c>
    </row>
    <row r="15">
      <c r="A15" s="219"/>
      <c r="B15" s="262" t="s">
        <v>459</v>
      </c>
      <c r="C15" s="288">
        <v>46212.0</v>
      </c>
      <c r="D15" s="288">
        <v>46212.0</v>
      </c>
      <c r="E15" s="288">
        <v>46213.0</v>
      </c>
      <c r="F15" s="263" t="s">
        <v>113</v>
      </c>
      <c r="G15" s="263" t="s">
        <v>603</v>
      </c>
      <c r="H15" s="49"/>
      <c r="I15" s="37"/>
      <c r="J15" s="263"/>
      <c r="K15" s="266"/>
      <c r="L15" s="263" t="s">
        <v>189</v>
      </c>
      <c r="M15" s="262"/>
      <c r="N15" s="278">
        <v>1920000.0</v>
      </c>
      <c r="O15" s="319"/>
      <c r="P15" s="269">
        <v>2500000.0</v>
      </c>
      <c r="Q15" s="241"/>
      <c r="R15" s="45"/>
      <c r="S15" s="241"/>
      <c r="T15" s="45"/>
      <c r="U15" s="45"/>
      <c r="V15" s="45"/>
      <c r="W15" s="45"/>
      <c r="X15" s="45"/>
      <c r="Y15" s="241"/>
      <c r="Z15" s="241"/>
      <c r="AA15" s="241"/>
      <c r="AB15" s="241"/>
      <c r="AC15" s="241">
        <f t="shared" si="4"/>
        <v>1920000</v>
      </c>
      <c r="AD15" s="241">
        <f t="shared" si="5"/>
        <v>2500000</v>
      </c>
      <c r="AE15" s="137"/>
      <c r="AF15" s="241">
        <f t="shared" si="1"/>
        <v>580000</v>
      </c>
    </row>
    <row r="16">
      <c r="A16" s="30"/>
      <c r="B16" s="262" t="s">
        <v>459</v>
      </c>
      <c r="C16" s="288">
        <v>46212.0</v>
      </c>
      <c r="D16" s="288">
        <v>46212.0</v>
      </c>
      <c r="E16" s="288">
        <v>46213.0</v>
      </c>
      <c r="F16" s="263" t="s">
        <v>113</v>
      </c>
      <c r="G16" s="263" t="s">
        <v>603</v>
      </c>
      <c r="H16" s="49"/>
      <c r="I16" s="263" t="s">
        <v>604</v>
      </c>
      <c r="J16" s="263" t="s">
        <v>605</v>
      </c>
      <c r="K16" s="266" t="s">
        <v>181</v>
      </c>
      <c r="L16" s="263" t="s">
        <v>606</v>
      </c>
      <c r="M16" s="262">
        <v>1.0</v>
      </c>
      <c r="N16" s="278">
        <f>1506363+7300000</f>
        <v>8806363</v>
      </c>
      <c r="O16" s="319"/>
      <c r="P16" s="269">
        <v>7962962.0</v>
      </c>
      <c r="Q16" s="241"/>
      <c r="R16" s="45"/>
      <c r="S16" s="241"/>
      <c r="T16" s="269">
        <v>329629.0</v>
      </c>
      <c r="U16" s="269">
        <v>164814.0</v>
      </c>
      <c r="V16" s="45"/>
      <c r="W16" s="45"/>
      <c r="X16" s="269">
        <v>875000.0</v>
      </c>
      <c r="Y16" s="241"/>
      <c r="Z16" s="241"/>
      <c r="AA16" s="241"/>
      <c r="AB16" s="241"/>
      <c r="AC16" s="241">
        <f t="shared" si="4"/>
        <v>8806363</v>
      </c>
      <c r="AD16" s="241">
        <f>sum(P16,R16:X16)</f>
        <v>9332405</v>
      </c>
      <c r="AE16" s="137"/>
      <c r="AF16" s="241">
        <f t="shared" si="1"/>
        <v>526042</v>
      </c>
    </row>
    <row r="17">
      <c r="A17" s="281" t="s">
        <v>380</v>
      </c>
      <c r="B17" s="262" t="s">
        <v>544</v>
      </c>
      <c r="C17" s="288">
        <v>46218.0</v>
      </c>
      <c r="D17" s="288">
        <v>46218.0</v>
      </c>
      <c r="E17" s="37"/>
      <c r="F17" s="263" t="s">
        <v>176</v>
      </c>
      <c r="G17" s="263" t="s">
        <v>544</v>
      </c>
      <c r="H17" s="49"/>
      <c r="I17" s="37"/>
      <c r="J17" s="263"/>
      <c r="K17" s="266"/>
      <c r="L17" s="263" t="s">
        <v>189</v>
      </c>
      <c r="M17" s="262"/>
      <c r="N17" s="43"/>
      <c r="O17" s="319"/>
      <c r="P17" s="45"/>
      <c r="Q17" s="241"/>
      <c r="R17" s="45"/>
      <c r="S17" s="241"/>
      <c r="T17" s="45"/>
      <c r="U17" s="45"/>
      <c r="V17" s="45"/>
      <c r="W17" s="45"/>
      <c r="X17" s="45"/>
      <c r="Y17" s="241"/>
      <c r="Z17" s="241"/>
      <c r="AA17" s="241"/>
      <c r="AB17" s="241"/>
      <c r="AC17" s="241"/>
      <c r="AD17" s="241"/>
      <c r="AE17" s="320"/>
      <c r="AF17" s="241"/>
    </row>
    <row r="18">
      <c r="A18" s="219"/>
      <c r="B18" s="262" t="s">
        <v>544</v>
      </c>
      <c r="C18" s="288">
        <v>46219.0</v>
      </c>
      <c r="D18" s="288">
        <v>46220.0</v>
      </c>
      <c r="E18" s="37"/>
      <c r="F18" s="263" t="s">
        <v>561</v>
      </c>
      <c r="G18" s="263" t="s">
        <v>544</v>
      </c>
      <c r="H18" s="49"/>
      <c r="I18" s="37"/>
      <c r="J18" s="263" t="s">
        <v>570</v>
      </c>
      <c r="K18" s="266" t="s">
        <v>181</v>
      </c>
      <c r="L18" s="263" t="s">
        <v>607</v>
      </c>
      <c r="M18" s="262">
        <v>1.0</v>
      </c>
      <c r="N18" s="321">
        <v>6000000.0</v>
      </c>
      <c r="O18" s="322">
        <f>4104000+3240000</f>
        <v>7344000</v>
      </c>
      <c r="P18" s="269">
        <f>14400000/1.08</f>
        <v>13333333.33</v>
      </c>
      <c r="Q18" s="241"/>
      <c r="R18" s="45"/>
      <c r="S18" s="241"/>
      <c r="T18" s="45"/>
      <c r="U18" s="45"/>
      <c r="V18" s="45"/>
      <c r="W18" s="45"/>
      <c r="X18" s="269">
        <f>3991913/1.08</f>
        <v>3696215.741</v>
      </c>
      <c r="Y18" s="241"/>
      <c r="Z18" s="241"/>
      <c r="AA18" s="241"/>
      <c r="AB18" s="241"/>
      <c r="AC18" s="241">
        <f t="shared" ref="AC18:AC19" si="6">N18+O18</f>
        <v>13344000</v>
      </c>
      <c r="AD18" s="241">
        <f t="shared" ref="AD18:AD19" si="7">X18+P18</f>
        <v>17029549.07</v>
      </c>
      <c r="AE18" s="283"/>
      <c r="AF18" s="241">
        <f t="shared" ref="AF18:AF19" si="8">AD18-AC18</f>
        <v>3685549.074</v>
      </c>
    </row>
    <row r="19">
      <c r="A19" s="30"/>
      <c r="B19" s="262" t="s">
        <v>544</v>
      </c>
      <c r="C19" s="288">
        <v>46219.0</v>
      </c>
      <c r="D19" s="288">
        <v>46223.0</v>
      </c>
      <c r="E19" s="37"/>
      <c r="F19" s="263" t="s">
        <v>561</v>
      </c>
      <c r="G19" s="263" t="s">
        <v>544</v>
      </c>
      <c r="H19" s="49"/>
      <c r="I19" s="37"/>
      <c r="J19" s="263" t="s">
        <v>608</v>
      </c>
      <c r="K19" s="266" t="s">
        <v>609</v>
      </c>
      <c r="L19" s="263" t="s">
        <v>610</v>
      </c>
      <c r="M19" s="262">
        <v>1.0</v>
      </c>
      <c r="N19" s="321">
        <v>3.4E7</v>
      </c>
      <c r="O19" s="323">
        <f>4320000+2300000+1500000+2000000</f>
        <v>10120000</v>
      </c>
      <c r="P19" s="269">
        <f>65600000/1.08</f>
        <v>60740740.74</v>
      </c>
      <c r="Q19" s="241"/>
      <c r="R19" s="45"/>
      <c r="S19" s="241"/>
      <c r="T19" s="45"/>
      <c r="U19" s="45"/>
      <c r="V19" s="45"/>
      <c r="W19" s="45"/>
      <c r="X19" s="269">
        <f>9255947/1.08</f>
        <v>8570321.296</v>
      </c>
      <c r="Y19" s="241"/>
      <c r="Z19" s="241"/>
      <c r="AA19" s="241"/>
      <c r="AB19" s="241"/>
      <c r="AC19" s="241">
        <f t="shared" si="6"/>
        <v>44120000</v>
      </c>
      <c r="AD19" s="241">
        <f t="shared" si="7"/>
        <v>69311062.04</v>
      </c>
      <c r="AE19" s="283"/>
      <c r="AF19" s="241">
        <f t="shared" si="8"/>
        <v>25191062.04</v>
      </c>
    </row>
    <row r="20">
      <c r="A20" s="281" t="s">
        <v>384</v>
      </c>
      <c r="B20" s="262" t="s">
        <v>315</v>
      </c>
      <c r="C20" s="288">
        <v>46224.0</v>
      </c>
      <c r="D20" s="44"/>
      <c r="E20" s="37"/>
      <c r="F20" s="37"/>
      <c r="G20" s="263" t="s">
        <v>315</v>
      </c>
      <c r="H20" s="49"/>
      <c r="I20" s="37"/>
      <c r="J20" s="37"/>
      <c r="K20" s="42"/>
      <c r="L20" s="263" t="s">
        <v>189</v>
      </c>
      <c r="M20" s="177"/>
      <c r="N20" s="74"/>
      <c r="O20" s="319"/>
      <c r="P20" s="45"/>
      <c r="Q20" s="241"/>
      <c r="R20" s="45"/>
      <c r="S20" s="241"/>
      <c r="T20" s="45"/>
      <c r="U20" s="45"/>
      <c r="V20" s="45"/>
      <c r="W20" s="45"/>
      <c r="X20" s="45"/>
      <c r="Y20" s="241"/>
      <c r="Z20" s="241"/>
      <c r="AA20" s="241"/>
      <c r="AB20" s="241"/>
      <c r="AC20" s="241"/>
      <c r="AD20" s="241"/>
      <c r="AE20" s="137"/>
      <c r="AF20" s="241"/>
    </row>
    <row r="21">
      <c r="A21" s="30"/>
      <c r="B21" s="262" t="s">
        <v>315</v>
      </c>
      <c r="C21" s="288">
        <v>46224.0</v>
      </c>
      <c r="D21" s="44"/>
      <c r="E21" s="44"/>
      <c r="F21" s="37"/>
      <c r="G21" s="263" t="s">
        <v>315</v>
      </c>
      <c r="H21" s="49"/>
      <c r="I21" s="37"/>
      <c r="J21" s="37"/>
      <c r="K21" s="42"/>
      <c r="L21" s="263" t="s">
        <v>567</v>
      </c>
      <c r="M21" s="262">
        <v>1.0</v>
      </c>
      <c r="N21" s="74"/>
      <c r="O21" s="319"/>
      <c r="P21" s="45"/>
      <c r="Q21" s="241"/>
      <c r="R21" s="45"/>
      <c r="S21" s="241"/>
      <c r="T21" s="45"/>
      <c r="U21" s="45"/>
      <c r="V21" s="45"/>
      <c r="W21" s="45"/>
      <c r="X21" s="45"/>
      <c r="Y21" s="241"/>
      <c r="Z21" s="241"/>
      <c r="AA21" s="241"/>
      <c r="AB21" s="241"/>
      <c r="AC21" s="241"/>
      <c r="AD21" s="241"/>
      <c r="AE21" s="137"/>
      <c r="AF21" s="241"/>
    </row>
    <row r="22">
      <c r="A22" s="281" t="s">
        <v>389</v>
      </c>
      <c r="B22" s="262" t="s">
        <v>544</v>
      </c>
      <c r="C22" s="288">
        <v>46226.0</v>
      </c>
      <c r="D22" s="288">
        <v>46226.0</v>
      </c>
      <c r="E22" s="37"/>
      <c r="F22" s="263" t="s">
        <v>176</v>
      </c>
      <c r="G22" s="263" t="s">
        <v>544</v>
      </c>
      <c r="H22" s="49"/>
      <c r="I22" s="37"/>
      <c r="J22" s="37"/>
      <c r="K22" s="42"/>
      <c r="L22" s="263" t="s">
        <v>576</v>
      </c>
      <c r="M22" s="177"/>
      <c r="N22" s="74"/>
      <c r="O22" s="319"/>
      <c r="P22" s="45"/>
      <c r="Q22" s="241"/>
      <c r="R22" s="45"/>
      <c r="S22" s="241"/>
      <c r="T22" s="45"/>
      <c r="U22" s="45"/>
      <c r="V22" s="45"/>
      <c r="W22" s="45"/>
      <c r="X22" s="45"/>
      <c r="Y22" s="241"/>
      <c r="Z22" s="241"/>
      <c r="AA22" s="241"/>
      <c r="AB22" s="241"/>
      <c r="AC22" s="241"/>
      <c r="AD22" s="241"/>
      <c r="AE22" s="137"/>
      <c r="AF22" s="241"/>
    </row>
    <row r="23">
      <c r="A23" s="219"/>
      <c r="B23" s="262" t="s">
        <v>544</v>
      </c>
      <c r="C23" s="288">
        <v>46227.0</v>
      </c>
      <c r="D23" s="288">
        <v>46227.0</v>
      </c>
      <c r="E23" s="37"/>
      <c r="F23" s="263" t="s">
        <v>176</v>
      </c>
      <c r="G23" s="263" t="s">
        <v>544</v>
      </c>
      <c r="H23" s="49"/>
      <c r="I23" s="68"/>
      <c r="J23" s="263" t="s">
        <v>614</v>
      </c>
      <c r="K23" s="266" t="s">
        <v>270</v>
      </c>
      <c r="L23" s="263" t="s">
        <v>189</v>
      </c>
      <c r="M23" s="262">
        <v>1.0</v>
      </c>
      <c r="N23" s="74"/>
      <c r="O23" s="319"/>
      <c r="P23" s="45"/>
      <c r="Q23" s="241"/>
      <c r="R23" s="45"/>
      <c r="S23" s="241"/>
      <c r="T23" s="45"/>
      <c r="U23" s="45"/>
      <c r="V23" s="45"/>
      <c r="W23" s="45"/>
      <c r="X23" s="45"/>
      <c r="Y23" s="241"/>
      <c r="Z23" s="241"/>
      <c r="AA23" s="241"/>
      <c r="AB23" s="241"/>
      <c r="AC23" s="241"/>
      <c r="AD23" s="241"/>
      <c r="AE23" s="137"/>
      <c r="AF23" s="241"/>
    </row>
    <row r="24">
      <c r="A24" s="30"/>
      <c r="B24" s="262" t="s">
        <v>544</v>
      </c>
      <c r="C24" s="288">
        <v>46227.0</v>
      </c>
      <c r="D24" s="288">
        <v>46227.0</v>
      </c>
      <c r="E24" s="37"/>
      <c r="F24" s="263" t="s">
        <v>615</v>
      </c>
      <c r="G24" s="263" t="s">
        <v>544</v>
      </c>
      <c r="H24" s="49"/>
      <c r="I24" s="68"/>
      <c r="J24" s="37"/>
      <c r="K24" s="42"/>
      <c r="L24" s="263" t="s">
        <v>616</v>
      </c>
      <c r="M24" s="177"/>
      <c r="N24" s="74"/>
      <c r="O24" s="319"/>
      <c r="P24" s="45"/>
      <c r="Q24" s="241"/>
      <c r="R24" s="45"/>
      <c r="S24" s="241"/>
      <c r="T24" s="45"/>
      <c r="U24" s="45"/>
      <c r="V24" s="45"/>
      <c r="W24" s="45"/>
      <c r="X24" s="45"/>
      <c r="Y24" s="241"/>
      <c r="Z24" s="241"/>
      <c r="AA24" s="241"/>
      <c r="AB24" s="241"/>
      <c r="AC24" s="241"/>
      <c r="AD24" s="241"/>
      <c r="AE24" s="137"/>
      <c r="AF24" s="241"/>
    </row>
    <row r="25">
      <c r="A25" s="281"/>
      <c r="B25" s="262" t="s">
        <v>617</v>
      </c>
      <c r="C25" s="288">
        <v>46230.0</v>
      </c>
      <c r="D25" s="288">
        <v>46230.0</v>
      </c>
      <c r="E25" s="44"/>
      <c r="F25" s="263" t="s">
        <v>176</v>
      </c>
      <c r="G25" s="263" t="s">
        <v>617</v>
      </c>
      <c r="H25" s="49"/>
      <c r="I25" s="37"/>
      <c r="J25" s="37"/>
      <c r="K25" s="42"/>
      <c r="L25" s="263" t="s">
        <v>189</v>
      </c>
      <c r="M25" s="177"/>
      <c r="N25" s="74"/>
      <c r="O25" s="319"/>
      <c r="P25" s="45"/>
      <c r="Q25" s="241"/>
      <c r="R25" s="45"/>
      <c r="S25" s="241"/>
      <c r="T25" s="45"/>
      <c r="U25" s="45"/>
      <c r="V25" s="45"/>
      <c r="W25" s="45"/>
      <c r="X25" s="45"/>
      <c r="Y25" s="241"/>
      <c r="Z25" s="241"/>
      <c r="AA25" s="241"/>
      <c r="AB25" s="241"/>
      <c r="AC25" s="241"/>
      <c r="AD25" s="241"/>
      <c r="AE25" s="137"/>
      <c r="AF25" s="241"/>
    </row>
    <row r="26">
      <c r="A26" s="30"/>
      <c r="B26" s="262" t="s">
        <v>617</v>
      </c>
      <c r="C26" s="288">
        <v>46230.0</v>
      </c>
      <c r="D26" s="263" t="s">
        <v>618</v>
      </c>
      <c r="E26" s="44"/>
      <c r="F26" s="263" t="s">
        <v>561</v>
      </c>
      <c r="G26" s="263" t="s">
        <v>617</v>
      </c>
      <c r="H26" s="49"/>
      <c r="I26" s="37"/>
      <c r="J26" s="263" t="s">
        <v>619</v>
      </c>
      <c r="K26" s="266" t="s">
        <v>181</v>
      </c>
      <c r="L26" s="263" t="s">
        <v>572</v>
      </c>
      <c r="M26" s="262">
        <v>1.0</v>
      </c>
      <c r="N26" s="74"/>
      <c r="O26" s="319"/>
      <c r="P26" s="45"/>
      <c r="Q26" s="241"/>
      <c r="R26" s="45"/>
      <c r="S26" s="241"/>
      <c r="T26" s="45"/>
      <c r="U26" s="45"/>
      <c r="V26" s="45"/>
      <c r="W26" s="45"/>
      <c r="X26" s="45"/>
      <c r="Y26" s="241"/>
      <c r="Z26" s="241"/>
      <c r="AA26" s="241"/>
      <c r="AB26" s="241"/>
      <c r="AC26" s="241"/>
      <c r="AD26" s="241"/>
      <c r="AE26" s="137"/>
      <c r="AF26" s="241"/>
    </row>
    <row r="27">
      <c r="A27" s="79" t="s">
        <v>73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1"/>
      <c r="M27" s="270">
        <f>SUM(M12:M26)</f>
        <v>8</v>
      </c>
      <c r="N27" s="43"/>
      <c r="O27" s="214"/>
      <c r="P27" s="214"/>
      <c r="Q27" s="59"/>
      <c r="R27" s="47"/>
      <c r="S27" s="60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91">
        <f>SUM(AD12:AD26)</f>
        <v>162167139.3</v>
      </c>
      <c r="AE27" s="272"/>
      <c r="AF27" s="273">
        <f>SUM(AF11:AF21)</f>
        <v>52481503.26</v>
      </c>
    </row>
    <row r="28" ht="19.5" customHeight="1">
      <c r="A28" s="79" t="s">
        <v>76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1"/>
      <c r="M28" s="331"/>
      <c r="N28" s="83"/>
      <c r="O28" s="83"/>
      <c r="P28" s="83"/>
      <c r="Q28" s="83"/>
      <c r="R28" s="83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91">
        <f>AD27</f>
        <v>162167139.3</v>
      </c>
      <c r="AE28" s="85"/>
      <c r="AF28" s="85"/>
    </row>
    <row r="29">
      <c r="A29" s="79" t="s">
        <v>86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1"/>
      <c r="M29" s="331"/>
      <c r="N29" s="83"/>
      <c r="O29" s="83"/>
      <c r="P29" s="83"/>
      <c r="Q29" s="83"/>
      <c r="R29" s="83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91">
        <f>AD28*8%</f>
        <v>12973371.14</v>
      </c>
      <c r="AE29" s="85"/>
      <c r="AF29" s="85"/>
    </row>
    <row r="30">
      <c r="A30" s="79" t="s">
        <v>88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1"/>
      <c r="M30" s="331"/>
      <c r="N30" s="83"/>
      <c r="O30" s="83"/>
      <c r="P30" s="83"/>
      <c r="Q30" s="83"/>
      <c r="R30" s="83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91">
        <f>AD28+AD29</f>
        <v>175140510.4</v>
      </c>
      <c r="AE30" s="85"/>
      <c r="AF30" s="85"/>
    </row>
    <row r="31">
      <c r="A31" s="93" t="s">
        <v>89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280"/>
      <c r="AF31" s="40"/>
    </row>
    <row r="32">
      <c r="M32" s="333"/>
    </row>
    <row r="33">
      <c r="M33" s="333"/>
    </row>
    <row r="34">
      <c r="M34" s="333"/>
      <c r="S34" s="335"/>
    </row>
    <row r="36">
      <c r="M36" s="333"/>
      <c r="S36" s="335"/>
    </row>
    <row r="37">
      <c r="M37" s="333"/>
      <c r="S37" s="335"/>
      <c r="AB37" s="336"/>
    </row>
    <row r="38">
      <c r="M38" s="333"/>
      <c r="S38" s="335"/>
    </row>
    <row r="40">
      <c r="M40" s="333"/>
    </row>
    <row r="41">
      <c r="M41" s="333"/>
    </row>
    <row r="42">
      <c r="M42" s="333"/>
    </row>
    <row r="43">
      <c r="M43" s="333"/>
    </row>
    <row r="44">
      <c r="M44" s="333"/>
    </row>
    <row r="45">
      <c r="M45" s="333"/>
    </row>
    <row r="46">
      <c r="M46" s="333"/>
    </row>
    <row r="47">
      <c r="M47" s="333"/>
    </row>
    <row r="48">
      <c r="M48" s="333"/>
    </row>
    <row r="49">
      <c r="M49" s="333"/>
    </row>
    <row r="50">
      <c r="M50" s="333"/>
    </row>
    <row r="51">
      <c r="M51" s="333"/>
    </row>
    <row r="52">
      <c r="M52" s="333"/>
    </row>
    <row r="53">
      <c r="M53" s="333"/>
    </row>
    <row r="54">
      <c r="M54" s="333"/>
    </row>
    <row r="55">
      <c r="M55" s="333"/>
    </row>
    <row r="56">
      <c r="M56" s="333"/>
    </row>
    <row r="57">
      <c r="M57" s="333"/>
    </row>
    <row r="58">
      <c r="M58" s="333"/>
    </row>
    <row r="59">
      <c r="M59" s="333"/>
    </row>
    <row r="60">
      <c r="M60" s="333"/>
    </row>
    <row r="61">
      <c r="M61" s="333"/>
    </row>
    <row r="62">
      <c r="M62" s="333"/>
    </row>
    <row r="63">
      <c r="M63" s="333"/>
    </row>
    <row r="64">
      <c r="M64" s="333"/>
    </row>
    <row r="65">
      <c r="M65" s="333"/>
    </row>
    <row r="66">
      <c r="M66" s="333"/>
    </row>
    <row r="67">
      <c r="M67" s="333"/>
    </row>
    <row r="68">
      <c r="M68" s="333"/>
    </row>
    <row r="69">
      <c r="M69" s="333"/>
    </row>
    <row r="70">
      <c r="M70" s="333"/>
    </row>
    <row r="71">
      <c r="M71" s="333"/>
    </row>
    <row r="72">
      <c r="M72" s="333"/>
    </row>
    <row r="73">
      <c r="M73" s="333"/>
    </row>
    <row r="74">
      <c r="M74" s="333"/>
    </row>
    <row r="75">
      <c r="M75" s="333"/>
    </row>
    <row r="76">
      <c r="M76" s="333"/>
    </row>
    <row r="77">
      <c r="M77" s="333"/>
    </row>
    <row r="78">
      <c r="M78" s="333"/>
    </row>
    <row r="79">
      <c r="M79" s="333"/>
    </row>
    <row r="80">
      <c r="M80" s="333"/>
    </row>
    <row r="81">
      <c r="M81" s="333"/>
    </row>
    <row r="82">
      <c r="M82" s="333"/>
    </row>
    <row r="83">
      <c r="M83" s="333"/>
    </row>
    <row r="84">
      <c r="M84" s="333"/>
    </row>
    <row r="85">
      <c r="M85" s="333"/>
    </row>
    <row r="86">
      <c r="M86" s="333"/>
    </row>
    <row r="87">
      <c r="M87" s="333"/>
    </row>
    <row r="88">
      <c r="M88" s="333"/>
    </row>
    <row r="89">
      <c r="M89" s="333"/>
    </row>
    <row r="90">
      <c r="M90" s="333"/>
    </row>
    <row r="91">
      <c r="M91" s="333"/>
    </row>
    <row r="92">
      <c r="M92" s="333"/>
    </row>
    <row r="93">
      <c r="M93" s="333"/>
    </row>
    <row r="94">
      <c r="M94" s="333"/>
    </row>
    <row r="95">
      <c r="M95" s="333"/>
    </row>
    <row r="96">
      <c r="M96" s="333"/>
    </row>
    <row r="97">
      <c r="M97" s="333"/>
    </row>
    <row r="98">
      <c r="M98" s="333"/>
    </row>
    <row r="99">
      <c r="M99" s="333"/>
    </row>
    <row r="100">
      <c r="M100" s="333"/>
    </row>
    <row r="101">
      <c r="M101" s="333"/>
    </row>
    <row r="102">
      <c r="M102" s="333"/>
    </row>
    <row r="103">
      <c r="M103" s="333"/>
    </row>
    <row r="104">
      <c r="M104" s="333"/>
    </row>
    <row r="105">
      <c r="M105" s="333"/>
    </row>
    <row r="106">
      <c r="M106" s="333"/>
    </row>
    <row r="107">
      <c r="M107" s="333"/>
    </row>
    <row r="108">
      <c r="M108" s="333"/>
    </row>
    <row r="109">
      <c r="M109" s="333"/>
    </row>
    <row r="110">
      <c r="M110" s="333"/>
    </row>
    <row r="111">
      <c r="M111" s="333"/>
    </row>
    <row r="112">
      <c r="M112" s="333"/>
    </row>
    <row r="113">
      <c r="M113" s="333"/>
    </row>
    <row r="114">
      <c r="M114" s="333"/>
    </row>
    <row r="115">
      <c r="M115" s="333"/>
    </row>
    <row r="116">
      <c r="M116" s="333"/>
    </row>
    <row r="117">
      <c r="M117" s="333"/>
    </row>
    <row r="118">
      <c r="M118" s="333"/>
    </row>
    <row r="119">
      <c r="M119" s="333"/>
    </row>
    <row r="120">
      <c r="M120" s="333"/>
    </row>
    <row r="121">
      <c r="M121" s="333"/>
    </row>
    <row r="122">
      <c r="M122" s="333"/>
    </row>
    <row r="123">
      <c r="M123" s="333"/>
    </row>
    <row r="124">
      <c r="M124" s="333"/>
    </row>
    <row r="125">
      <c r="M125" s="333"/>
    </row>
    <row r="126">
      <c r="M126" s="333"/>
    </row>
    <row r="127">
      <c r="M127" s="333"/>
    </row>
    <row r="128">
      <c r="M128" s="333"/>
    </row>
    <row r="129">
      <c r="M129" s="333"/>
    </row>
    <row r="130">
      <c r="M130" s="333"/>
    </row>
    <row r="131">
      <c r="M131" s="333"/>
    </row>
    <row r="132">
      <c r="M132" s="333"/>
    </row>
    <row r="133">
      <c r="M133" s="333"/>
    </row>
    <row r="134">
      <c r="M134" s="333"/>
    </row>
    <row r="135">
      <c r="M135" s="333"/>
    </row>
    <row r="136">
      <c r="M136" s="333"/>
    </row>
    <row r="137">
      <c r="M137" s="333"/>
    </row>
    <row r="138">
      <c r="M138" s="333"/>
    </row>
    <row r="139">
      <c r="M139" s="333"/>
    </row>
    <row r="140">
      <c r="M140" s="333"/>
    </row>
    <row r="141">
      <c r="M141" s="333"/>
    </row>
    <row r="142">
      <c r="M142" s="333"/>
    </row>
    <row r="143">
      <c r="M143" s="333"/>
    </row>
    <row r="144">
      <c r="M144" s="333"/>
    </row>
    <row r="145">
      <c r="M145" s="333"/>
    </row>
    <row r="146">
      <c r="M146" s="333"/>
    </row>
    <row r="147">
      <c r="M147" s="333"/>
    </row>
    <row r="148">
      <c r="M148" s="333"/>
    </row>
    <row r="149">
      <c r="M149" s="333"/>
    </row>
    <row r="150">
      <c r="M150" s="333"/>
    </row>
    <row r="151">
      <c r="M151" s="333"/>
    </row>
    <row r="152">
      <c r="M152" s="333"/>
    </row>
    <row r="153">
      <c r="M153" s="333"/>
    </row>
    <row r="154">
      <c r="M154" s="333"/>
    </row>
    <row r="155">
      <c r="M155" s="333"/>
    </row>
    <row r="156">
      <c r="M156" s="333"/>
    </row>
    <row r="157">
      <c r="M157" s="333"/>
    </row>
    <row r="158">
      <c r="M158" s="333"/>
    </row>
    <row r="159">
      <c r="M159" s="333"/>
    </row>
    <row r="160">
      <c r="M160" s="333"/>
    </row>
    <row r="161">
      <c r="M161" s="333"/>
    </row>
    <row r="162">
      <c r="M162" s="333"/>
    </row>
    <row r="163">
      <c r="M163" s="333"/>
    </row>
    <row r="164">
      <c r="M164" s="333"/>
    </row>
    <row r="165">
      <c r="M165" s="333"/>
    </row>
    <row r="166">
      <c r="M166" s="333"/>
    </row>
    <row r="167">
      <c r="M167" s="333"/>
    </row>
    <row r="168">
      <c r="M168" s="333"/>
    </row>
    <row r="169">
      <c r="M169" s="333"/>
    </row>
    <row r="170">
      <c r="M170" s="333"/>
    </row>
    <row r="171">
      <c r="M171" s="333"/>
    </row>
    <row r="172">
      <c r="M172" s="333"/>
    </row>
    <row r="173">
      <c r="M173" s="333"/>
    </row>
    <row r="174">
      <c r="M174" s="333"/>
    </row>
    <row r="175">
      <c r="M175" s="333"/>
    </row>
    <row r="176">
      <c r="M176" s="333"/>
    </row>
    <row r="177">
      <c r="M177" s="333"/>
    </row>
    <row r="178">
      <c r="M178" s="333"/>
    </row>
    <row r="179">
      <c r="M179" s="333"/>
    </row>
    <row r="180">
      <c r="M180" s="333"/>
    </row>
    <row r="181">
      <c r="M181" s="333"/>
    </row>
    <row r="182">
      <c r="M182" s="333"/>
    </row>
    <row r="183">
      <c r="M183" s="333"/>
    </row>
    <row r="184">
      <c r="M184" s="333"/>
    </row>
    <row r="185">
      <c r="M185" s="333"/>
    </row>
    <row r="186">
      <c r="M186" s="333"/>
    </row>
    <row r="187">
      <c r="M187" s="333"/>
    </row>
    <row r="188">
      <c r="M188" s="333"/>
    </row>
    <row r="189">
      <c r="M189" s="333"/>
    </row>
    <row r="190">
      <c r="M190" s="333"/>
    </row>
    <row r="191">
      <c r="M191" s="333"/>
    </row>
    <row r="192">
      <c r="M192" s="333"/>
    </row>
    <row r="193">
      <c r="M193" s="333"/>
    </row>
    <row r="194">
      <c r="M194" s="333"/>
    </row>
    <row r="195">
      <c r="M195" s="333"/>
    </row>
    <row r="196">
      <c r="M196" s="333"/>
    </row>
    <row r="197">
      <c r="M197" s="333"/>
    </row>
    <row r="198">
      <c r="M198" s="333"/>
    </row>
    <row r="199">
      <c r="M199" s="333"/>
    </row>
    <row r="200">
      <c r="M200" s="333"/>
    </row>
    <row r="201">
      <c r="M201" s="333"/>
    </row>
    <row r="202">
      <c r="M202" s="333"/>
    </row>
    <row r="203">
      <c r="M203" s="333"/>
    </row>
    <row r="204">
      <c r="M204" s="333"/>
    </row>
    <row r="205">
      <c r="M205" s="333"/>
    </row>
    <row r="206">
      <c r="M206" s="333"/>
    </row>
    <row r="207">
      <c r="M207" s="333"/>
    </row>
    <row r="208">
      <c r="M208" s="333"/>
    </row>
    <row r="209">
      <c r="M209" s="333"/>
    </row>
    <row r="210">
      <c r="M210" s="333"/>
    </row>
    <row r="211">
      <c r="M211" s="333"/>
    </row>
    <row r="212">
      <c r="M212" s="333"/>
    </row>
    <row r="213">
      <c r="M213" s="333"/>
    </row>
    <row r="214">
      <c r="M214" s="333"/>
    </row>
    <row r="215">
      <c r="M215" s="333"/>
    </row>
    <row r="216">
      <c r="M216" s="333"/>
    </row>
    <row r="217">
      <c r="M217" s="333"/>
    </row>
    <row r="218">
      <c r="M218" s="333"/>
    </row>
    <row r="219">
      <c r="M219" s="333"/>
    </row>
    <row r="220">
      <c r="M220" s="333"/>
    </row>
    <row r="221">
      <c r="M221" s="333"/>
    </row>
    <row r="222">
      <c r="M222" s="333"/>
    </row>
    <row r="223">
      <c r="M223" s="333"/>
    </row>
    <row r="224">
      <c r="M224" s="333"/>
    </row>
    <row r="225">
      <c r="M225" s="333"/>
    </row>
    <row r="226">
      <c r="M226" s="333"/>
    </row>
    <row r="227">
      <c r="M227" s="333"/>
    </row>
    <row r="228">
      <c r="M228" s="333"/>
    </row>
    <row r="229">
      <c r="M229" s="333"/>
    </row>
    <row r="230">
      <c r="M230" s="333"/>
    </row>
    <row r="231">
      <c r="M231" s="333"/>
    </row>
    <row r="232">
      <c r="M232" s="333"/>
    </row>
    <row r="233">
      <c r="M233" s="333"/>
    </row>
    <row r="234">
      <c r="M234" s="333"/>
    </row>
    <row r="235">
      <c r="M235" s="333"/>
    </row>
    <row r="236">
      <c r="M236" s="333"/>
    </row>
    <row r="237">
      <c r="M237" s="333"/>
    </row>
    <row r="238">
      <c r="M238" s="333"/>
    </row>
    <row r="239">
      <c r="M239" s="333"/>
    </row>
    <row r="240">
      <c r="M240" s="333"/>
    </row>
    <row r="241">
      <c r="M241" s="333"/>
    </row>
    <row r="242">
      <c r="M242" s="333"/>
    </row>
    <row r="243">
      <c r="M243" s="333"/>
    </row>
    <row r="244">
      <c r="M244" s="333"/>
    </row>
    <row r="245">
      <c r="M245" s="333"/>
    </row>
    <row r="246">
      <c r="M246" s="333"/>
    </row>
    <row r="247">
      <c r="M247" s="333"/>
    </row>
    <row r="248">
      <c r="M248" s="333"/>
    </row>
    <row r="249">
      <c r="M249" s="333"/>
    </row>
    <row r="250">
      <c r="M250" s="333"/>
    </row>
    <row r="251">
      <c r="M251" s="333"/>
    </row>
    <row r="252">
      <c r="M252" s="333"/>
    </row>
    <row r="253">
      <c r="M253" s="333"/>
    </row>
    <row r="254">
      <c r="M254" s="333"/>
    </row>
    <row r="255">
      <c r="M255" s="333"/>
    </row>
    <row r="256">
      <c r="M256" s="333"/>
    </row>
    <row r="257">
      <c r="M257" s="333"/>
    </row>
    <row r="258">
      <c r="M258" s="333"/>
    </row>
    <row r="259">
      <c r="M259" s="333"/>
    </row>
    <row r="260">
      <c r="M260" s="333"/>
    </row>
    <row r="261">
      <c r="M261" s="333"/>
    </row>
    <row r="262">
      <c r="M262" s="333"/>
    </row>
    <row r="263">
      <c r="M263" s="333"/>
    </row>
    <row r="264">
      <c r="M264" s="333"/>
    </row>
    <row r="265">
      <c r="M265" s="333"/>
    </row>
    <row r="266">
      <c r="M266" s="333"/>
    </row>
    <row r="267">
      <c r="M267" s="333"/>
    </row>
    <row r="268">
      <c r="M268" s="333"/>
    </row>
    <row r="269">
      <c r="M269" s="333"/>
    </row>
    <row r="270">
      <c r="M270" s="333"/>
    </row>
    <row r="271">
      <c r="M271" s="333"/>
    </row>
    <row r="272">
      <c r="M272" s="333"/>
    </row>
    <row r="273">
      <c r="M273" s="333"/>
    </row>
    <row r="274">
      <c r="M274" s="333"/>
    </row>
    <row r="275">
      <c r="M275" s="333"/>
    </row>
    <row r="276">
      <c r="M276" s="333"/>
    </row>
    <row r="277">
      <c r="M277" s="333"/>
    </row>
    <row r="278">
      <c r="M278" s="333"/>
    </row>
    <row r="279">
      <c r="M279" s="333"/>
    </row>
    <row r="280">
      <c r="M280" s="333"/>
    </row>
    <row r="281">
      <c r="M281" s="333"/>
    </row>
    <row r="282">
      <c r="M282" s="333"/>
    </row>
    <row r="283">
      <c r="M283" s="333"/>
    </row>
    <row r="284">
      <c r="M284" s="333"/>
    </row>
    <row r="285">
      <c r="M285" s="333"/>
    </row>
    <row r="286">
      <c r="M286" s="333"/>
    </row>
    <row r="287">
      <c r="M287" s="333"/>
    </row>
    <row r="288">
      <c r="M288" s="333"/>
    </row>
    <row r="289">
      <c r="M289" s="333"/>
    </row>
    <row r="290">
      <c r="M290" s="333"/>
    </row>
    <row r="291">
      <c r="M291" s="333"/>
    </row>
    <row r="292">
      <c r="M292" s="333"/>
    </row>
    <row r="293">
      <c r="M293" s="333"/>
    </row>
    <row r="294">
      <c r="M294" s="333"/>
    </row>
    <row r="295">
      <c r="M295" s="333"/>
    </row>
    <row r="296">
      <c r="M296" s="333"/>
    </row>
    <row r="297">
      <c r="M297" s="333"/>
    </row>
    <row r="298">
      <c r="M298" s="333"/>
    </row>
    <row r="299">
      <c r="M299" s="333"/>
    </row>
    <row r="300">
      <c r="M300" s="333"/>
    </row>
    <row r="301">
      <c r="M301" s="333"/>
    </row>
    <row r="302">
      <c r="M302" s="333"/>
    </row>
    <row r="303">
      <c r="M303" s="333"/>
    </row>
    <row r="304">
      <c r="M304" s="333"/>
    </row>
    <row r="305">
      <c r="M305" s="333"/>
    </row>
    <row r="306">
      <c r="M306" s="333"/>
    </row>
    <row r="307">
      <c r="M307" s="333"/>
    </row>
    <row r="308">
      <c r="M308" s="333"/>
    </row>
    <row r="309">
      <c r="M309" s="333"/>
    </row>
    <row r="310">
      <c r="M310" s="333"/>
    </row>
    <row r="311">
      <c r="M311" s="333"/>
    </row>
    <row r="312">
      <c r="M312" s="333"/>
    </row>
    <row r="313">
      <c r="M313" s="333"/>
    </row>
    <row r="314">
      <c r="M314" s="333"/>
    </row>
    <row r="315">
      <c r="M315" s="333"/>
    </row>
    <row r="316">
      <c r="M316" s="333"/>
    </row>
    <row r="317">
      <c r="M317" s="333"/>
    </row>
    <row r="318">
      <c r="M318" s="333"/>
    </row>
    <row r="319">
      <c r="M319" s="333"/>
    </row>
    <row r="320">
      <c r="M320" s="333"/>
    </row>
    <row r="321">
      <c r="M321" s="333"/>
    </row>
    <row r="322">
      <c r="M322" s="333"/>
    </row>
    <row r="323">
      <c r="M323" s="333"/>
    </row>
    <row r="324">
      <c r="M324" s="333"/>
    </row>
    <row r="325">
      <c r="M325" s="333"/>
    </row>
    <row r="326">
      <c r="M326" s="333"/>
    </row>
    <row r="327">
      <c r="M327" s="333"/>
    </row>
    <row r="328">
      <c r="M328" s="333"/>
    </row>
    <row r="329">
      <c r="M329" s="333"/>
    </row>
    <row r="330">
      <c r="M330" s="333"/>
    </row>
    <row r="331">
      <c r="M331" s="333"/>
    </row>
    <row r="332">
      <c r="M332" s="333"/>
    </row>
    <row r="333">
      <c r="M333" s="333"/>
    </row>
    <row r="334">
      <c r="M334" s="333"/>
    </row>
    <row r="335">
      <c r="M335" s="333"/>
    </row>
    <row r="336">
      <c r="M336" s="333"/>
    </row>
    <row r="337">
      <c r="M337" s="333"/>
    </row>
    <row r="338">
      <c r="M338" s="333"/>
    </row>
    <row r="339">
      <c r="M339" s="333"/>
    </row>
    <row r="340">
      <c r="M340" s="333"/>
    </row>
    <row r="341">
      <c r="M341" s="333"/>
    </row>
    <row r="342">
      <c r="M342" s="333"/>
    </row>
    <row r="343">
      <c r="M343" s="333"/>
    </row>
    <row r="344">
      <c r="M344" s="333"/>
    </row>
    <row r="345">
      <c r="M345" s="333"/>
    </row>
    <row r="346">
      <c r="M346" s="333"/>
    </row>
    <row r="347">
      <c r="M347" s="333"/>
    </row>
    <row r="348">
      <c r="M348" s="333"/>
    </row>
    <row r="349">
      <c r="M349" s="333"/>
    </row>
    <row r="350">
      <c r="M350" s="333"/>
    </row>
    <row r="351">
      <c r="M351" s="333"/>
    </row>
    <row r="352">
      <c r="M352" s="333"/>
    </row>
    <row r="353">
      <c r="M353" s="333"/>
    </row>
    <row r="354">
      <c r="M354" s="333"/>
    </row>
    <row r="355">
      <c r="M355" s="333"/>
    </row>
    <row r="356">
      <c r="M356" s="333"/>
    </row>
    <row r="357">
      <c r="M357" s="333"/>
    </row>
    <row r="358">
      <c r="M358" s="333"/>
    </row>
    <row r="359">
      <c r="M359" s="333"/>
    </row>
    <row r="360">
      <c r="M360" s="333"/>
    </row>
    <row r="361">
      <c r="M361" s="333"/>
    </row>
    <row r="362">
      <c r="M362" s="333"/>
    </row>
    <row r="363">
      <c r="M363" s="333"/>
    </row>
    <row r="364">
      <c r="M364" s="333"/>
    </row>
    <row r="365">
      <c r="M365" s="333"/>
    </row>
    <row r="366">
      <c r="M366" s="333"/>
    </row>
    <row r="367">
      <c r="M367" s="333"/>
    </row>
    <row r="368">
      <c r="M368" s="333"/>
    </row>
    <row r="369">
      <c r="M369" s="333"/>
    </row>
    <row r="370">
      <c r="M370" s="333"/>
    </row>
    <row r="371">
      <c r="M371" s="333"/>
    </row>
    <row r="372">
      <c r="M372" s="333"/>
    </row>
    <row r="373">
      <c r="M373" s="333"/>
    </row>
    <row r="374">
      <c r="M374" s="333"/>
    </row>
    <row r="375">
      <c r="M375" s="333"/>
    </row>
    <row r="376">
      <c r="M376" s="333"/>
    </row>
    <row r="377">
      <c r="M377" s="333"/>
    </row>
    <row r="378">
      <c r="M378" s="333"/>
    </row>
    <row r="379">
      <c r="M379" s="333"/>
    </row>
    <row r="380">
      <c r="M380" s="333"/>
    </row>
    <row r="381">
      <c r="M381" s="333"/>
    </row>
    <row r="382">
      <c r="M382" s="333"/>
    </row>
    <row r="383">
      <c r="M383" s="333"/>
    </row>
    <row r="384">
      <c r="M384" s="333"/>
    </row>
    <row r="385">
      <c r="M385" s="333"/>
    </row>
    <row r="386">
      <c r="M386" s="333"/>
    </row>
    <row r="387">
      <c r="M387" s="333"/>
    </row>
    <row r="388">
      <c r="M388" s="333"/>
    </row>
    <row r="389">
      <c r="M389" s="333"/>
    </row>
    <row r="390">
      <c r="M390" s="333"/>
    </row>
    <row r="391">
      <c r="M391" s="333"/>
    </row>
    <row r="392">
      <c r="M392" s="333"/>
    </row>
    <row r="393">
      <c r="M393" s="333"/>
    </row>
    <row r="394">
      <c r="M394" s="333"/>
    </row>
    <row r="395">
      <c r="M395" s="333"/>
    </row>
    <row r="396">
      <c r="M396" s="333"/>
    </row>
    <row r="397">
      <c r="M397" s="333"/>
    </row>
    <row r="398">
      <c r="M398" s="333"/>
    </row>
    <row r="399">
      <c r="M399" s="333"/>
    </row>
    <row r="400">
      <c r="M400" s="333"/>
    </row>
    <row r="401">
      <c r="M401" s="333"/>
    </row>
    <row r="402">
      <c r="M402" s="333"/>
    </row>
    <row r="403">
      <c r="M403" s="333"/>
    </row>
    <row r="404">
      <c r="M404" s="333"/>
    </row>
    <row r="405">
      <c r="M405" s="333"/>
    </row>
    <row r="406">
      <c r="M406" s="333"/>
    </row>
    <row r="407">
      <c r="M407" s="333"/>
    </row>
    <row r="408">
      <c r="M408" s="333"/>
    </row>
    <row r="409">
      <c r="M409" s="333"/>
    </row>
    <row r="410">
      <c r="M410" s="333"/>
    </row>
    <row r="411">
      <c r="M411" s="333"/>
    </row>
    <row r="412">
      <c r="M412" s="333"/>
    </row>
    <row r="413">
      <c r="M413" s="333"/>
    </row>
    <row r="414">
      <c r="M414" s="333"/>
    </row>
    <row r="415">
      <c r="M415" s="333"/>
    </row>
    <row r="416">
      <c r="M416" s="333"/>
    </row>
    <row r="417">
      <c r="M417" s="333"/>
    </row>
    <row r="418">
      <c r="M418" s="333"/>
    </row>
    <row r="419">
      <c r="M419" s="333"/>
    </row>
    <row r="420">
      <c r="M420" s="333"/>
    </row>
    <row r="421">
      <c r="M421" s="333"/>
    </row>
    <row r="422">
      <c r="M422" s="333"/>
    </row>
    <row r="423">
      <c r="M423" s="333"/>
    </row>
    <row r="424">
      <c r="M424" s="333"/>
    </row>
    <row r="425">
      <c r="M425" s="333"/>
    </row>
    <row r="426">
      <c r="M426" s="333"/>
    </row>
    <row r="427">
      <c r="M427" s="333"/>
    </row>
    <row r="428">
      <c r="M428" s="333"/>
    </row>
    <row r="429">
      <c r="M429" s="333"/>
    </row>
    <row r="430">
      <c r="M430" s="333"/>
    </row>
    <row r="431">
      <c r="M431" s="333"/>
    </row>
    <row r="432">
      <c r="M432" s="333"/>
    </row>
    <row r="433">
      <c r="M433" s="333"/>
    </row>
    <row r="434">
      <c r="M434" s="333"/>
    </row>
    <row r="435">
      <c r="M435" s="333"/>
    </row>
    <row r="436">
      <c r="M436" s="333"/>
    </row>
    <row r="437">
      <c r="M437" s="333"/>
    </row>
    <row r="438">
      <c r="M438" s="333"/>
    </row>
    <row r="439">
      <c r="M439" s="333"/>
    </row>
    <row r="440">
      <c r="M440" s="333"/>
    </row>
    <row r="441">
      <c r="M441" s="333"/>
    </row>
    <row r="442">
      <c r="M442" s="333"/>
    </row>
    <row r="443">
      <c r="M443" s="333"/>
    </row>
    <row r="444">
      <c r="M444" s="333"/>
    </row>
    <row r="445">
      <c r="M445" s="333"/>
    </row>
    <row r="446">
      <c r="M446" s="333"/>
    </row>
    <row r="447">
      <c r="M447" s="333"/>
    </row>
    <row r="448">
      <c r="M448" s="333"/>
    </row>
    <row r="449">
      <c r="M449" s="333"/>
    </row>
    <row r="450">
      <c r="M450" s="333"/>
    </row>
    <row r="451">
      <c r="M451" s="333"/>
    </row>
    <row r="452">
      <c r="M452" s="333"/>
    </row>
    <row r="453">
      <c r="M453" s="333"/>
    </row>
    <row r="454">
      <c r="M454" s="333"/>
    </row>
    <row r="455">
      <c r="M455" s="333"/>
    </row>
    <row r="456">
      <c r="M456" s="333"/>
    </row>
    <row r="457">
      <c r="M457" s="333"/>
    </row>
    <row r="458">
      <c r="M458" s="333"/>
    </row>
    <row r="459">
      <c r="M459" s="333"/>
    </row>
    <row r="460">
      <c r="M460" s="333"/>
    </row>
    <row r="461">
      <c r="M461" s="333"/>
    </row>
    <row r="462">
      <c r="M462" s="333"/>
    </row>
    <row r="463">
      <c r="M463" s="333"/>
    </row>
    <row r="464">
      <c r="M464" s="333"/>
    </row>
    <row r="465">
      <c r="M465" s="333"/>
    </row>
    <row r="466">
      <c r="M466" s="333"/>
    </row>
    <row r="467">
      <c r="M467" s="333"/>
    </row>
    <row r="468">
      <c r="M468" s="333"/>
    </row>
    <row r="469">
      <c r="M469" s="333"/>
    </row>
    <row r="470">
      <c r="M470" s="333"/>
    </row>
    <row r="471">
      <c r="M471" s="333"/>
    </row>
    <row r="472">
      <c r="M472" s="333"/>
    </row>
    <row r="473">
      <c r="M473" s="333"/>
    </row>
    <row r="474">
      <c r="M474" s="333"/>
    </row>
    <row r="475">
      <c r="M475" s="333"/>
    </row>
    <row r="476">
      <c r="M476" s="333"/>
    </row>
    <row r="477">
      <c r="M477" s="333"/>
    </row>
    <row r="478">
      <c r="M478" s="333"/>
    </row>
    <row r="479">
      <c r="M479" s="333"/>
    </row>
    <row r="480">
      <c r="M480" s="333"/>
    </row>
    <row r="481">
      <c r="M481" s="333"/>
    </row>
    <row r="482">
      <c r="M482" s="333"/>
    </row>
    <row r="483">
      <c r="M483" s="333"/>
    </row>
    <row r="484">
      <c r="M484" s="333"/>
    </row>
    <row r="485">
      <c r="M485" s="333"/>
    </row>
    <row r="486">
      <c r="M486" s="333"/>
    </row>
    <row r="487">
      <c r="M487" s="333"/>
    </row>
    <row r="488">
      <c r="M488" s="333"/>
    </row>
    <row r="489">
      <c r="M489" s="333"/>
    </row>
    <row r="490">
      <c r="M490" s="333"/>
    </row>
    <row r="491">
      <c r="M491" s="333"/>
    </row>
    <row r="492">
      <c r="M492" s="333"/>
    </row>
    <row r="493">
      <c r="M493" s="333"/>
    </row>
    <row r="494">
      <c r="M494" s="333"/>
    </row>
    <row r="495">
      <c r="M495" s="333"/>
    </row>
    <row r="496">
      <c r="M496" s="333"/>
    </row>
    <row r="497">
      <c r="M497" s="333"/>
    </row>
    <row r="498">
      <c r="M498" s="333"/>
    </row>
    <row r="499">
      <c r="M499" s="333"/>
    </row>
    <row r="500">
      <c r="M500" s="333"/>
    </row>
    <row r="501">
      <c r="M501" s="333"/>
    </row>
    <row r="502">
      <c r="M502" s="333"/>
    </row>
    <row r="503">
      <c r="M503" s="333"/>
    </row>
    <row r="504">
      <c r="M504" s="333"/>
    </row>
    <row r="505">
      <c r="M505" s="333"/>
    </row>
    <row r="506">
      <c r="M506" s="333"/>
    </row>
    <row r="507">
      <c r="M507" s="333"/>
    </row>
    <row r="508">
      <c r="M508" s="333"/>
    </row>
    <row r="509">
      <c r="M509" s="333"/>
    </row>
    <row r="510">
      <c r="M510" s="333"/>
    </row>
    <row r="511">
      <c r="M511" s="333"/>
    </row>
    <row r="512">
      <c r="M512" s="333"/>
    </row>
    <row r="513">
      <c r="M513" s="333"/>
    </row>
    <row r="514">
      <c r="M514" s="333"/>
    </row>
    <row r="515">
      <c r="M515" s="333"/>
    </row>
    <row r="516">
      <c r="M516" s="333"/>
    </row>
    <row r="517">
      <c r="M517" s="333"/>
    </row>
    <row r="518">
      <c r="M518" s="333"/>
    </row>
    <row r="519">
      <c r="M519" s="333"/>
    </row>
    <row r="520">
      <c r="M520" s="333"/>
    </row>
    <row r="521">
      <c r="M521" s="333"/>
    </row>
    <row r="522">
      <c r="M522" s="333"/>
    </row>
    <row r="523">
      <c r="M523" s="333"/>
    </row>
    <row r="524">
      <c r="M524" s="333"/>
    </row>
    <row r="525">
      <c r="M525" s="333"/>
    </row>
    <row r="526">
      <c r="M526" s="333"/>
    </row>
    <row r="527">
      <c r="M527" s="333"/>
    </row>
    <row r="528">
      <c r="M528" s="333"/>
    </row>
    <row r="529">
      <c r="M529" s="333"/>
    </row>
    <row r="530">
      <c r="M530" s="333"/>
    </row>
    <row r="531">
      <c r="M531" s="333"/>
    </row>
    <row r="532">
      <c r="M532" s="333"/>
    </row>
    <row r="533">
      <c r="M533" s="333"/>
    </row>
    <row r="534">
      <c r="M534" s="333"/>
    </row>
    <row r="535">
      <c r="M535" s="333"/>
    </row>
    <row r="536">
      <c r="M536" s="333"/>
    </row>
    <row r="537">
      <c r="M537" s="333"/>
    </row>
    <row r="538">
      <c r="M538" s="333"/>
    </row>
    <row r="539">
      <c r="M539" s="333"/>
    </row>
    <row r="540">
      <c r="M540" s="333"/>
    </row>
    <row r="541">
      <c r="M541" s="333"/>
    </row>
    <row r="542">
      <c r="M542" s="333"/>
    </row>
    <row r="543">
      <c r="M543" s="333"/>
    </row>
    <row r="544">
      <c r="M544" s="333"/>
    </row>
    <row r="545">
      <c r="M545" s="333"/>
    </row>
    <row r="546">
      <c r="M546" s="333"/>
    </row>
    <row r="547">
      <c r="M547" s="333"/>
    </row>
    <row r="548">
      <c r="M548" s="333"/>
    </row>
    <row r="549">
      <c r="M549" s="333"/>
    </row>
    <row r="550">
      <c r="M550" s="333"/>
    </row>
    <row r="551">
      <c r="M551" s="333"/>
    </row>
    <row r="552">
      <c r="M552" s="333"/>
    </row>
    <row r="553">
      <c r="M553" s="333"/>
    </row>
    <row r="554">
      <c r="M554" s="333"/>
    </row>
    <row r="555">
      <c r="M555" s="333"/>
    </row>
    <row r="556">
      <c r="M556" s="333"/>
    </row>
    <row r="557">
      <c r="M557" s="333"/>
    </row>
    <row r="558">
      <c r="M558" s="333"/>
    </row>
    <row r="559">
      <c r="M559" s="333"/>
    </row>
    <row r="560">
      <c r="M560" s="333"/>
    </row>
    <row r="561">
      <c r="M561" s="333"/>
    </row>
    <row r="562">
      <c r="M562" s="333"/>
    </row>
    <row r="563">
      <c r="M563" s="333"/>
    </row>
    <row r="564">
      <c r="M564" s="333"/>
    </row>
    <row r="565">
      <c r="M565" s="333"/>
    </row>
    <row r="566">
      <c r="M566" s="333"/>
    </row>
    <row r="567">
      <c r="M567" s="333"/>
    </row>
    <row r="568">
      <c r="M568" s="333"/>
    </row>
    <row r="569">
      <c r="M569" s="333"/>
    </row>
    <row r="570">
      <c r="M570" s="333"/>
    </row>
    <row r="571">
      <c r="M571" s="333"/>
    </row>
    <row r="572">
      <c r="M572" s="333"/>
    </row>
    <row r="573">
      <c r="M573" s="333"/>
    </row>
    <row r="574">
      <c r="M574" s="333"/>
    </row>
    <row r="575">
      <c r="M575" s="333"/>
    </row>
    <row r="576">
      <c r="M576" s="333"/>
    </row>
    <row r="577">
      <c r="M577" s="333"/>
    </row>
    <row r="578">
      <c r="M578" s="333"/>
    </row>
    <row r="579">
      <c r="M579" s="333"/>
    </row>
    <row r="580">
      <c r="M580" s="333"/>
    </row>
    <row r="581">
      <c r="M581" s="333"/>
    </row>
    <row r="582">
      <c r="M582" s="333"/>
    </row>
    <row r="583">
      <c r="M583" s="333"/>
    </row>
    <row r="584">
      <c r="M584" s="333"/>
    </row>
    <row r="585">
      <c r="M585" s="333"/>
    </row>
    <row r="586">
      <c r="M586" s="333"/>
    </row>
    <row r="587">
      <c r="M587" s="333"/>
    </row>
    <row r="588">
      <c r="M588" s="333"/>
    </row>
    <row r="589">
      <c r="M589" s="333"/>
    </row>
    <row r="590">
      <c r="M590" s="333"/>
    </row>
    <row r="591">
      <c r="M591" s="333"/>
    </row>
    <row r="592">
      <c r="M592" s="333"/>
    </row>
    <row r="593">
      <c r="M593" s="333"/>
    </row>
    <row r="594">
      <c r="M594" s="333"/>
    </row>
    <row r="595">
      <c r="M595" s="333"/>
    </row>
    <row r="596">
      <c r="M596" s="333"/>
    </row>
    <row r="597">
      <c r="M597" s="333"/>
    </row>
    <row r="598">
      <c r="M598" s="333"/>
    </row>
    <row r="599">
      <c r="M599" s="333"/>
    </row>
    <row r="600">
      <c r="M600" s="333"/>
    </row>
    <row r="601">
      <c r="M601" s="333"/>
    </row>
    <row r="602">
      <c r="M602" s="333"/>
    </row>
    <row r="603">
      <c r="M603" s="333"/>
    </row>
    <row r="604">
      <c r="M604" s="333"/>
    </row>
    <row r="605">
      <c r="M605" s="333"/>
    </row>
    <row r="606">
      <c r="M606" s="333"/>
    </row>
    <row r="607">
      <c r="M607" s="333"/>
    </row>
    <row r="608">
      <c r="M608" s="333"/>
    </row>
    <row r="609">
      <c r="M609" s="333"/>
    </row>
    <row r="610">
      <c r="M610" s="333"/>
    </row>
    <row r="611">
      <c r="M611" s="333"/>
    </row>
    <row r="612">
      <c r="M612" s="333"/>
    </row>
    <row r="613">
      <c r="M613" s="333"/>
    </row>
    <row r="614">
      <c r="M614" s="333"/>
    </row>
    <row r="615">
      <c r="M615" s="333"/>
    </row>
    <row r="616">
      <c r="M616" s="333"/>
    </row>
    <row r="617">
      <c r="M617" s="333"/>
    </row>
    <row r="618">
      <c r="M618" s="333"/>
    </row>
    <row r="619">
      <c r="M619" s="333"/>
    </row>
    <row r="620">
      <c r="M620" s="333"/>
    </row>
    <row r="621">
      <c r="M621" s="333"/>
    </row>
    <row r="622">
      <c r="M622" s="333"/>
    </row>
    <row r="623">
      <c r="M623" s="333"/>
    </row>
    <row r="624">
      <c r="M624" s="333"/>
    </row>
    <row r="625">
      <c r="M625" s="333"/>
    </row>
    <row r="626">
      <c r="M626" s="333"/>
    </row>
    <row r="627">
      <c r="M627" s="333"/>
    </row>
    <row r="628">
      <c r="M628" s="333"/>
    </row>
    <row r="629">
      <c r="M629" s="333"/>
    </row>
    <row r="630">
      <c r="M630" s="333"/>
    </row>
    <row r="631">
      <c r="M631" s="333"/>
    </row>
    <row r="632">
      <c r="M632" s="333"/>
    </row>
    <row r="633">
      <c r="M633" s="333"/>
    </row>
    <row r="634">
      <c r="M634" s="333"/>
    </row>
    <row r="635">
      <c r="M635" s="333"/>
    </row>
    <row r="636">
      <c r="M636" s="333"/>
    </row>
    <row r="637">
      <c r="M637" s="333"/>
    </row>
    <row r="638">
      <c r="M638" s="333"/>
    </row>
    <row r="639">
      <c r="M639" s="333"/>
    </row>
    <row r="640">
      <c r="M640" s="333"/>
    </row>
    <row r="641">
      <c r="M641" s="333"/>
    </row>
    <row r="642">
      <c r="M642" s="333"/>
    </row>
    <row r="643">
      <c r="M643" s="333"/>
    </row>
    <row r="644">
      <c r="M644" s="333"/>
    </row>
    <row r="645">
      <c r="M645" s="333"/>
    </row>
    <row r="646">
      <c r="M646" s="333"/>
    </row>
    <row r="647">
      <c r="M647" s="333"/>
    </row>
    <row r="648">
      <c r="M648" s="333"/>
    </row>
    <row r="649">
      <c r="M649" s="333"/>
    </row>
    <row r="650">
      <c r="M650" s="333"/>
    </row>
    <row r="651">
      <c r="M651" s="333"/>
    </row>
    <row r="652">
      <c r="M652" s="333"/>
    </row>
    <row r="653">
      <c r="M653" s="333"/>
    </row>
    <row r="654">
      <c r="M654" s="333"/>
    </row>
    <row r="655">
      <c r="M655" s="333"/>
    </row>
    <row r="656">
      <c r="M656" s="333"/>
    </row>
    <row r="657">
      <c r="M657" s="333"/>
    </row>
    <row r="658">
      <c r="M658" s="333"/>
    </row>
    <row r="659">
      <c r="M659" s="333"/>
    </row>
    <row r="660">
      <c r="M660" s="333"/>
    </row>
    <row r="661">
      <c r="M661" s="333"/>
    </row>
    <row r="662">
      <c r="M662" s="333"/>
    </row>
    <row r="663">
      <c r="M663" s="333"/>
    </row>
    <row r="664">
      <c r="M664" s="333"/>
    </row>
    <row r="665">
      <c r="M665" s="333"/>
    </row>
    <row r="666">
      <c r="M666" s="333"/>
    </row>
    <row r="667">
      <c r="M667" s="333"/>
    </row>
    <row r="668">
      <c r="M668" s="333"/>
    </row>
    <row r="669">
      <c r="M669" s="333"/>
    </row>
    <row r="670">
      <c r="M670" s="333"/>
    </row>
    <row r="671">
      <c r="M671" s="333"/>
    </row>
    <row r="672">
      <c r="M672" s="333"/>
    </row>
    <row r="673">
      <c r="M673" s="333"/>
    </row>
    <row r="674">
      <c r="M674" s="333"/>
    </row>
    <row r="675">
      <c r="M675" s="333"/>
    </row>
    <row r="676">
      <c r="M676" s="333"/>
    </row>
    <row r="677">
      <c r="M677" s="333"/>
    </row>
    <row r="678">
      <c r="M678" s="333"/>
    </row>
    <row r="679">
      <c r="M679" s="333"/>
    </row>
    <row r="680">
      <c r="M680" s="333"/>
    </row>
    <row r="681">
      <c r="M681" s="333"/>
    </row>
    <row r="682">
      <c r="M682" s="333"/>
    </row>
    <row r="683">
      <c r="M683" s="333"/>
    </row>
    <row r="684">
      <c r="M684" s="333"/>
    </row>
    <row r="685">
      <c r="M685" s="333"/>
    </row>
    <row r="686">
      <c r="M686" s="333"/>
    </row>
    <row r="687">
      <c r="M687" s="333"/>
    </row>
    <row r="688">
      <c r="M688" s="333"/>
    </row>
    <row r="689">
      <c r="M689" s="333"/>
    </row>
    <row r="690">
      <c r="M690" s="333"/>
    </row>
    <row r="691">
      <c r="M691" s="333"/>
    </row>
    <row r="692">
      <c r="M692" s="333"/>
    </row>
    <row r="693">
      <c r="M693" s="333"/>
    </row>
    <row r="694">
      <c r="M694" s="333"/>
    </row>
    <row r="695">
      <c r="M695" s="333"/>
    </row>
    <row r="696">
      <c r="M696" s="333"/>
    </row>
    <row r="697">
      <c r="M697" s="333"/>
    </row>
    <row r="698">
      <c r="M698" s="333"/>
    </row>
    <row r="699">
      <c r="M699" s="333"/>
    </row>
    <row r="700">
      <c r="M700" s="333"/>
    </row>
    <row r="701">
      <c r="M701" s="333"/>
    </row>
    <row r="702">
      <c r="M702" s="333"/>
    </row>
    <row r="703">
      <c r="M703" s="333"/>
    </row>
    <row r="704">
      <c r="M704" s="333"/>
    </row>
    <row r="705">
      <c r="M705" s="333"/>
    </row>
    <row r="706">
      <c r="M706" s="333"/>
    </row>
    <row r="707">
      <c r="M707" s="333"/>
    </row>
    <row r="708">
      <c r="M708" s="333"/>
    </row>
    <row r="709">
      <c r="M709" s="333"/>
    </row>
    <row r="710">
      <c r="M710" s="333"/>
    </row>
    <row r="711">
      <c r="M711" s="333"/>
    </row>
    <row r="712">
      <c r="M712" s="333"/>
    </row>
    <row r="713">
      <c r="M713" s="333"/>
    </row>
    <row r="714">
      <c r="M714" s="333"/>
    </row>
    <row r="715">
      <c r="M715" s="333"/>
    </row>
    <row r="716">
      <c r="M716" s="333"/>
    </row>
    <row r="717">
      <c r="M717" s="333"/>
    </row>
    <row r="718">
      <c r="M718" s="333"/>
    </row>
    <row r="719">
      <c r="M719" s="333"/>
    </row>
    <row r="720">
      <c r="M720" s="333"/>
    </row>
    <row r="721">
      <c r="M721" s="333"/>
    </row>
    <row r="722">
      <c r="M722" s="333"/>
    </row>
    <row r="723">
      <c r="M723" s="333"/>
    </row>
    <row r="724">
      <c r="M724" s="333"/>
    </row>
    <row r="725">
      <c r="M725" s="333"/>
    </row>
    <row r="726">
      <c r="M726" s="333"/>
    </row>
    <row r="727">
      <c r="M727" s="333"/>
    </row>
    <row r="728">
      <c r="M728" s="333"/>
    </row>
    <row r="729">
      <c r="M729" s="333"/>
    </row>
    <row r="730">
      <c r="M730" s="333"/>
    </row>
    <row r="731">
      <c r="M731" s="333"/>
    </row>
    <row r="732">
      <c r="M732" s="333"/>
    </row>
    <row r="733">
      <c r="M733" s="333"/>
    </row>
    <row r="734">
      <c r="M734" s="333"/>
    </row>
    <row r="735">
      <c r="M735" s="333"/>
    </row>
    <row r="736">
      <c r="M736" s="333"/>
    </row>
    <row r="737">
      <c r="M737" s="333"/>
    </row>
    <row r="738">
      <c r="M738" s="333"/>
    </row>
    <row r="739">
      <c r="M739" s="333"/>
    </row>
    <row r="740">
      <c r="M740" s="333"/>
    </row>
    <row r="741">
      <c r="M741" s="333"/>
    </row>
    <row r="742">
      <c r="M742" s="333"/>
    </row>
    <row r="743">
      <c r="M743" s="333"/>
    </row>
    <row r="744">
      <c r="M744" s="333"/>
    </row>
    <row r="745">
      <c r="M745" s="333"/>
    </row>
    <row r="746">
      <c r="M746" s="333"/>
    </row>
    <row r="747">
      <c r="M747" s="333"/>
    </row>
    <row r="748">
      <c r="M748" s="333"/>
    </row>
    <row r="749">
      <c r="M749" s="333"/>
    </row>
    <row r="750">
      <c r="M750" s="333"/>
    </row>
    <row r="751">
      <c r="M751" s="333"/>
    </row>
    <row r="752">
      <c r="M752" s="333"/>
    </row>
    <row r="753">
      <c r="M753" s="333"/>
    </row>
    <row r="754">
      <c r="M754" s="333"/>
    </row>
    <row r="755">
      <c r="M755" s="333"/>
    </row>
    <row r="756">
      <c r="M756" s="333"/>
    </row>
    <row r="757">
      <c r="M757" s="333"/>
    </row>
    <row r="758">
      <c r="M758" s="333"/>
    </row>
    <row r="759">
      <c r="M759" s="333"/>
    </row>
    <row r="760">
      <c r="M760" s="333"/>
    </row>
    <row r="761">
      <c r="M761" s="333"/>
    </row>
    <row r="762">
      <c r="M762" s="333"/>
    </row>
    <row r="763">
      <c r="M763" s="333"/>
    </row>
    <row r="764">
      <c r="M764" s="333"/>
    </row>
    <row r="765">
      <c r="M765" s="333"/>
    </row>
    <row r="766">
      <c r="M766" s="333"/>
    </row>
    <row r="767">
      <c r="M767" s="333"/>
    </row>
    <row r="768">
      <c r="M768" s="333"/>
    </row>
    <row r="769">
      <c r="M769" s="333"/>
    </row>
    <row r="770">
      <c r="M770" s="333"/>
    </row>
    <row r="771">
      <c r="M771" s="333"/>
    </row>
    <row r="772">
      <c r="M772" s="333"/>
    </row>
    <row r="773">
      <c r="M773" s="333"/>
    </row>
    <row r="774">
      <c r="M774" s="333"/>
    </row>
    <row r="775">
      <c r="M775" s="333"/>
    </row>
    <row r="776">
      <c r="M776" s="333"/>
    </row>
    <row r="777">
      <c r="M777" s="333"/>
    </row>
    <row r="778">
      <c r="M778" s="333"/>
    </row>
    <row r="779">
      <c r="M779" s="333"/>
    </row>
    <row r="780">
      <c r="M780" s="333"/>
    </row>
    <row r="781">
      <c r="M781" s="333"/>
    </row>
    <row r="782">
      <c r="M782" s="333"/>
    </row>
    <row r="783">
      <c r="M783" s="333"/>
    </row>
    <row r="784">
      <c r="M784" s="333"/>
    </row>
    <row r="785">
      <c r="M785" s="333"/>
    </row>
    <row r="786">
      <c r="M786" s="333"/>
    </row>
    <row r="787">
      <c r="M787" s="333"/>
    </row>
    <row r="788">
      <c r="M788" s="333"/>
    </row>
    <row r="789">
      <c r="M789" s="333"/>
    </row>
    <row r="790">
      <c r="M790" s="333"/>
    </row>
    <row r="791">
      <c r="M791" s="333"/>
    </row>
    <row r="792">
      <c r="M792" s="333"/>
    </row>
    <row r="793">
      <c r="M793" s="333"/>
    </row>
    <row r="794">
      <c r="M794" s="333"/>
    </row>
    <row r="795">
      <c r="M795" s="333"/>
    </row>
    <row r="796">
      <c r="M796" s="333"/>
    </row>
    <row r="797">
      <c r="M797" s="333"/>
    </row>
    <row r="798">
      <c r="M798" s="333"/>
    </row>
    <row r="799">
      <c r="M799" s="333"/>
    </row>
    <row r="800">
      <c r="M800" s="333"/>
    </row>
    <row r="801">
      <c r="M801" s="333"/>
    </row>
    <row r="802">
      <c r="M802" s="333"/>
    </row>
    <row r="803">
      <c r="M803" s="333"/>
    </row>
    <row r="804">
      <c r="M804" s="333"/>
    </row>
    <row r="805">
      <c r="M805" s="333"/>
    </row>
    <row r="806">
      <c r="M806" s="333"/>
    </row>
    <row r="807">
      <c r="M807" s="333"/>
    </row>
    <row r="808">
      <c r="M808" s="333"/>
    </row>
    <row r="809">
      <c r="M809" s="333"/>
    </row>
    <row r="810">
      <c r="M810" s="333"/>
    </row>
    <row r="811">
      <c r="M811" s="333"/>
    </row>
    <row r="812">
      <c r="M812" s="333"/>
    </row>
    <row r="813">
      <c r="M813" s="333"/>
    </row>
    <row r="814">
      <c r="M814" s="333"/>
    </row>
    <row r="815">
      <c r="M815" s="333"/>
    </row>
    <row r="816">
      <c r="M816" s="333"/>
    </row>
    <row r="817">
      <c r="M817" s="333"/>
    </row>
    <row r="818">
      <c r="M818" s="333"/>
    </row>
    <row r="819">
      <c r="M819" s="333"/>
    </row>
    <row r="820">
      <c r="M820" s="333"/>
    </row>
    <row r="821">
      <c r="M821" s="333"/>
    </row>
    <row r="822">
      <c r="M822" s="333"/>
    </row>
    <row r="823">
      <c r="M823" s="333"/>
    </row>
    <row r="824">
      <c r="M824" s="333"/>
    </row>
    <row r="825">
      <c r="M825" s="333"/>
    </row>
    <row r="826">
      <c r="M826" s="333"/>
    </row>
    <row r="827">
      <c r="M827" s="333"/>
    </row>
    <row r="828">
      <c r="M828" s="333"/>
    </row>
    <row r="829">
      <c r="M829" s="333"/>
    </row>
    <row r="830">
      <c r="M830" s="333"/>
    </row>
    <row r="831">
      <c r="M831" s="333"/>
    </row>
    <row r="832">
      <c r="M832" s="333"/>
    </row>
    <row r="833">
      <c r="M833" s="333"/>
    </row>
    <row r="834">
      <c r="M834" s="333"/>
    </row>
    <row r="835">
      <c r="M835" s="333"/>
    </row>
    <row r="836">
      <c r="M836" s="333"/>
    </row>
    <row r="837">
      <c r="M837" s="333"/>
    </row>
    <row r="838">
      <c r="M838" s="333"/>
    </row>
    <row r="839">
      <c r="M839" s="333"/>
    </row>
    <row r="840">
      <c r="M840" s="333"/>
    </row>
    <row r="841">
      <c r="M841" s="333"/>
    </row>
    <row r="842">
      <c r="M842" s="333"/>
    </row>
    <row r="843">
      <c r="M843" s="333"/>
    </row>
    <row r="844">
      <c r="M844" s="333"/>
    </row>
    <row r="845">
      <c r="M845" s="333"/>
    </row>
    <row r="846">
      <c r="M846" s="333"/>
    </row>
    <row r="847">
      <c r="M847" s="333"/>
    </row>
    <row r="848">
      <c r="M848" s="333"/>
    </row>
    <row r="849">
      <c r="M849" s="333"/>
    </row>
    <row r="850">
      <c r="M850" s="333"/>
    </row>
    <row r="851">
      <c r="M851" s="333"/>
    </row>
    <row r="852">
      <c r="M852" s="333"/>
    </row>
    <row r="853">
      <c r="M853" s="333"/>
    </row>
    <row r="854">
      <c r="M854" s="333"/>
    </row>
    <row r="855">
      <c r="M855" s="333"/>
    </row>
    <row r="856">
      <c r="M856" s="333"/>
    </row>
    <row r="857">
      <c r="M857" s="333"/>
    </row>
    <row r="858">
      <c r="M858" s="333"/>
    </row>
    <row r="859">
      <c r="M859" s="333"/>
    </row>
    <row r="860">
      <c r="M860" s="333"/>
    </row>
    <row r="861">
      <c r="M861" s="333"/>
    </row>
    <row r="862">
      <c r="M862" s="333"/>
    </row>
    <row r="863">
      <c r="M863" s="333"/>
    </row>
    <row r="864">
      <c r="M864" s="333"/>
    </row>
    <row r="865">
      <c r="M865" s="333"/>
    </row>
    <row r="866">
      <c r="M866" s="333"/>
    </row>
    <row r="867">
      <c r="M867" s="333"/>
    </row>
    <row r="868">
      <c r="M868" s="333"/>
    </row>
    <row r="869">
      <c r="M869" s="333"/>
    </row>
    <row r="870">
      <c r="M870" s="333"/>
    </row>
    <row r="871">
      <c r="M871" s="333"/>
    </row>
    <row r="872">
      <c r="M872" s="333"/>
    </row>
    <row r="873">
      <c r="M873" s="333"/>
    </row>
    <row r="874">
      <c r="M874" s="333"/>
    </row>
    <row r="875">
      <c r="M875" s="333"/>
    </row>
    <row r="876">
      <c r="M876" s="333"/>
    </row>
    <row r="877">
      <c r="M877" s="333"/>
    </row>
    <row r="878">
      <c r="M878" s="333"/>
    </row>
    <row r="879">
      <c r="M879" s="333"/>
    </row>
    <row r="880">
      <c r="M880" s="333"/>
    </row>
    <row r="881">
      <c r="M881" s="333"/>
    </row>
    <row r="882">
      <c r="M882" s="333"/>
    </row>
    <row r="883">
      <c r="M883" s="333"/>
    </row>
    <row r="884">
      <c r="M884" s="333"/>
    </row>
    <row r="885">
      <c r="M885" s="333"/>
    </row>
    <row r="886">
      <c r="M886" s="333"/>
    </row>
    <row r="887">
      <c r="M887" s="333"/>
    </row>
    <row r="888">
      <c r="M888" s="333"/>
    </row>
    <row r="889">
      <c r="M889" s="333"/>
    </row>
    <row r="890">
      <c r="M890" s="333"/>
    </row>
    <row r="891">
      <c r="M891" s="333"/>
    </row>
    <row r="892">
      <c r="M892" s="333"/>
    </row>
    <row r="893">
      <c r="M893" s="333"/>
    </row>
    <row r="894">
      <c r="M894" s="333"/>
    </row>
    <row r="895">
      <c r="M895" s="333"/>
    </row>
    <row r="896">
      <c r="M896" s="333"/>
    </row>
    <row r="897">
      <c r="M897" s="333"/>
    </row>
    <row r="898">
      <c r="M898" s="333"/>
    </row>
    <row r="899">
      <c r="M899" s="333"/>
    </row>
    <row r="900">
      <c r="M900" s="333"/>
    </row>
    <row r="901">
      <c r="M901" s="333"/>
    </row>
    <row r="902">
      <c r="M902" s="333"/>
    </row>
    <row r="903">
      <c r="M903" s="333"/>
    </row>
    <row r="904">
      <c r="M904" s="333"/>
    </row>
    <row r="905">
      <c r="M905" s="333"/>
    </row>
    <row r="906">
      <c r="M906" s="333"/>
    </row>
    <row r="907">
      <c r="M907" s="333"/>
    </row>
    <row r="908">
      <c r="M908" s="333"/>
    </row>
    <row r="909">
      <c r="M909" s="333"/>
    </row>
    <row r="910">
      <c r="M910" s="333"/>
    </row>
    <row r="911">
      <c r="M911" s="333"/>
    </row>
    <row r="912">
      <c r="M912" s="333"/>
    </row>
    <row r="913">
      <c r="M913" s="333"/>
    </row>
    <row r="914">
      <c r="M914" s="333"/>
    </row>
    <row r="915">
      <c r="M915" s="333"/>
    </row>
    <row r="916">
      <c r="M916" s="333"/>
    </row>
    <row r="917">
      <c r="M917" s="333"/>
    </row>
    <row r="918">
      <c r="M918" s="333"/>
    </row>
    <row r="919">
      <c r="M919" s="333"/>
    </row>
    <row r="920">
      <c r="M920" s="333"/>
    </row>
    <row r="921">
      <c r="M921" s="333"/>
    </row>
    <row r="922">
      <c r="M922" s="333"/>
    </row>
    <row r="923">
      <c r="M923" s="333"/>
    </row>
    <row r="924">
      <c r="M924" s="333"/>
    </row>
    <row r="925">
      <c r="M925" s="333"/>
    </row>
    <row r="926">
      <c r="M926" s="333"/>
    </row>
    <row r="927">
      <c r="M927" s="333"/>
    </row>
    <row r="928">
      <c r="M928" s="333"/>
    </row>
    <row r="929">
      <c r="M929" s="333"/>
    </row>
    <row r="930">
      <c r="M930" s="333"/>
    </row>
    <row r="931">
      <c r="M931" s="333"/>
    </row>
    <row r="932">
      <c r="M932" s="333"/>
    </row>
    <row r="933">
      <c r="M933" s="333"/>
    </row>
    <row r="934">
      <c r="M934" s="333"/>
    </row>
    <row r="935">
      <c r="M935" s="333"/>
    </row>
    <row r="936">
      <c r="M936" s="333"/>
    </row>
    <row r="937">
      <c r="M937" s="333"/>
    </row>
    <row r="938">
      <c r="M938" s="333"/>
    </row>
    <row r="939">
      <c r="M939" s="333"/>
    </row>
    <row r="940">
      <c r="M940" s="333"/>
    </row>
    <row r="941">
      <c r="M941" s="333"/>
    </row>
    <row r="942">
      <c r="M942" s="333"/>
    </row>
    <row r="943">
      <c r="M943" s="333"/>
    </row>
    <row r="944">
      <c r="M944" s="333"/>
    </row>
    <row r="945">
      <c r="M945" s="333"/>
    </row>
    <row r="946">
      <c r="M946" s="333"/>
    </row>
    <row r="947">
      <c r="M947" s="333"/>
    </row>
    <row r="948">
      <c r="M948" s="333"/>
    </row>
    <row r="949">
      <c r="M949" s="333"/>
    </row>
    <row r="950">
      <c r="M950" s="333"/>
    </row>
    <row r="951">
      <c r="M951" s="333"/>
    </row>
    <row r="952">
      <c r="M952" s="333"/>
    </row>
    <row r="953">
      <c r="M953" s="333"/>
    </row>
    <row r="954">
      <c r="M954" s="333"/>
    </row>
    <row r="955">
      <c r="M955" s="333"/>
    </row>
    <row r="956">
      <c r="M956" s="333"/>
    </row>
    <row r="957">
      <c r="M957" s="333"/>
    </row>
    <row r="958">
      <c r="M958" s="333"/>
    </row>
    <row r="959">
      <c r="M959" s="333"/>
    </row>
    <row r="960">
      <c r="M960" s="333"/>
    </row>
    <row r="961">
      <c r="M961" s="333"/>
    </row>
    <row r="962">
      <c r="M962" s="333"/>
    </row>
    <row r="963">
      <c r="M963" s="333"/>
    </row>
    <row r="964">
      <c r="M964" s="333"/>
    </row>
    <row r="965">
      <c r="M965" s="333"/>
    </row>
  </sheetData>
  <mergeCells count="48"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F9:AF10"/>
    <mergeCell ref="A1:AE1"/>
    <mergeCell ref="A2:AE2"/>
    <mergeCell ref="A3:AD3"/>
    <mergeCell ref="A4:AE4"/>
    <mergeCell ref="A5:AE5"/>
    <mergeCell ref="A9:A10"/>
    <mergeCell ref="B9:B10"/>
    <mergeCell ref="AE9:AE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A25:A26"/>
    <mergeCell ref="A27:L27"/>
    <mergeCell ref="A28:L28"/>
    <mergeCell ref="A29:L29"/>
    <mergeCell ref="A30:L30"/>
    <mergeCell ref="A31:AE31"/>
    <mergeCell ref="C9:C10"/>
    <mergeCell ref="D9:D10"/>
    <mergeCell ref="A11:A13"/>
    <mergeCell ref="A14:A16"/>
    <mergeCell ref="A17:A19"/>
    <mergeCell ref="A20:A21"/>
    <mergeCell ref="A22:A2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3" max="3" width="13.0"/>
    <col customWidth="1" min="4" max="4" width="11.57"/>
    <col customWidth="1" min="5" max="5" width="0.43"/>
    <col customWidth="1" min="7" max="7" width="12.71"/>
    <col customWidth="1" min="8" max="8" width="25.0"/>
    <col customWidth="1" min="9" max="9" width="11.0"/>
    <col customWidth="1" min="10" max="10" width="12.43"/>
    <col customWidth="1" min="11" max="11" width="9.29"/>
    <col customWidth="1" min="12" max="12" width="37.57"/>
    <col customWidth="1" min="13" max="13" width="11.57"/>
    <col customWidth="1" min="17" max="17" width="7.86"/>
    <col customWidth="1" min="18" max="18" width="14.14"/>
    <col customWidth="1" min="19" max="19" width="15.29"/>
    <col customWidth="1" min="20" max="20" width="16.43"/>
    <col customWidth="1" min="21" max="21" width="15.86"/>
    <col customWidth="1" min="22" max="22" width="18.29"/>
    <col customWidth="1" min="23" max="23" width="15.0"/>
    <col customWidth="1" min="24" max="24" width="15.29"/>
    <col customWidth="1" min="25" max="25" width="19.29"/>
    <col customWidth="1" min="26" max="26" width="16.29"/>
    <col customWidth="1" min="27" max="27" width="16.57"/>
    <col customWidth="1" min="31" max="31" width="58.57"/>
  </cols>
  <sheetData>
    <row r="1">
      <c r="A1" s="295" t="s">
        <v>599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237"/>
    </row>
    <row r="2">
      <c r="A2" s="8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237"/>
    </row>
    <row r="3">
      <c r="A3" s="9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0"/>
      <c r="AE3" s="237"/>
    </row>
    <row r="4">
      <c r="A4" s="11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7"/>
      <c r="AE4" s="237"/>
    </row>
    <row r="5">
      <c r="A5" s="11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  <c r="AE5" s="237"/>
    </row>
    <row r="6">
      <c r="A6" s="11"/>
      <c r="B6" s="12"/>
      <c r="C6" s="12"/>
      <c r="D6" s="12"/>
      <c r="E6" s="12"/>
      <c r="F6" s="121"/>
      <c r="G6" s="121"/>
      <c r="H6" s="122"/>
      <c r="I6" s="121"/>
      <c r="J6" s="121"/>
      <c r="K6" s="12"/>
      <c r="L6" s="12"/>
      <c r="M6" s="121"/>
      <c r="N6" s="13"/>
      <c r="O6" s="13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237"/>
    </row>
    <row r="7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309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237"/>
    </row>
    <row r="8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309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237"/>
    </row>
    <row r="9">
      <c r="A9" s="310" t="s">
        <v>12</v>
      </c>
      <c r="B9" s="310" t="s">
        <v>15</v>
      </c>
      <c r="C9" s="310" t="s">
        <v>13</v>
      </c>
      <c r="D9" s="310" t="s">
        <v>14</v>
      </c>
      <c r="E9" s="310" t="s">
        <v>15</v>
      </c>
      <c r="F9" s="310" t="s">
        <v>16</v>
      </c>
      <c r="G9" s="310" t="s">
        <v>169</v>
      </c>
      <c r="H9" s="311" t="s">
        <v>23</v>
      </c>
      <c r="I9" s="310" t="s">
        <v>27</v>
      </c>
      <c r="J9" s="310" t="s">
        <v>30</v>
      </c>
      <c r="K9" s="310" t="s">
        <v>18</v>
      </c>
      <c r="L9" s="310" t="s">
        <v>31</v>
      </c>
      <c r="M9" s="310" t="s">
        <v>170</v>
      </c>
      <c r="N9" s="310" t="s">
        <v>21</v>
      </c>
      <c r="O9" s="312" t="s">
        <v>611</v>
      </c>
      <c r="P9" s="310" t="s">
        <v>22</v>
      </c>
      <c r="Q9" s="313" t="s">
        <v>24</v>
      </c>
      <c r="R9" s="314" t="s">
        <v>612</v>
      </c>
      <c r="S9" s="313" t="s">
        <v>174</v>
      </c>
      <c r="T9" s="324" t="s">
        <v>37</v>
      </c>
      <c r="U9" s="313" t="s">
        <v>39</v>
      </c>
      <c r="V9" s="313" t="s">
        <v>40</v>
      </c>
      <c r="W9" s="313" t="s">
        <v>43</v>
      </c>
      <c r="X9" s="313" t="s">
        <v>45</v>
      </c>
      <c r="Y9" s="314" t="s">
        <v>613</v>
      </c>
      <c r="Z9" s="313" t="s">
        <v>48</v>
      </c>
      <c r="AA9" s="314" t="s">
        <v>575</v>
      </c>
      <c r="AB9" s="313" t="s">
        <v>32</v>
      </c>
      <c r="AC9" s="313" t="s">
        <v>33</v>
      </c>
      <c r="AD9" s="325" t="s">
        <v>455</v>
      </c>
      <c r="AE9" s="238" t="s">
        <v>34</v>
      </c>
    </row>
    <row r="10" ht="57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240"/>
      <c r="AE10" s="240"/>
    </row>
    <row r="11">
      <c r="A11" s="277" t="s">
        <v>369</v>
      </c>
      <c r="B11" s="262" t="s">
        <v>309</v>
      </c>
      <c r="C11" s="288">
        <v>46245.0</v>
      </c>
      <c r="D11" s="288">
        <v>46247.0</v>
      </c>
      <c r="E11" s="37"/>
      <c r="F11" s="263" t="s">
        <v>341</v>
      </c>
      <c r="G11" s="263" t="s">
        <v>460</v>
      </c>
      <c r="H11" s="264">
        <v>1.0852008463E11</v>
      </c>
      <c r="I11" s="326" t="s">
        <v>620</v>
      </c>
      <c r="J11" s="327" t="s">
        <v>621</v>
      </c>
      <c r="K11" s="328" t="s">
        <v>181</v>
      </c>
      <c r="L11" s="299" t="s">
        <v>576</v>
      </c>
      <c r="M11" s="262"/>
      <c r="N11" s="329">
        <v>859273.0</v>
      </c>
      <c r="O11" s="330"/>
      <c r="P11" s="269">
        <v>1389000.0</v>
      </c>
      <c r="Q11" s="274"/>
      <c r="R11" s="269"/>
      <c r="S11" s="241"/>
      <c r="T11" s="241"/>
      <c r="U11" s="241"/>
      <c r="V11" s="241"/>
      <c r="W11" s="241"/>
      <c r="X11" s="241"/>
      <c r="Y11" s="241"/>
      <c r="Z11" s="241"/>
      <c r="AA11" s="274"/>
      <c r="AB11" s="241">
        <f t="shared" ref="AB11:AB12" si="1">N11</f>
        <v>859273</v>
      </c>
      <c r="AC11" s="241">
        <f t="shared" ref="AC11:AC12" si="2">P11</f>
        <v>1389000</v>
      </c>
      <c r="AD11" s="137">
        <f t="shared" ref="AD11:AD13" si="3">AC11-AB11</f>
        <v>529727</v>
      </c>
      <c r="AE11" s="241"/>
    </row>
    <row r="12">
      <c r="A12" s="219"/>
      <c r="B12" s="262" t="s">
        <v>309</v>
      </c>
      <c r="C12" s="288">
        <v>46245.0</v>
      </c>
      <c r="D12" s="288">
        <v>46247.0</v>
      </c>
      <c r="E12" s="288"/>
      <c r="F12" s="263" t="s">
        <v>341</v>
      </c>
      <c r="G12" s="263" t="s">
        <v>460</v>
      </c>
      <c r="H12" s="264">
        <v>1.0852008463E11</v>
      </c>
      <c r="I12" s="219"/>
      <c r="K12" s="219"/>
      <c r="L12" s="263" t="s">
        <v>577</v>
      </c>
      <c r="M12" s="262"/>
      <c r="N12" s="329">
        <v>1920000.0</v>
      </c>
      <c r="O12" s="332"/>
      <c r="P12" s="269">
        <v>2500000.0</v>
      </c>
      <c r="Q12" s="241"/>
      <c r="R12" s="45"/>
      <c r="S12" s="241"/>
      <c r="T12" s="45"/>
      <c r="U12" s="45"/>
      <c r="V12" s="45"/>
      <c r="W12" s="45"/>
      <c r="X12" s="45"/>
      <c r="Y12" s="241"/>
      <c r="Z12" s="241"/>
      <c r="AA12" s="241"/>
      <c r="AB12" s="241">
        <f t="shared" si="1"/>
        <v>1920000</v>
      </c>
      <c r="AC12" s="241">
        <f t="shared" si="2"/>
        <v>2500000</v>
      </c>
      <c r="AD12" s="137">
        <f t="shared" si="3"/>
        <v>580000</v>
      </c>
      <c r="AE12" s="241"/>
    </row>
    <row r="13">
      <c r="A13" s="30"/>
      <c r="B13" s="262" t="s">
        <v>309</v>
      </c>
      <c r="C13" s="288">
        <v>46245.0</v>
      </c>
      <c r="D13" s="288">
        <v>46247.0</v>
      </c>
      <c r="E13" s="288"/>
      <c r="F13" s="263" t="s">
        <v>561</v>
      </c>
      <c r="G13" s="263" t="s">
        <v>460</v>
      </c>
      <c r="H13" s="264">
        <v>1.0852008463E11</v>
      </c>
      <c r="I13" s="30"/>
      <c r="K13" s="30"/>
      <c r="L13" s="263" t="s">
        <v>581</v>
      </c>
      <c r="M13" s="262">
        <v>1.0</v>
      </c>
      <c r="N13" s="329">
        <v>2.8E7</v>
      </c>
      <c r="O13" s="330"/>
      <c r="P13" s="269">
        <v>3.2407407E7</v>
      </c>
      <c r="Q13" s="274">
        <v>0.0</v>
      </c>
      <c r="R13" s="269">
        <v>0.0</v>
      </c>
      <c r="S13" s="274">
        <v>0.0</v>
      </c>
      <c r="T13" s="269">
        <v>329629.0</v>
      </c>
      <c r="U13" s="269">
        <v>164814.0</v>
      </c>
      <c r="V13" s="269">
        <v>0.0</v>
      </c>
      <c r="W13" s="269">
        <v>0.0</v>
      </c>
      <c r="X13" s="269"/>
      <c r="Y13" s="274">
        <v>0.0</v>
      </c>
      <c r="Z13" s="274">
        <v>0.0</v>
      </c>
      <c r="AA13" s="274">
        <v>0.0</v>
      </c>
      <c r="AB13" s="241">
        <f>sum(N13:O13)</f>
        <v>28000000</v>
      </c>
      <c r="AC13" s="241">
        <f>sum(P13,R13:AA13)</f>
        <v>32901850</v>
      </c>
      <c r="AD13" s="137">
        <f t="shared" si="3"/>
        <v>4901850</v>
      </c>
      <c r="AE13" s="241"/>
    </row>
    <row r="14">
      <c r="A14" s="334"/>
      <c r="B14" s="262"/>
      <c r="C14" s="288"/>
      <c r="D14" s="288"/>
      <c r="E14" s="288"/>
      <c r="F14" s="263"/>
      <c r="G14" s="263"/>
      <c r="H14" s="264"/>
      <c r="I14" s="263"/>
      <c r="J14" s="327"/>
      <c r="K14" s="266"/>
      <c r="L14" s="263" t="s">
        <v>622</v>
      </c>
      <c r="M14" s="262"/>
      <c r="N14" s="329"/>
      <c r="O14" s="330">
        <v>987273.0</v>
      </c>
      <c r="P14" s="269"/>
      <c r="Q14" s="274"/>
      <c r="R14" s="269"/>
      <c r="S14" s="274"/>
      <c r="T14" s="269"/>
      <c r="U14" s="269"/>
      <c r="V14" s="269"/>
      <c r="W14" s="269"/>
      <c r="X14" s="269">
        <v>540000.0</v>
      </c>
      <c r="Y14" s="274"/>
      <c r="Z14" s="274"/>
      <c r="AA14" s="274"/>
      <c r="AB14" s="241"/>
      <c r="AC14" s="241"/>
      <c r="AD14" s="137"/>
      <c r="AE14" s="241"/>
    </row>
    <row r="15">
      <c r="A15" s="337" t="s">
        <v>375</v>
      </c>
      <c r="B15" s="338" t="s">
        <v>309</v>
      </c>
      <c r="C15" s="339">
        <v>46251.0</v>
      </c>
      <c r="D15" s="339">
        <v>46251.0</v>
      </c>
      <c r="E15" s="340"/>
      <c r="F15" s="341"/>
      <c r="G15" s="341" t="s">
        <v>460</v>
      </c>
      <c r="H15" s="342">
        <v>1.0853706722E11</v>
      </c>
      <c r="I15" s="340"/>
      <c r="J15" s="341"/>
      <c r="K15" s="343"/>
      <c r="L15" s="344" t="s">
        <v>576</v>
      </c>
      <c r="M15" s="338"/>
      <c r="N15" s="345">
        <v>859273.0</v>
      </c>
      <c r="O15" s="346"/>
      <c r="P15" s="345">
        <v>1389000.0</v>
      </c>
      <c r="Q15" s="347"/>
      <c r="R15" s="348"/>
      <c r="S15" s="347"/>
      <c r="T15" s="348"/>
      <c r="U15" s="348"/>
      <c r="V15" s="348"/>
      <c r="W15" s="348"/>
      <c r="X15" s="348"/>
      <c r="Y15" s="347"/>
      <c r="Z15" s="347"/>
      <c r="AA15" s="347"/>
      <c r="AB15" s="347">
        <f t="shared" ref="AB15:AB16" si="4">N15</f>
        <v>859273</v>
      </c>
      <c r="AC15" s="347">
        <f t="shared" ref="AC15:AC16" si="5">P15</f>
        <v>1389000</v>
      </c>
      <c r="AD15" s="349">
        <f t="shared" ref="AD15:AD17" si="6">AC15-AB15</f>
        <v>529727</v>
      </c>
      <c r="AE15" s="241"/>
    </row>
    <row r="16">
      <c r="A16" s="219"/>
      <c r="B16" s="338" t="s">
        <v>309</v>
      </c>
      <c r="C16" s="339">
        <v>46251.0</v>
      </c>
      <c r="D16" s="339">
        <v>46251.0</v>
      </c>
      <c r="E16" s="340"/>
      <c r="F16" s="341"/>
      <c r="G16" s="341" t="s">
        <v>460</v>
      </c>
      <c r="H16" s="342">
        <v>1.0853706722E11</v>
      </c>
      <c r="I16" s="340"/>
      <c r="J16" s="341"/>
      <c r="K16" s="343"/>
      <c r="L16" s="341" t="s">
        <v>577</v>
      </c>
      <c r="M16" s="338"/>
      <c r="N16" s="350">
        <v>2140000.0</v>
      </c>
      <c r="O16" s="351"/>
      <c r="P16" s="345">
        <v>2500000.0</v>
      </c>
      <c r="Q16" s="347"/>
      <c r="R16" s="348"/>
      <c r="S16" s="347"/>
      <c r="T16" s="348"/>
      <c r="U16" s="348"/>
      <c r="V16" s="348"/>
      <c r="W16" s="348"/>
      <c r="X16" s="345"/>
      <c r="Y16" s="347"/>
      <c r="Z16" s="347"/>
      <c r="AA16" s="347"/>
      <c r="AB16" s="347">
        <f t="shared" si="4"/>
        <v>2140000</v>
      </c>
      <c r="AC16" s="347">
        <f t="shared" si="5"/>
        <v>2500000</v>
      </c>
      <c r="AD16" s="349">
        <f t="shared" si="6"/>
        <v>360000</v>
      </c>
      <c r="AE16" s="241"/>
    </row>
    <row r="17">
      <c r="A17" s="30"/>
      <c r="B17" s="338" t="s">
        <v>309</v>
      </c>
      <c r="C17" s="339">
        <v>46251.0</v>
      </c>
      <c r="D17" s="339">
        <v>46254.0</v>
      </c>
      <c r="E17" s="340"/>
      <c r="F17" s="341" t="s">
        <v>561</v>
      </c>
      <c r="G17" s="341" t="s">
        <v>460</v>
      </c>
      <c r="H17" s="342">
        <v>1.0853706722E11</v>
      </c>
      <c r="I17" s="341" t="s">
        <v>623</v>
      </c>
      <c r="J17" s="341" t="s">
        <v>624</v>
      </c>
      <c r="K17" s="343" t="s">
        <v>181</v>
      </c>
      <c r="L17" s="341" t="s">
        <v>581</v>
      </c>
      <c r="M17" s="338">
        <v>1.0</v>
      </c>
      <c r="N17" s="350">
        <v>2.8E7</v>
      </c>
      <c r="O17" s="351"/>
      <c r="P17" s="345">
        <v>3.2407407E7</v>
      </c>
      <c r="Q17" s="352">
        <v>0.0</v>
      </c>
      <c r="R17" s="345">
        <v>0.0</v>
      </c>
      <c r="S17" s="352">
        <v>0.0</v>
      </c>
      <c r="T17" s="345">
        <v>329629.0</v>
      </c>
      <c r="U17" s="345">
        <v>164814.0</v>
      </c>
      <c r="V17" s="345">
        <v>0.0</v>
      </c>
      <c r="W17" s="345">
        <v>0.0</v>
      </c>
      <c r="X17" s="345"/>
      <c r="Y17" s="352">
        <v>0.0</v>
      </c>
      <c r="Z17" s="352">
        <v>0.0</v>
      </c>
      <c r="AA17" s="352">
        <v>0.0</v>
      </c>
      <c r="AB17" s="347">
        <f>sum(N17:O17)</f>
        <v>28000000</v>
      </c>
      <c r="AC17" s="347">
        <f>sum(P17,R17:AA17)</f>
        <v>32901850</v>
      </c>
      <c r="AD17" s="349">
        <f t="shared" si="6"/>
        <v>4901850</v>
      </c>
      <c r="AE17" s="241"/>
    </row>
    <row r="18">
      <c r="A18" s="337"/>
      <c r="B18" s="338"/>
      <c r="C18" s="339"/>
      <c r="D18" s="339"/>
      <c r="E18" s="340"/>
      <c r="F18" s="341"/>
      <c r="G18" s="341"/>
      <c r="H18" s="342"/>
      <c r="I18" s="341"/>
      <c r="J18" s="341"/>
      <c r="K18" s="343"/>
      <c r="L18" s="341" t="s">
        <v>622</v>
      </c>
      <c r="M18" s="338"/>
      <c r="N18" s="353"/>
      <c r="O18" s="351">
        <v>1594728.0</v>
      </c>
      <c r="P18" s="345"/>
      <c r="Q18" s="352"/>
      <c r="R18" s="345"/>
      <c r="S18" s="352"/>
      <c r="T18" s="345"/>
      <c r="U18" s="345"/>
      <c r="V18" s="345"/>
      <c r="W18" s="345"/>
      <c r="X18" s="345">
        <v>702000.0</v>
      </c>
      <c r="Y18" s="352"/>
      <c r="Z18" s="352"/>
      <c r="AA18" s="352"/>
      <c r="AB18" s="347"/>
      <c r="AC18" s="347"/>
      <c r="AD18" s="349"/>
      <c r="AE18" s="241"/>
    </row>
    <row r="19">
      <c r="A19" s="277" t="s">
        <v>380</v>
      </c>
      <c r="B19" s="262" t="s">
        <v>315</v>
      </c>
      <c r="C19" s="288">
        <v>46255.0</v>
      </c>
      <c r="D19" s="288">
        <v>46255.0</v>
      </c>
      <c r="E19" s="37"/>
      <c r="F19" s="37"/>
      <c r="G19" s="263" t="s">
        <v>315</v>
      </c>
      <c r="H19" s="49"/>
      <c r="I19" s="37"/>
      <c r="J19" s="37"/>
      <c r="K19" s="42"/>
      <c r="L19" s="263" t="s">
        <v>577</v>
      </c>
      <c r="M19" s="177"/>
      <c r="N19" s="278">
        <v>0.0</v>
      </c>
      <c r="O19" s="319"/>
      <c r="P19" s="269">
        <v>800000.0</v>
      </c>
      <c r="Q19" s="241"/>
      <c r="R19" s="45"/>
      <c r="S19" s="241"/>
      <c r="T19" s="45"/>
      <c r="U19" s="45"/>
      <c r="V19" s="45"/>
      <c r="W19" s="45"/>
      <c r="X19" s="45"/>
      <c r="Y19" s="241"/>
      <c r="Z19" s="241"/>
      <c r="AA19" s="241"/>
      <c r="AB19" s="241"/>
      <c r="AC19" s="241">
        <f t="shared" ref="AC19:AC20" si="7">P19</f>
        <v>800000</v>
      </c>
      <c r="AD19" s="137">
        <f>AC19</f>
        <v>800000</v>
      </c>
      <c r="AE19" s="241"/>
    </row>
    <row r="20">
      <c r="A20" s="219"/>
      <c r="B20" s="262" t="s">
        <v>315</v>
      </c>
      <c r="C20" s="288">
        <v>46259.0</v>
      </c>
      <c r="D20" s="288">
        <v>46260.0</v>
      </c>
      <c r="E20" s="44"/>
      <c r="F20" s="37"/>
      <c r="G20" s="263" t="s">
        <v>315</v>
      </c>
      <c r="H20" s="49"/>
      <c r="I20" s="37"/>
      <c r="J20" s="263" t="s">
        <v>625</v>
      </c>
      <c r="K20" s="266" t="s">
        <v>530</v>
      </c>
      <c r="L20" s="263" t="s">
        <v>626</v>
      </c>
      <c r="M20" s="262">
        <v>1.0</v>
      </c>
      <c r="N20" s="278">
        <v>6400000.0</v>
      </c>
      <c r="O20" s="319"/>
      <c r="P20" s="269">
        <v>6000000.0</v>
      </c>
      <c r="Q20" s="274">
        <v>0.0</v>
      </c>
      <c r="R20" s="269">
        <v>0.0</v>
      </c>
      <c r="S20" s="274">
        <v>0.0</v>
      </c>
      <c r="T20" s="269">
        <v>0.0</v>
      </c>
      <c r="U20" s="269">
        <v>0.0</v>
      </c>
      <c r="V20" s="269">
        <v>0.0</v>
      </c>
      <c r="W20" s="269">
        <v>0.0</v>
      </c>
      <c r="X20" s="269">
        <v>0.0</v>
      </c>
      <c r="Y20" s="274">
        <v>0.0</v>
      </c>
      <c r="Z20" s="274">
        <v>0.0</v>
      </c>
      <c r="AA20" s="274">
        <v>0.0</v>
      </c>
      <c r="AB20" s="241">
        <f>N20</f>
        <v>6400000</v>
      </c>
      <c r="AC20" s="241">
        <f t="shared" si="7"/>
        <v>6000000</v>
      </c>
      <c r="AD20" s="137">
        <f>AC20-AB20</f>
        <v>-400000</v>
      </c>
      <c r="AE20" s="241"/>
    </row>
    <row r="21">
      <c r="A21" s="277"/>
      <c r="B21" s="262"/>
      <c r="C21" s="288"/>
      <c r="D21" s="288"/>
      <c r="E21" s="44"/>
      <c r="F21" s="37"/>
      <c r="G21" s="263"/>
      <c r="H21" s="49"/>
      <c r="I21" s="37"/>
      <c r="J21" s="263"/>
      <c r="K21" s="266"/>
      <c r="L21" s="263" t="s">
        <v>622</v>
      </c>
      <c r="M21" s="262"/>
      <c r="N21" s="278"/>
      <c r="O21" s="319"/>
      <c r="P21" s="269"/>
      <c r="Q21" s="274"/>
      <c r="R21" s="269"/>
      <c r="S21" s="274"/>
      <c r="T21" s="269"/>
      <c r="U21" s="269"/>
      <c r="V21" s="269"/>
      <c r="W21" s="269"/>
      <c r="X21" s="269"/>
      <c r="Y21" s="274"/>
      <c r="Z21" s="274"/>
      <c r="AA21" s="274"/>
      <c r="AB21" s="241"/>
      <c r="AC21" s="241"/>
      <c r="AD21" s="137"/>
      <c r="AE21" s="241"/>
    </row>
    <row r="22">
      <c r="A22" s="354" t="s">
        <v>384</v>
      </c>
      <c r="B22" s="355" t="s">
        <v>544</v>
      </c>
      <c r="C22" s="356"/>
      <c r="D22" s="356"/>
      <c r="E22" s="357"/>
      <c r="F22" s="356"/>
      <c r="G22" s="355"/>
      <c r="H22" s="358"/>
      <c r="I22" s="356"/>
      <c r="J22" s="356"/>
      <c r="K22" s="359"/>
      <c r="L22" s="356" t="s">
        <v>576</v>
      </c>
      <c r="M22" s="355"/>
      <c r="N22" s="360">
        <v>793000.0</v>
      </c>
      <c r="O22" s="361"/>
      <c r="P22" s="362">
        <v>1250000.0</v>
      </c>
      <c r="Q22" s="363"/>
      <c r="R22" s="362"/>
      <c r="S22" s="364"/>
      <c r="T22" s="365"/>
      <c r="U22" s="365"/>
      <c r="V22" s="365"/>
      <c r="W22" s="365"/>
      <c r="X22" s="365"/>
      <c r="Y22" s="364"/>
      <c r="Z22" s="364"/>
      <c r="AA22" s="364"/>
      <c r="AB22" s="364">
        <f t="shared" ref="AB22:AB24" si="8">N22</f>
        <v>793000</v>
      </c>
      <c r="AC22" s="364">
        <f t="shared" ref="AC22:AC23" si="9">P22</f>
        <v>1250000</v>
      </c>
      <c r="AD22" s="366">
        <f t="shared" ref="AD22:AD25" si="10">AC22-AB22</f>
        <v>457000</v>
      </c>
      <c r="AE22" s="364"/>
    </row>
    <row r="23">
      <c r="A23" s="219"/>
      <c r="B23" s="355" t="s">
        <v>544</v>
      </c>
      <c r="C23" s="356"/>
      <c r="D23" s="356"/>
      <c r="E23" s="357"/>
      <c r="F23" s="356"/>
      <c r="G23" s="355"/>
      <c r="H23" s="358"/>
      <c r="I23" s="356"/>
      <c r="J23" s="356"/>
      <c r="K23" s="359"/>
      <c r="L23" s="356" t="s">
        <v>577</v>
      </c>
      <c r="M23" s="355"/>
      <c r="N23" s="360">
        <v>8000000.0</v>
      </c>
      <c r="O23" s="361"/>
      <c r="P23" s="362">
        <f>6000000+2540000</f>
        <v>8540000</v>
      </c>
      <c r="Q23" s="363"/>
      <c r="R23" s="362"/>
      <c r="S23" s="364"/>
      <c r="T23" s="365"/>
      <c r="U23" s="365"/>
      <c r="V23" s="365"/>
      <c r="W23" s="365"/>
      <c r="X23" s="365"/>
      <c r="Y23" s="364"/>
      <c r="Z23" s="364"/>
      <c r="AA23" s="364"/>
      <c r="AB23" s="364">
        <f t="shared" si="8"/>
        <v>8000000</v>
      </c>
      <c r="AC23" s="364">
        <f t="shared" si="9"/>
        <v>8540000</v>
      </c>
      <c r="AD23" s="366">
        <f t="shared" si="10"/>
        <v>540000</v>
      </c>
      <c r="AE23" s="364"/>
    </row>
    <row r="24">
      <c r="A24" s="219"/>
      <c r="B24" s="355" t="s">
        <v>544</v>
      </c>
      <c r="C24" s="356" t="s">
        <v>627</v>
      </c>
      <c r="D24" s="356" t="s">
        <v>628</v>
      </c>
      <c r="E24" s="357"/>
      <c r="F24" s="356" t="s">
        <v>629</v>
      </c>
      <c r="G24" s="355" t="s">
        <v>544</v>
      </c>
      <c r="H24" s="358" t="s">
        <v>630</v>
      </c>
      <c r="I24" s="367" t="s">
        <v>631</v>
      </c>
      <c r="J24" s="356" t="s">
        <v>632</v>
      </c>
      <c r="K24" s="359" t="s">
        <v>633</v>
      </c>
      <c r="L24" s="356" t="s">
        <v>634</v>
      </c>
      <c r="M24" s="355">
        <v>1.0</v>
      </c>
      <c r="N24" s="360">
        <v>3.1E7</v>
      </c>
      <c r="O24" s="361"/>
      <c r="P24" s="362">
        <v>5.0925926E7</v>
      </c>
      <c r="Q24" s="363"/>
      <c r="R24" s="362"/>
      <c r="S24" s="364"/>
      <c r="T24" s="362">
        <v>864000.0</v>
      </c>
      <c r="U24" s="362">
        <v>632000.0</v>
      </c>
      <c r="V24" s="365"/>
      <c r="W24" s="365"/>
      <c r="X24" s="362"/>
      <c r="Y24" s="364"/>
      <c r="Z24" s="364"/>
      <c r="AA24" s="364"/>
      <c r="AB24" s="364">
        <f t="shared" si="8"/>
        <v>31000000</v>
      </c>
      <c r="AC24" s="364">
        <f>sum(P24,R24:AA24)</f>
        <v>52421926</v>
      </c>
      <c r="AD24" s="366">
        <f t="shared" si="10"/>
        <v>21421926</v>
      </c>
      <c r="AE24" s="364"/>
    </row>
    <row r="25">
      <c r="A25" s="219"/>
      <c r="B25" s="355" t="s">
        <v>544</v>
      </c>
      <c r="C25" s="356"/>
      <c r="D25" s="356"/>
      <c r="E25" s="357"/>
      <c r="F25" s="356"/>
      <c r="G25" s="355"/>
      <c r="H25" s="358"/>
      <c r="I25" s="219"/>
      <c r="J25" s="356"/>
      <c r="K25" s="359"/>
      <c r="L25" s="356" t="s">
        <v>622</v>
      </c>
      <c r="M25" s="355"/>
      <c r="N25" s="360"/>
      <c r="O25" s="368">
        <v>4194000.0</v>
      </c>
      <c r="P25" s="362"/>
      <c r="Q25" s="363"/>
      <c r="R25" s="362"/>
      <c r="S25" s="364"/>
      <c r="T25" s="365"/>
      <c r="U25" s="365"/>
      <c r="V25" s="365"/>
      <c r="W25" s="365"/>
      <c r="X25" s="362">
        <v>5932500.0</v>
      </c>
      <c r="Y25" s="364"/>
      <c r="Z25" s="364"/>
      <c r="AA25" s="364"/>
      <c r="AB25" s="364">
        <f>O25</f>
        <v>4194000</v>
      </c>
      <c r="AC25" s="364">
        <f>X25</f>
        <v>5932500</v>
      </c>
      <c r="AD25" s="366">
        <f t="shared" si="10"/>
        <v>1738500</v>
      </c>
      <c r="AE25" s="363" t="s">
        <v>635</v>
      </c>
    </row>
    <row r="26">
      <c r="A26" s="219"/>
      <c r="B26" s="355"/>
      <c r="C26" s="356"/>
      <c r="D26" s="356"/>
      <c r="E26" s="357"/>
      <c r="F26" s="356"/>
      <c r="G26" s="355"/>
      <c r="H26" s="358"/>
      <c r="I26" s="219"/>
      <c r="J26" s="356"/>
      <c r="K26" s="359"/>
      <c r="L26" s="356" t="s">
        <v>636</v>
      </c>
      <c r="M26" s="355"/>
      <c r="N26" s="360">
        <v>3250000.0</v>
      </c>
      <c r="O26" s="368"/>
      <c r="P26" s="362">
        <v>4000000.0</v>
      </c>
      <c r="Q26" s="363"/>
      <c r="R26" s="362"/>
      <c r="S26" s="364"/>
      <c r="T26" s="365"/>
      <c r="U26" s="365"/>
      <c r="V26" s="365"/>
      <c r="W26" s="365"/>
      <c r="X26" s="362"/>
      <c r="Y26" s="364"/>
      <c r="Z26" s="364"/>
      <c r="AA26" s="364"/>
      <c r="AB26" s="364"/>
      <c r="AC26" s="364"/>
      <c r="AD26" s="366"/>
      <c r="AE26" s="363"/>
    </row>
    <row r="27">
      <c r="A27" s="219"/>
      <c r="B27" s="355" t="s">
        <v>544</v>
      </c>
      <c r="C27" s="356"/>
      <c r="D27" s="369"/>
      <c r="E27" s="357"/>
      <c r="F27" s="356"/>
      <c r="G27" s="355"/>
      <c r="H27" s="370"/>
      <c r="I27" s="219"/>
      <c r="J27" s="356"/>
      <c r="K27" s="359"/>
      <c r="L27" s="356" t="s">
        <v>637</v>
      </c>
      <c r="M27" s="355"/>
      <c r="N27" s="360">
        <v>793000.0</v>
      </c>
      <c r="O27" s="368"/>
      <c r="P27" s="362">
        <v>1250000.0</v>
      </c>
      <c r="Q27" s="363"/>
      <c r="R27" s="362"/>
      <c r="S27" s="364"/>
      <c r="T27" s="365"/>
      <c r="U27" s="365"/>
      <c r="V27" s="365"/>
      <c r="W27" s="365"/>
      <c r="X27" s="365"/>
      <c r="Y27" s="364"/>
      <c r="Z27" s="364"/>
      <c r="AA27" s="364"/>
      <c r="AB27" s="364">
        <f t="shared" ref="AB27:AB29" si="11">N27</f>
        <v>793000</v>
      </c>
      <c r="AC27" s="364">
        <f t="shared" ref="AC27:AC28" si="12">P27</f>
        <v>1250000</v>
      </c>
      <c r="AD27" s="366">
        <f t="shared" ref="AD27:AD30" si="13">AC27-AB27</f>
        <v>457000</v>
      </c>
      <c r="AE27" s="363"/>
    </row>
    <row r="28">
      <c r="A28" s="219"/>
      <c r="B28" s="355" t="s">
        <v>544</v>
      </c>
      <c r="C28" s="356"/>
      <c r="D28" s="369"/>
      <c r="E28" s="357"/>
      <c r="F28" s="356"/>
      <c r="G28" s="355"/>
      <c r="H28" s="370"/>
      <c r="I28" s="219"/>
      <c r="J28" s="356"/>
      <c r="K28" s="359"/>
      <c r="L28" s="356" t="s">
        <v>577</v>
      </c>
      <c r="M28" s="355"/>
      <c r="N28" s="360">
        <v>8000000.0</v>
      </c>
      <c r="O28" s="368"/>
      <c r="P28" s="362">
        <f>6000000+2540000</f>
        <v>8540000</v>
      </c>
      <c r="Q28" s="363"/>
      <c r="R28" s="362"/>
      <c r="S28" s="364"/>
      <c r="T28" s="365"/>
      <c r="U28" s="365"/>
      <c r="V28" s="365"/>
      <c r="W28" s="365"/>
      <c r="X28" s="365"/>
      <c r="Y28" s="364"/>
      <c r="Z28" s="364"/>
      <c r="AA28" s="364"/>
      <c r="AB28" s="364">
        <f t="shared" si="11"/>
        <v>8000000</v>
      </c>
      <c r="AC28" s="364">
        <f t="shared" si="12"/>
        <v>8540000</v>
      </c>
      <c r="AD28" s="366">
        <f t="shared" si="13"/>
        <v>540000</v>
      </c>
      <c r="AE28" s="363"/>
    </row>
    <row r="29">
      <c r="A29" s="219"/>
      <c r="B29" s="355" t="s">
        <v>544</v>
      </c>
      <c r="C29" s="356" t="s">
        <v>627</v>
      </c>
      <c r="D29" s="369"/>
      <c r="E29" s="357"/>
      <c r="F29" s="356" t="s">
        <v>561</v>
      </c>
      <c r="G29" s="355" t="s">
        <v>544</v>
      </c>
      <c r="H29" s="370"/>
      <c r="I29" s="30"/>
      <c r="J29" s="356" t="s">
        <v>638</v>
      </c>
      <c r="K29" s="359" t="s">
        <v>639</v>
      </c>
      <c r="L29" s="356" t="s">
        <v>634</v>
      </c>
      <c r="M29" s="355">
        <v>1.0</v>
      </c>
      <c r="N29" s="360">
        <v>3.4E7</v>
      </c>
      <c r="O29" s="368"/>
      <c r="P29" s="362">
        <v>5.0925926E7</v>
      </c>
      <c r="Q29" s="363"/>
      <c r="R29" s="362"/>
      <c r="S29" s="364"/>
      <c r="T29" s="362">
        <v>864000.0</v>
      </c>
      <c r="U29" s="362">
        <v>632000.0</v>
      </c>
      <c r="V29" s="365"/>
      <c r="W29" s="365"/>
      <c r="X29" s="365"/>
      <c r="Y29" s="364"/>
      <c r="Z29" s="364"/>
      <c r="AA29" s="363">
        <v>9500000.0</v>
      </c>
      <c r="AB29" s="364">
        <f t="shared" si="11"/>
        <v>34000000</v>
      </c>
      <c r="AC29" s="364">
        <f>sum(P29,R29:AA29)</f>
        <v>61921926</v>
      </c>
      <c r="AD29" s="366">
        <f t="shared" si="13"/>
        <v>27921926</v>
      </c>
      <c r="AE29" s="363" t="s">
        <v>640</v>
      </c>
    </row>
    <row r="30">
      <c r="A30" s="219"/>
      <c r="B30" s="355" t="s">
        <v>544</v>
      </c>
      <c r="C30" s="356"/>
      <c r="D30" s="369"/>
      <c r="E30" s="357"/>
      <c r="F30" s="356"/>
      <c r="G30" s="355"/>
      <c r="H30" s="370"/>
      <c r="I30" s="356"/>
      <c r="J30" s="371"/>
      <c r="K30" s="359"/>
      <c r="L30" s="356" t="s">
        <v>622</v>
      </c>
      <c r="M30" s="355"/>
      <c r="N30" s="360"/>
      <c r="O30" s="368">
        <v>9194000.0</v>
      </c>
      <c r="P30" s="362"/>
      <c r="Q30" s="363"/>
      <c r="R30" s="362"/>
      <c r="S30" s="364"/>
      <c r="T30" s="365"/>
      <c r="U30" s="365"/>
      <c r="V30" s="365"/>
      <c r="W30" s="365"/>
      <c r="X30" s="365">
        <f>1882772+2652315+3333333+2222222</f>
        <v>10090642</v>
      </c>
      <c r="Y30" s="364"/>
      <c r="Z30" s="364"/>
      <c r="AA30" s="364"/>
      <c r="AB30" s="364">
        <f>O30</f>
        <v>9194000</v>
      </c>
      <c r="AC30" s="364">
        <f>X30</f>
        <v>10090642</v>
      </c>
      <c r="AD30" s="366">
        <f t="shared" si="13"/>
        <v>896642</v>
      </c>
      <c r="AE30" s="363"/>
    </row>
    <row r="31">
      <c r="A31" s="219"/>
      <c r="B31" s="355" t="s">
        <v>544</v>
      </c>
      <c r="C31" s="356"/>
      <c r="D31" s="369"/>
      <c r="E31" s="357"/>
      <c r="F31" s="356"/>
      <c r="G31" s="355"/>
      <c r="H31" s="370"/>
      <c r="I31" s="356"/>
      <c r="J31" s="371"/>
      <c r="K31" s="359"/>
      <c r="L31" s="356" t="s">
        <v>636</v>
      </c>
      <c r="M31" s="355"/>
      <c r="N31" s="360">
        <v>3250000.0</v>
      </c>
      <c r="O31" s="368"/>
      <c r="P31" s="362">
        <v>4000000.0</v>
      </c>
      <c r="Q31" s="363"/>
      <c r="R31" s="362"/>
      <c r="S31" s="364"/>
      <c r="T31" s="365"/>
      <c r="U31" s="365"/>
      <c r="V31" s="365"/>
      <c r="W31" s="365"/>
      <c r="X31" s="365"/>
      <c r="Y31" s="364"/>
      <c r="Z31" s="364"/>
      <c r="AA31" s="364"/>
      <c r="AB31" s="364"/>
      <c r="AC31" s="364"/>
      <c r="AD31" s="366"/>
      <c r="AE31" s="363"/>
    </row>
    <row r="32">
      <c r="A32" s="354"/>
      <c r="B32" s="262" t="s">
        <v>544</v>
      </c>
      <c r="C32" s="263" t="s">
        <v>627</v>
      </c>
      <c r="D32" s="44"/>
      <c r="E32" s="37"/>
      <c r="F32" s="263" t="s">
        <v>641</v>
      </c>
      <c r="G32" s="262" t="s">
        <v>544</v>
      </c>
      <c r="H32" s="264" t="s">
        <v>642</v>
      </c>
      <c r="I32" s="372" t="s">
        <v>643</v>
      </c>
      <c r="J32" s="373" t="s">
        <v>644</v>
      </c>
      <c r="K32" s="266" t="s">
        <v>181</v>
      </c>
      <c r="L32" s="263" t="s">
        <v>645</v>
      </c>
      <c r="M32" s="262">
        <v>1.0</v>
      </c>
      <c r="N32" s="278">
        <v>3.03E7</v>
      </c>
      <c r="O32" s="319"/>
      <c r="P32" s="45"/>
      <c r="Q32" s="274">
        <v>0.0</v>
      </c>
      <c r="R32" s="269">
        <v>0.0</v>
      </c>
      <c r="S32" s="274">
        <v>0.0</v>
      </c>
      <c r="T32" s="269">
        <v>0.0</v>
      </c>
      <c r="U32" s="269">
        <v>0.0</v>
      </c>
      <c r="V32" s="269">
        <v>0.0</v>
      </c>
      <c r="W32" s="269">
        <v>0.0</v>
      </c>
      <c r="X32" s="269">
        <v>0.0</v>
      </c>
      <c r="Y32" s="274">
        <v>0.0</v>
      </c>
      <c r="Z32" s="274">
        <v>0.0</v>
      </c>
      <c r="AA32" s="274">
        <v>0.0</v>
      </c>
      <c r="AB32" s="241"/>
      <c r="AC32" s="241"/>
      <c r="AD32" s="137"/>
      <c r="AE32" s="274" t="s">
        <v>646</v>
      </c>
    </row>
    <row r="33">
      <c r="A33" s="354"/>
      <c r="B33" s="262"/>
      <c r="C33" s="263"/>
      <c r="D33" s="44"/>
      <c r="E33" s="37"/>
      <c r="F33" s="263"/>
      <c r="G33" s="262"/>
      <c r="H33" s="264"/>
      <c r="I33" s="372"/>
      <c r="J33" s="373"/>
      <c r="K33" s="266"/>
      <c r="L33" s="341" t="s">
        <v>622</v>
      </c>
      <c r="M33" s="262"/>
      <c r="N33" s="278"/>
      <c r="O33" s="319"/>
      <c r="P33" s="45"/>
      <c r="Q33" s="274"/>
      <c r="R33" s="269"/>
      <c r="S33" s="274"/>
      <c r="T33" s="269"/>
      <c r="U33" s="269"/>
      <c r="V33" s="269"/>
      <c r="W33" s="269"/>
      <c r="X33" s="269"/>
      <c r="Y33" s="274"/>
      <c r="Z33" s="274"/>
      <c r="AA33" s="274"/>
      <c r="AB33" s="241"/>
      <c r="AC33" s="241"/>
      <c r="AD33" s="137"/>
      <c r="AE33" s="274"/>
    </row>
    <row r="34" hidden="1">
      <c r="A34" s="374"/>
      <c r="B34" s="177"/>
      <c r="C34" s="44"/>
      <c r="D34" s="44"/>
      <c r="E34" s="37"/>
      <c r="F34" s="37"/>
      <c r="G34" s="263"/>
      <c r="H34" s="49"/>
      <c r="I34" s="68"/>
      <c r="J34" s="68"/>
      <c r="K34" s="42"/>
      <c r="L34" s="37"/>
      <c r="M34" s="177"/>
      <c r="N34" s="74"/>
      <c r="O34" s="319"/>
      <c r="P34" s="45"/>
      <c r="Q34" s="241"/>
      <c r="R34" s="45"/>
      <c r="S34" s="241"/>
      <c r="T34" s="45"/>
      <c r="U34" s="45"/>
      <c r="V34" s="45"/>
      <c r="W34" s="45"/>
      <c r="X34" s="45"/>
      <c r="Y34" s="241"/>
      <c r="Z34" s="241"/>
      <c r="AA34" s="241"/>
      <c r="AB34" s="241"/>
      <c r="AC34" s="241"/>
      <c r="AD34" s="137"/>
      <c r="AE34" s="241"/>
    </row>
    <row r="35" hidden="1">
      <c r="B35" s="177"/>
      <c r="C35" s="44"/>
      <c r="D35" s="44"/>
      <c r="E35" s="44"/>
      <c r="F35" s="37"/>
      <c r="G35" s="263"/>
      <c r="H35" s="49"/>
      <c r="I35" s="37"/>
      <c r="J35" s="37"/>
      <c r="K35" s="42"/>
      <c r="L35" s="37"/>
      <c r="M35" s="177"/>
      <c r="N35" s="74"/>
      <c r="O35" s="319"/>
      <c r="P35" s="45"/>
      <c r="Q35" s="241"/>
      <c r="R35" s="45"/>
      <c r="S35" s="241"/>
      <c r="T35" s="45"/>
      <c r="U35" s="45"/>
      <c r="V35" s="45"/>
      <c r="W35" s="45"/>
      <c r="X35" s="45"/>
      <c r="Y35" s="241"/>
      <c r="Z35" s="241"/>
      <c r="AA35" s="241"/>
      <c r="AB35" s="241"/>
      <c r="AC35" s="241"/>
      <c r="AD35" s="137"/>
      <c r="AE35" s="241"/>
    </row>
    <row r="36" hidden="1">
      <c r="A36" s="284" t="s">
        <v>483</v>
      </c>
      <c r="B36" s="177"/>
      <c r="C36" s="44"/>
      <c r="D36" s="44"/>
      <c r="E36" s="37"/>
      <c r="F36" s="37"/>
      <c r="G36" s="37"/>
      <c r="H36" s="134"/>
      <c r="I36" s="37"/>
      <c r="J36" s="37"/>
      <c r="K36" s="42"/>
      <c r="L36" s="37"/>
      <c r="M36" s="177"/>
      <c r="N36" s="43"/>
      <c r="O36" s="241"/>
      <c r="P36" s="241"/>
      <c r="Q36" s="241"/>
      <c r="R36" s="241"/>
      <c r="S36" s="56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137"/>
      <c r="AE36" s="241"/>
    </row>
    <row r="37" hidden="1">
      <c r="A37" s="30"/>
      <c r="B37" s="177"/>
      <c r="C37" s="44"/>
      <c r="D37" s="44"/>
      <c r="E37" s="37"/>
      <c r="F37" s="37"/>
      <c r="G37" s="37"/>
      <c r="H37" s="195"/>
      <c r="I37" s="37"/>
      <c r="J37" s="37"/>
      <c r="K37" s="42"/>
      <c r="L37" s="37"/>
      <c r="M37" s="177"/>
      <c r="N37" s="43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137"/>
      <c r="AE37" s="241"/>
    </row>
    <row r="38" hidden="1">
      <c r="A38" s="247" t="s">
        <v>401</v>
      </c>
      <c r="B38" s="177"/>
      <c r="C38" s="44"/>
      <c r="D38" s="44"/>
      <c r="E38" s="133"/>
      <c r="F38" s="37"/>
      <c r="G38" s="263"/>
      <c r="H38" s="248"/>
      <c r="I38" s="133"/>
      <c r="J38" s="133"/>
      <c r="K38" s="133"/>
      <c r="L38" s="37"/>
      <c r="M38" s="177"/>
      <c r="N38" s="43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137"/>
      <c r="AE38" s="241"/>
    </row>
    <row r="39" hidden="1">
      <c r="A39" s="249"/>
      <c r="B39" s="177"/>
      <c r="C39" s="44"/>
      <c r="D39" s="44"/>
      <c r="E39" s="198"/>
      <c r="F39" s="37"/>
      <c r="G39" s="263"/>
      <c r="H39" s="248"/>
      <c r="I39" s="198"/>
      <c r="J39" s="198"/>
      <c r="K39" s="198"/>
      <c r="L39" s="37"/>
      <c r="M39" s="177"/>
      <c r="N39" s="200"/>
      <c r="O39" s="375"/>
      <c r="P39" s="43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137"/>
      <c r="AE39" s="241"/>
    </row>
    <row r="40" hidden="1">
      <c r="A40" s="250"/>
      <c r="B40" s="177"/>
      <c r="C40" s="44"/>
      <c r="D40" s="44"/>
      <c r="E40" s="37"/>
      <c r="F40" s="37"/>
      <c r="G40" s="263"/>
      <c r="H40" s="248"/>
      <c r="I40" s="42"/>
      <c r="J40" s="42"/>
      <c r="K40" s="42"/>
      <c r="L40" s="37"/>
      <c r="M40" s="177"/>
      <c r="N40" s="200"/>
      <c r="O40" s="375"/>
      <c r="P40" s="43"/>
      <c r="Q40" s="241"/>
      <c r="R40" s="43"/>
      <c r="S40" s="241"/>
      <c r="T40" s="43"/>
      <c r="U40" s="43"/>
      <c r="V40" s="43"/>
      <c r="W40" s="43"/>
      <c r="X40" s="43"/>
      <c r="Y40" s="241"/>
      <c r="Z40" s="241"/>
      <c r="AA40" s="241"/>
      <c r="AB40" s="241"/>
      <c r="AC40" s="241"/>
      <c r="AD40" s="137"/>
      <c r="AE40" s="241"/>
    </row>
    <row r="41" hidden="1">
      <c r="A41" s="251" t="s">
        <v>404</v>
      </c>
      <c r="B41" s="177"/>
      <c r="C41" s="44"/>
      <c r="D41" s="44"/>
      <c r="E41" s="35"/>
      <c r="F41" s="37"/>
      <c r="G41" s="263"/>
      <c r="H41" s="248"/>
      <c r="I41" s="37"/>
      <c r="J41" s="37"/>
      <c r="K41" s="42"/>
      <c r="L41" s="37"/>
      <c r="M41" s="177"/>
      <c r="N41" s="43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137"/>
      <c r="AE41" s="241"/>
    </row>
    <row r="42" hidden="1">
      <c r="A42" s="249"/>
      <c r="B42" s="177"/>
      <c r="C42" s="44"/>
      <c r="D42" s="44"/>
      <c r="E42" s="198"/>
      <c r="F42" s="37"/>
      <c r="G42" s="263"/>
      <c r="H42" s="248"/>
      <c r="I42" s="198"/>
      <c r="J42" s="198"/>
      <c r="K42" s="198"/>
      <c r="L42" s="37"/>
      <c r="M42" s="177"/>
      <c r="N42" s="200"/>
      <c r="O42" s="376"/>
      <c r="P42" s="45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137"/>
      <c r="AE42" s="241"/>
    </row>
    <row r="43" hidden="1">
      <c r="A43" s="250"/>
      <c r="B43" s="177"/>
      <c r="C43" s="44"/>
      <c r="D43" s="44"/>
      <c r="E43" s="198"/>
      <c r="F43" s="37"/>
      <c r="G43" s="263"/>
      <c r="H43" s="248"/>
      <c r="I43" s="65"/>
      <c r="J43" s="65"/>
      <c r="K43" s="42"/>
      <c r="L43" s="37"/>
      <c r="M43" s="177"/>
      <c r="N43" s="200"/>
      <c r="O43" s="376"/>
      <c r="P43" s="45"/>
      <c r="Q43" s="241"/>
      <c r="R43" s="45"/>
      <c r="S43" s="241"/>
      <c r="T43" s="45"/>
      <c r="U43" s="45"/>
      <c r="V43" s="45"/>
      <c r="W43" s="45"/>
      <c r="X43" s="45"/>
      <c r="Y43" s="241"/>
      <c r="Z43" s="241"/>
      <c r="AA43" s="241"/>
      <c r="AB43" s="241"/>
      <c r="AC43" s="241"/>
      <c r="AD43" s="137"/>
      <c r="AE43" s="241"/>
    </row>
    <row r="44" hidden="1">
      <c r="A44" s="247" t="s">
        <v>408</v>
      </c>
      <c r="B44" s="177"/>
      <c r="C44" s="44"/>
      <c r="D44" s="44"/>
      <c r="E44" s="198"/>
      <c r="F44" s="37"/>
      <c r="G44" s="263"/>
      <c r="H44" s="65"/>
      <c r="I44" s="198"/>
      <c r="J44" s="198"/>
      <c r="K44" s="198"/>
      <c r="L44" s="37"/>
      <c r="M44" s="377"/>
      <c r="N44" s="43"/>
      <c r="O44" s="241"/>
      <c r="P44" s="241"/>
      <c r="Q44" s="59"/>
      <c r="R44" s="47"/>
      <c r="S44" s="63"/>
      <c r="T44" s="47"/>
      <c r="U44" s="47"/>
      <c r="V44" s="47"/>
      <c r="W44" s="194"/>
      <c r="X44" s="208"/>
      <c r="Y44" s="47"/>
      <c r="Z44" s="47"/>
      <c r="AA44" s="47"/>
      <c r="AB44" s="47"/>
      <c r="AC44" s="241"/>
      <c r="AD44" s="137"/>
      <c r="AE44" s="241"/>
    </row>
    <row r="45" hidden="1">
      <c r="A45" s="249"/>
      <c r="B45" s="177"/>
      <c r="C45" s="44"/>
      <c r="D45" s="44"/>
      <c r="E45" s="198"/>
      <c r="F45" s="37"/>
      <c r="G45" s="263"/>
      <c r="H45" s="65"/>
      <c r="I45" s="198"/>
      <c r="J45" s="198"/>
      <c r="K45" s="198"/>
      <c r="L45" s="37"/>
      <c r="M45" s="377"/>
      <c r="N45" s="200"/>
      <c r="O45" s="376"/>
      <c r="P45" s="45"/>
      <c r="Q45" s="59"/>
      <c r="R45" s="47"/>
      <c r="S45" s="60"/>
      <c r="T45" s="47"/>
      <c r="U45" s="47"/>
      <c r="V45" s="47"/>
      <c r="W45" s="47"/>
      <c r="X45" s="47"/>
      <c r="Y45" s="47"/>
      <c r="Z45" s="47"/>
      <c r="AA45" s="47"/>
      <c r="AB45" s="47"/>
      <c r="AC45" s="241"/>
      <c r="AD45" s="137"/>
      <c r="AE45" s="241"/>
    </row>
    <row r="46" hidden="1">
      <c r="A46" s="250"/>
      <c r="B46" s="177"/>
      <c r="C46" s="44"/>
      <c r="D46" s="44"/>
      <c r="E46" s="62"/>
      <c r="F46" s="37"/>
      <c r="G46" s="263"/>
      <c r="H46" s="65"/>
      <c r="I46" s="65"/>
      <c r="J46" s="65"/>
      <c r="K46" s="42"/>
      <c r="L46" s="37"/>
      <c r="M46" s="377"/>
      <c r="N46" s="200"/>
      <c r="O46" s="376"/>
      <c r="P46" s="45"/>
      <c r="Q46" s="241"/>
      <c r="R46" s="45"/>
      <c r="S46" s="241"/>
      <c r="T46" s="45"/>
      <c r="U46" s="45"/>
      <c r="V46" s="45"/>
      <c r="W46" s="45"/>
      <c r="X46" s="45"/>
      <c r="Y46" s="47"/>
      <c r="Z46" s="47"/>
      <c r="AA46" s="47"/>
      <c r="AB46" s="47"/>
      <c r="AC46" s="241"/>
      <c r="AD46" s="137"/>
      <c r="AE46" s="241"/>
    </row>
    <row r="47" hidden="1">
      <c r="A47" s="251" t="s">
        <v>412</v>
      </c>
      <c r="B47" s="177"/>
      <c r="C47" s="44"/>
      <c r="D47" s="44"/>
      <c r="E47" s="37"/>
      <c r="F47" s="37"/>
      <c r="G47" s="263"/>
      <c r="H47" s="161"/>
      <c r="I47" s="142"/>
      <c r="J47" s="142"/>
      <c r="K47" s="133"/>
      <c r="L47" s="37"/>
      <c r="M47" s="377"/>
      <c r="N47" s="43"/>
      <c r="O47" s="241"/>
      <c r="P47" s="241"/>
      <c r="Q47" s="42"/>
      <c r="R47" s="63"/>
      <c r="S47" s="63"/>
      <c r="T47" s="47"/>
      <c r="U47" s="47"/>
      <c r="V47" s="47"/>
      <c r="W47" s="194"/>
      <c r="X47" s="208"/>
      <c r="Y47" s="63"/>
      <c r="Z47" s="63"/>
      <c r="AA47" s="63"/>
      <c r="AB47" s="63"/>
      <c r="AC47" s="241"/>
      <c r="AD47" s="137"/>
      <c r="AE47" s="241"/>
    </row>
    <row r="48" hidden="1">
      <c r="A48" s="249"/>
      <c r="B48" s="177"/>
      <c r="C48" s="44"/>
      <c r="D48" s="44"/>
      <c r="E48" s="37"/>
      <c r="F48" s="37"/>
      <c r="G48" s="263"/>
      <c r="H48" s="161"/>
      <c r="I48" s="37"/>
      <c r="J48" s="37"/>
      <c r="K48" s="42"/>
      <c r="L48" s="37"/>
      <c r="M48" s="377"/>
      <c r="N48" s="200"/>
      <c r="O48" s="376"/>
      <c r="P48" s="45"/>
      <c r="Q48" s="59"/>
      <c r="R48" s="47"/>
      <c r="S48" s="60"/>
      <c r="T48" s="47"/>
      <c r="U48" s="47"/>
      <c r="V48" s="47"/>
      <c r="W48" s="47"/>
      <c r="X48" s="47"/>
      <c r="Y48" s="47"/>
      <c r="Z48" s="47"/>
      <c r="AA48" s="47"/>
      <c r="AB48" s="47"/>
      <c r="AC48" s="241"/>
      <c r="AD48" s="137"/>
      <c r="AE48" s="241"/>
    </row>
    <row r="49" hidden="1">
      <c r="A49" s="250"/>
      <c r="B49" s="177"/>
      <c r="C49" s="44"/>
      <c r="D49" s="44"/>
      <c r="E49" s="37"/>
      <c r="F49" s="37"/>
      <c r="G49" s="263"/>
      <c r="H49" s="161"/>
      <c r="I49" s="37"/>
      <c r="J49" s="37"/>
      <c r="K49" s="42"/>
      <c r="L49" s="37"/>
      <c r="M49" s="377"/>
      <c r="N49" s="200"/>
      <c r="O49" s="376"/>
      <c r="P49" s="45"/>
      <c r="Q49" s="241"/>
      <c r="R49" s="45"/>
      <c r="S49" s="241"/>
      <c r="T49" s="45"/>
      <c r="U49" s="45"/>
      <c r="V49" s="45"/>
      <c r="W49" s="45"/>
      <c r="X49" s="45"/>
      <c r="Y49" s="47"/>
      <c r="Z49" s="47"/>
      <c r="AA49" s="47"/>
      <c r="AB49" s="47"/>
      <c r="AC49" s="241"/>
      <c r="AD49" s="137"/>
      <c r="AE49" s="241"/>
    </row>
    <row r="50" hidden="1">
      <c r="A50" s="285" t="s">
        <v>417</v>
      </c>
      <c r="B50" s="177"/>
      <c r="C50" s="44"/>
      <c r="D50" s="44"/>
      <c r="E50" s="37"/>
      <c r="F50" s="37"/>
      <c r="G50" s="256"/>
      <c r="H50" s="161"/>
      <c r="I50" s="37"/>
      <c r="J50" s="37"/>
      <c r="K50" s="42"/>
      <c r="L50" s="37"/>
      <c r="M50" s="377"/>
      <c r="N50" s="43"/>
      <c r="O50" s="241"/>
      <c r="P50" s="241"/>
      <c r="Q50" s="59"/>
      <c r="R50" s="47"/>
      <c r="S50" s="60"/>
      <c r="T50" s="47"/>
      <c r="U50" s="47"/>
      <c r="V50" s="47"/>
      <c r="W50" s="47"/>
      <c r="X50" s="47"/>
      <c r="Y50" s="47"/>
      <c r="Z50" s="47"/>
      <c r="AA50" s="47"/>
      <c r="AB50" s="47"/>
      <c r="AC50" s="241"/>
      <c r="AD50" s="137"/>
      <c r="AE50" s="241"/>
    </row>
    <row r="51" hidden="1">
      <c r="A51" s="250"/>
      <c r="B51" s="177"/>
      <c r="C51" s="44"/>
      <c r="D51" s="44"/>
      <c r="E51" s="37"/>
      <c r="F51" s="37"/>
      <c r="G51" s="256"/>
      <c r="H51" s="161"/>
      <c r="I51" s="37"/>
      <c r="J51" s="37"/>
      <c r="K51" s="42"/>
      <c r="L51" s="37"/>
      <c r="M51" s="377"/>
      <c r="N51" s="43"/>
      <c r="O51" s="241"/>
      <c r="P51" s="241"/>
      <c r="Q51" s="286"/>
      <c r="R51" s="287"/>
      <c r="S51" s="60"/>
      <c r="T51" s="45"/>
      <c r="U51" s="45"/>
      <c r="V51" s="47"/>
      <c r="W51" s="47"/>
      <c r="X51" s="47"/>
      <c r="Y51" s="47"/>
      <c r="Z51" s="47"/>
      <c r="AA51" s="47"/>
      <c r="AB51" s="47"/>
      <c r="AC51" s="241"/>
      <c r="AD51" s="137"/>
      <c r="AE51" s="241"/>
    </row>
    <row r="52" hidden="1">
      <c r="A52" s="218" t="s">
        <v>421</v>
      </c>
      <c r="B52" s="177"/>
      <c r="C52" s="288"/>
      <c r="D52" s="288"/>
      <c r="E52" s="37"/>
      <c r="F52" s="263"/>
      <c r="G52" s="289"/>
      <c r="H52" s="263"/>
      <c r="I52" s="37"/>
      <c r="J52" s="37"/>
      <c r="K52" s="42"/>
      <c r="L52" s="37"/>
      <c r="M52" s="377"/>
      <c r="N52" s="43"/>
      <c r="O52" s="274"/>
      <c r="P52" s="274"/>
      <c r="Q52" s="59"/>
      <c r="R52" s="47"/>
      <c r="S52" s="60"/>
      <c r="T52" s="47"/>
      <c r="U52" s="47"/>
      <c r="V52" s="47"/>
      <c r="W52" s="47"/>
      <c r="X52" s="47"/>
      <c r="Y52" s="47"/>
      <c r="Z52" s="47"/>
      <c r="AA52" s="47"/>
      <c r="AB52" s="47"/>
      <c r="AC52" s="241"/>
      <c r="AD52" s="137"/>
      <c r="AE52" s="241"/>
    </row>
    <row r="53" hidden="1">
      <c r="A53" s="219"/>
      <c r="B53" s="177"/>
      <c r="C53" s="288"/>
      <c r="D53" s="288"/>
      <c r="E53" s="37"/>
      <c r="F53" s="263"/>
      <c r="G53" s="289"/>
      <c r="H53" s="263"/>
      <c r="I53" s="37"/>
      <c r="J53" s="37"/>
      <c r="K53" s="42"/>
      <c r="L53" s="37"/>
      <c r="M53" s="377"/>
      <c r="N53" s="43"/>
      <c r="O53" s="274"/>
      <c r="P53" s="274"/>
      <c r="Q53" s="59"/>
      <c r="R53" s="47"/>
      <c r="S53" s="60"/>
      <c r="T53" s="47"/>
      <c r="U53" s="47"/>
      <c r="V53" s="47"/>
      <c r="W53" s="47"/>
      <c r="X53" s="47"/>
      <c r="Y53" s="47"/>
      <c r="Z53" s="47"/>
      <c r="AA53" s="47"/>
      <c r="AB53" s="47"/>
      <c r="AC53" s="241"/>
      <c r="AD53" s="137"/>
      <c r="AE53" s="235"/>
    </row>
    <row r="54" hidden="1">
      <c r="A54" s="30"/>
      <c r="B54" s="177"/>
      <c r="C54" s="288"/>
      <c r="D54" s="288"/>
      <c r="E54" s="37"/>
      <c r="F54" s="263"/>
      <c r="G54" s="289"/>
      <c r="H54" s="263"/>
      <c r="I54" s="263"/>
      <c r="J54" s="263"/>
      <c r="K54" s="266"/>
      <c r="L54" s="263"/>
      <c r="M54" s="377"/>
      <c r="N54" s="43"/>
      <c r="O54" s="274"/>
      <c r="P54" s="274"/>
      <c r="Q54" s="59"/>
      <c r="R54" s="47"/>
      <c r="S54" s="60"/>
      <c r="T54" s="274"/>
      <c r="U54" s="274"/>
      <c r="V54" s="47"/>
      <c r="W54" s="47"/>
      <c r="X54" s="287"/>
      <c r="Y54" s="47"/>
      <c r="Z54" s="47"/>
      <c r="AA54" s="47"/>
      <c r="AB54" s="47"/>
      <c r="AC54" s="241"/>
      <c r="AD54" s="137"/>
      <c r="AE54" s="235"/>
    </row>
    <row r="55" hidden="1">
      <c r="A55" s="218" t="s">
        <v>425</v>
      </c>
      <c r="B55" s="177"/>
      <c r="C55" s="288"/>
      <c r="D55" s="288"/>
      <c r="E55" s="37"/>
      <c r="F55" s="263"/>
      <c r="G55" s="263"/>
      <c r="H55" s="264"/>
      <c r="I55" s="37"/>
      <c r="J55" s="37"/>
      <c r="K55" s="42"/>
      <c r="L55" s="37"/>
      <c r="M55" s="377"/>
      <c r="N55" s="43"/>
      <c r="O55" s="274"/>
      <c r="P55" s="274"/>
      <c r="Q55" s="59"/>
      <c r="R55" s="47"/>
      <c r="S55" s="60"/>
      <c r="T55" s="47"/>
      <c r="U55" s="47"/>
      <c r="V55" s="47"/>
      <c r="W55" s="47"/>
      <c r="X55" s="47"/>
      <c r="Y55" s="47"/>
      <c r="Z55" s="47"/>
      <c r="AA55" s="47"/>
      <c r="AB55" s="47"/>
      <c r="AC55" s="241"/>
      <c r="AD55" s="137"/>
      <c r="AE55" s="235"/>
    </row>
    <row r="56" hidden="1">
      <c r="A56" s="219"/>
      <c r="B56" s="177"/>
      <c r="C56" s="288"/>
      <c r="D56" s="288"/>
      <c r="E56" s="37"/>
      <c r="F56" s="263"/>
      <c r="G56" s="263"/>
      <c r="H56" s="264"/>
      <c r="I56" s="37"/>
      <c r="J56" s="37"/>
      <c r="K56" s="42"/>
      <c r="L56" s="37"/>
      <c r="M56" s="377"/>
      <c r="N56" s="43"/>
      <c r="O56" s="274"/>
      <c r="P56" s="274"/>
      <c r="Q56" s="59"/>
      <c r="R56" s="47"/>
      <c r="S56" s="60"/>
      <c r="T56" s="47"/>
      <c r="U56" s="47"/>
      <c r="V56" s="47"/>
      <c r="W56" s="47"/>
      <c r="X56" s="47"/>
      <c r="Y56" s="47"/>
      <c r="Z56" s="47"/>
      <c r="AA56" s="47"/>
      <c r="AB56" s="47"/>
      <c r="AC56" s="241"/>
      <c r="AD56" s="137"/>
      <c r="AE56" s="235"/>
    </row>
    <row r="57" hidden="1">
      <c r="A57" s="30"/>
      <c r="B57" s="177"/>
      <c r="C57" s="288"/>
      <c r="D57" s="288"/>
      <c r="E57" s="37"/>
      <c r="F57" s="263"/>
      <c r="G57" s="263"/>
      <c r="H57" s="264"/>
      <c r="I57" s="263"/>
      <c r="J57" s="263"/>
      <c r="K57" s="266"/>
      <c r="L57" s="263"/>
      <c r="M57" s="377"/>
      <c r="N57" s="43"/>
      <c r="O57" s="291"/>
      <c r="P57" s="291"/>
      <c r="Q57" s="286"/>
      <c r="R57" s="287"/>
      <c r="S57" s="60"/>
      <c r="T57" s="274"/>
      <c r="U57" s="274"/>
      <c r="V57" s="47"/>
      <c r="W57" s="287"/>
      <c r="X57" s="287"/>
      <c r="Y57" s="47"/>
      <c r="Z57" s="47"/>
      <c r="AA57" s="47"/>
      <c r="AB57" s="47"/>
      <c r="AC57" s="241"/>
      <c r="AD57" s="137"/>
      <c r="AE57" s="235"/>
    </row>
    <row r="58" hidden="1">
      <c r="A58" s="284" t="s">
        <v>429</v>
      </c>
      <c r="B58" s="262"/>
      <c r="C58" s="288"/>
      <c r="D58" s="288"/>
      <c r="E58" s="37"/>
      <c r="F58" s="263"/>
      <c r="G58" s="262"/>
      <c r="H58" s="49"/>
      <c r="I58" s="37"/>
      <c r="J58" s="37"/>
      <c r="K58" s="42"/>
      <c r="L58" s="37"/>
      <c r="M58" s="377"/>
      <c r="N58" s="43"/>
      <c r="O58" s="274"/>
      <c r="P58" s="274"/>
      <c r="Q58" s="59"/>
      <c r="R58" s="47"/>
      <c r="S58" s="60"/>
      <c r="T58" s="47"/>
      <c r="U58" s="47"/>
      <c r="V58" s="47"/>
      <c r="W58" s="47"/>
      <c r="X58" s="47"/>
      <c r="Y58" s="47"/>
      <c r="Z58" s="47"/>
      <c r="AA58" s="47"/>
      <c r="AB58" s="47"/>
      <c r="AC58" s="241"/>
      <c r="AD58" s="137"/>
      <c r="AE58" s="235"/>
    </row>
    <row r="59" hidden="1">
      <c r="A59" s="30"/>
      <c r="B59" s="262"/>
      <c r="C59" s="288"/>
      <c r="D59" s="44"/>
      <c r="E59" s="37"/>
      <c r="F59" s="263"/>
      <c r="G59" s="262"/>
      <c r="H59" s="49"/>
      <c r="I59" s="37"/>
      <c r="J59" s="37"/>
      <c r="K59" s="42"/>
      <c r="L59" s="263"/>
      <c r="M59" s="377"/>
      <c r="N59" s="43"/>
      <c r="O59" s="291"/>
      <c r="P59" s="291"/>
      <c r="Q59" s="286"/>
      <c r="R59" s="47"/>
      <c r="S59" s="60"/>
      <c r="T59" s="274"/>
      <c r="U59" s="274"/>
      <c r="V59" s="47"/>
      <c r="W59" s="47"/>
      <c r="X59" s="287"/>
      <c r="Y59" s="47"/>
      <c r="Z59" s="47"/>
      <c r="AA59" s="47"/>
      <c r="AB59" s="47"/>
      <c r="AC59" s="241"/>
      <c r="AD59" s="137"/>
      <c r="AE59" s="235"/>
    </row>
    <row r="60" hidden="1">
      <c r="A60" s="284" t="s">
        <v>433</v>
      </c>
      <c r="B60" s="262"/>
      <c r="C60" s="288"/>
      <c r="D60" s="288"/>
      <c r="E60" s="37"/>
      <c r="F60" s="263"/>
      <c r="G60" s="263"/>
      <c r="H60" s="49"/>
      <c r="I60" s="37"/>
      <c r="K60" s="42"/>
      <c r="L60" s="263"/>
      <c r="M60" s="377"/>
      <c r="N60" s="43"/>
      <c r="O60" s="291"/>
      <c r="P60" s="291"/>
      <c r="Q60" s="59"/>
      <c r="R60" s="47"/>
      <c r="S60" s="60"/>
      <c r="T60" s="241"/>
      <c r="U60" s="241"/>
      <c r="V60" s="47"/>
      <c r="W60" s="47"/>
      <c r="X60" s="47"/>
      <c r="Y60" s="47"/>
      <c r="Z60" s="47"/>
      <c r="AA60" s="47"/>
      <c r="AB60" s="47"/>
      <c r="AC60" s="47"/>
      <c r="AD60" s="137"/>
      <c r="AE60" s="235"/>
    </row>
    <row r="61" hidden="1">
      <c r="A61" s="219"/>
      <c r="B61" s="262"/>
      <c r="C61" s="288"/>
      <c r="D61" s="288"/>
      <c r="E61" s="37"/>
      <c r="F61" s="263"/>
      <c r="G61" s="263"/>
      <c r="H61" s="49"/>
      <c r="I61" s="37"/>
      <c r="J61" s="263"/>
      <c r="K61" s="42"/>
      <c r="L61" s="263"/>
      <c r="M61" s="378"/>
      <c r="N61" s="43"/>
      <c r="O61" s="291"/>
      <c r="P61" s="291"/>
      <c r="Q61" s="59"/>
      <c r="R61" s="47"/>
      <c r="S61" s="60"/>
      <c r="T61" s="241"/>
      <c r="U61" s="241"/>
      <c r="V61" s="47"/>
      <c r="W61" s="47"/>
      <c r="X61" s="47"/>
      <c r="Y61" s="47"/>
      <c r="Z61" s="47"/>
      <c r="AA61" s="47"/>
      <c r="AB61" s="47"/>
      <c r="AC61" s="47"/>
      <c r="AD61" s="137"/>
      <c r="AE61" s="235"/>
    </row>
    <row r="62" hidden="1">
      <c r="A62" s="30"/>
      <c r="B62" s="262"/>
      <c r="C62" s="288"/>
      <c r="D62" s="288"/>
      <c r="E62" s="37"/>
      <c r="F62" s="263"/>
      <c r="G62" s="263"/>
      <c r="H62" s="49"/>
      <c r="I62" s="37"/>
      <c r="J62" s="263"/>
      <c r="K62" s="42"/>
      <c r="L62" s="263"/>
      <c r="M62" s="378"/>
      <c r="N62" s="43"/>
      <c r="O62" s="291"/>
      <c r="P62" s="291"/>
      <c r="Q62" s="59"/>
      <c r="R62" s="47"/>
      <c r="S62" s="60"/>
      <c r="T62" s="241"/>
      <c r="U62" s="241"/>
      <c r="V62" s="47"/>
      <c r="W62" s="47"/>
      <c r="X62" s="47"/>
      <c r="Y62" s="47"/>
      <c r="Z62" s="47"/>
      <c r="AA62" s="47"/>
      <c r="AB62" s="47"/>
      <c r="AC62" s="47"/>
      <c r="AD62" s="137"/>
      <c r="AE62" s="235"/>
    </row>
    <row r="63" hidden="1">
      <c r="A63" s="218"/>
      <c r="B63" s="177"/>
      <c r="C63" s="44"/>
      <c r="D63" s="44"/>
      <c r="E63" s="37"/>
      <c r="F63" s="37"/>
      <c r="G63" s="37"/>
      <c r="H63" s="37"/>
      <c r="I63" s="37"/>
      <c r="J63" s="37"/>
      <c r="K63" s="42"/>
      <c r="L63" s="37"/>
      <c r="M63" s="377"/>
      <c r="N63" s="43"/>
      <c r="O63" s="241"/>
      <c r="P63" s="241"/>
      <c r="Q63" s="59"/>
      <c r="R63" s="47"/>
      <c r="S63" s="60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137"/>
      <c r="AE63" s="235"/>
    </row>
    <row r="64" hidden="1">
      <c r="A64" s="219"/>
      <c r="B64" s="177"/>
      <c r="C64" s="44"/>
      <c r="D64" s="44"/>
      <c r="E64" s="37"/>
      <c r="F64" s="37"/>
      <c r="G64" s="37"/>
      <c r="H64" s="37"/>
      <c r="I64" s="37"/>
      <c r="J64" s="37"/>
      <c r="K64" s="42"/>
      <c r="L64" s="37"/>
      <c r="M64" s="377"/>
      <c r="N64" s="43"/>
      <c r="O64" s="241"/>
      <c r="P64" s="241"/>
      <c r="Q64" s="59"/>
      <c r="R64" s="47"/>
      <c r="S64" s="60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137"/>
      <c r="AE64" s="235"/>
    </row>
    <row r="65" hidden="1">
      <c r="A65" s="30"/>
      <c r="B65" s="177"/>
      <c r="C65" s="44"/>
      <c r="D65" s="44"/>
      <c r="E65" s="37"/>
      <c r="F65" s="37"/>
      <c r="G65" s="37"/>
      <c r="H65" s="37"/>
      <c r="I65" s="37"/>
      <c r="J65" s="37"/>
      <c r="K65" s="42"/>
      <c r="L65" s="37"/>
      <c r="M65" s="377"/>
      <c r="N65" s="43"/>
      <c r="O65" s="214"/>
      <c r="P65" s="214"/>
      <c r="Q65" s="59"/>
      <c r="R65" s="47"/>
      <c r="S65" s="60"/>
      <c r="T65" s="241"/>
      <c r="U65" s="241"/>
      <c r="V65" s="47"/>
      <c r="W65" s="47"/>
      <c r="X65" s="47"/>
      <c r="Y65" s="47"/>
      <c r="Z65" s="47"/>
      <c r="AA65" s="47"/>
      <c r="AB65" s="47"/>
      <c r="AC65" s="47"/>
      <c r="AD65" s="137"/>
      <c r="AE65" s="235"/>
    </row>
    <row r="66" hidden="1">
      <c r="A66" s="218"/>
      <c r="B66" s="177"/>
      <c r="C66" s="44"/>
      <c r="D66" s="44"/>
      <c r="E66" s="37"/>
      <c r="F66" s="37"/>
      <c r="G66" s="37"/>
      <c r="H66" s="37"/>
      <c r="I66" s="37"/>
      <c r="J66" s="37"/>
      <c r="K66" s="42"/>
      <c r="L66" s="37"/>
      <c r="M66" s="377"/>
      <c r="N66" s="43"/>
      <c r="O66" s="194"/>
      <c r="P66" s="194"/>
      <c r="Q66" s="59"/>
      <c r="R66" s="47"/>
      <c r="S66" s="60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137"/>
      <c r="AE66" s="40"/>
    </row>
    <row r="67" hidden="1">
      <c r="A67" s="30"/>
      <c r="B67" s="177"/>
      <c r="C67" s="44"/>
      <c r="D67" s="44"/>
      <c r="E67" s="37"/>
      <c r="F67" s="37"/>
      <c r="G67" s="37"/>
      <c r="H67" s="37"/>
      <c r="I67" s="37"/>
      <c r="J67" s="37"/>
      <c r="K67" s="42"/>
      <c r="L67" s="37"/>
      <c r="M67" s="377"/>
      <c r="N67" s="43"/>
      <c r="O67" s="43"/>
      <c r="P67" s="43"/>
      <c r="Q67" s="59"/>
      <c r="R67" s="47"/>
      <c r="S67" s="60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137"/>
      <c r="AE67" s="40"/>
    </row>
    <row r="68" hidden="1">
      <c r="A68" s="265"/>
      <c r="B68" s="177"/>
      <c r="C68" s="44"/>
      <c r="D68" s="44"/>
      <c r="E68" s="37"/>
      <c r="F68" s="37"/>
      <c r="G68" s="37"/>
      <c r="H68" s="49"/>
      <c r="I68" s="37"/>
      <c r="J68" s="37"/>
      <c r="K68" s="42"/>
      <c r="L68" s="37"/>
      <c r="M68" s="377"/>
      <c r="N68" s="43"/>
      <c r="O68" s="194"/>
      <c r="P68" s="194"/>
      <c r="Q68" s="59"/>
      <c r="R68" s="47"/>
      <c r="S68" s="60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137"/>
      <c r="AE68" s="40"/>
    </row>
    <row r="69" hidden="1">
      <c r="A69" s="218"/>
      <c r="B69" s="177"/>
      <c r="C69" s="44"/>
      <c r="D69" s="44"/>
      <c r="E69" s="37"/>
      <c r="F69" s="37"/>
      <c r="G69" s="37"/>
      <c r="H69" s="49"/>
      <c r="I69" s="37"/>
      <c r="J69" s="37"/>
      <c r="K69" s="42"/>
      <c r="L69" s="37"/>
      <c r="M69" s="377"/>
      <c r="N69" s="43"/>
      <c r="O69" s="194"/>
      <c r="P69" s="194"/>
      <c r="Q69" s="59"/>
      <c r="R69" s="47"/>
      <c r="S69" s="60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137"/>
      <c r="AE69" s="40"/>
    </row>
    <row r="70" hidden="1">
      <c r="A70" s="219"/>
      <c r="B70" s="177"/>
      <c r="C70" s="44"/>
      <c r="D70" s="44"/>
      <c r="E70" s="37"/>
      <c r="F70" s="37"/>
      <c r="G70" s="37"/>
      <c r="H70" s="49"/>
      <c r="I70" s="37"/>
      <c r="J70" s="37"/>
      <c r="K70" s="42"/>
      <c r="L70" s="37"/>
      <c r="M70" s="377"/>
      <c r="N70" s="43"/>
      <c r="O70" s="43"/>
      <c r="P70" s="43"/>
      <c r="Q70" s="59"/>
      <c r="R70" s="47"/>
      <c r="S70" s="60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137"/>
      <c r="AE70" s="40"/>
    </row>
    <row r="71" hidden="1">
      <c r="A71" s="30"/>
      <c r="B71" s="177"/>
      <c r="C71" s="44"/>
      <c r="D71" s="44"/>
      <c r="E71" s="37"/>
      <c r="F71" s="37"/>
      <c r="G71" s="37"/>
      <c r="H71" s="49"/>
      <c r="I71" s="37"/>
      <c r="J71" s="37"/>
      <c r="K71" s="42"/>
      <c r="L71" s="37"/>
      <c r="M71" s="377"/>
      <c r="N71" s="43"/>
      <c r="O71" s="214"/>
      <c r="P71" s="214"/>
      <c r="Q71" s="59"/>
      <c r="R71" s="47"/>
      <c r="S71" s="60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137"/>
      <c r="AE71" s="40"/>
    </row>
    <row r="72">
      <c r="A72" s="79" t="s">
        <v>73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1"/>
      <c r="M72" s="270">
        <f>sum(M11:M32)</f>
        <v>6</v>
      </c>
      <c r="N72" s="43"/>
      <c r="O72" s="214"/>
      <c r="P72" s="214"/>
      <c r="Q72" s="59"/>
      <c r="R72" s="47"/>
      <c r="S72" s="60"/>
      <c r="T72" s="47"/>
      <c r="U72" s="47"/>
      <c r="V72" s="47"/>
      <c r="W72" s="47"/>
      <c r="X72" s="47"/>
      <c r="Y72" s="47"/>
      <c r="Z72" s="47"/>
      <c r="AA72" s="47"/>
      <c r="AB72" s="47">
        <f>sum(AB11:AB33)</f>
        <v>164152546</v>
      </c>
      <c r="AC72" s="91">
        <f>SUM(AC11:AC62)</f>
        <v>230328694</v>
      </c>
      <c r="AD72" s="137">
        <f>sum(AD11:AD32)</f>
        <v>66176148</v>
      </c>
      <c r="AE72" s="273">
        <f>SUM(AE11:AE20)</f>
        <v>0</v>
      </c>
    </row>
    <row r="73" ht="19.5" customHeight="1">
      <c r="A73" s="79" t="s">
        <v>76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1"/>
      <c r="M73" s="331"/>
      <c r="N73" s="83"/>
      <c r="O73" s="83"/>
      <c r="P73" s="83"/>
      <c r="Q73" s="83"/>
      <c r="R73" s="83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91">
        <f>AC72</f>
        <v>230328694</v>
      </c>
      <c r="AD73" s="137"/>
      <c r="AE73" s="85"/>
    </row>
    <row r="74">
      <c r="A74" s="79" t="s">
        <v>86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1"/>
      <c r="M74" s="331"/>
      <c r="N74" s="83"/>
      <c r="O74" s="83"/>
      <c r="P74" s="83"/>
      <c r="Q74" s="83"/>
      <c r="R74" s="83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91">
        <f>AC73*8%</f>
        <v>18426295.52</v>
      </c>
      <c r="AD74" s="137"/>
      <c r="AE74" s="85"/>
    </row>
    <row r="75">
      <c r="A75" s="379" t="s">
        <v>88</v>
      </c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170"/>
      <c r="M75" s="381"/>
      <c r="N75" s="382"/>
      <c r="O75" s="382"/>
      <c r="P75" s="382"/>
      <c r="Q75" s="382"/>
      <c r="R75" s="382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4">
        <f>AC73+AC74</f>
        <v>248754989.5</v>
      </c>
      <c r="AD75" s="137"/>
      <c r="AE75" s="85"/>
    </row>
    <row r="76">
      <c r="A76" s="93" t="s">
        <v>89</v>
      </c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137"/>
      <c r="AE76" s="386"/>
    </row>
    <row r="77">
      <c r="M77" s="333"/>
    </row>
    <row r="78">
      <c r="M78" s="333"/>
    </row>
    <row r="79">
      <c r="M79" s="333"/>
      <c r="S79" s="335"/>
    </row>
    <row r="81">
      <c r="M81" s="333"/>
      <c r="S81" s="335"/>
    </row>
    <row r="82">
      <c r="M82" s="333"/>
      <c r="S82" s="335"/>
      <c r="AA82" s="336"/>
    </row>
    <row r="83">
      <c r="M83" s="333"/>
      <c r="S83" s="335"/>
    </row>
    <row r="85">
      <c r="M85" s="333"/>
    </row>
    <row r="86">
      <c r="M86" s="333"/>
    </row>
    <row r="87">
      <c r="M87" s="333"/>
    </row>
    <row r="88">
      <c r="M88" s="333"/>
    </row>
    <row r="89">
      <c r="M89" s="333"/>
    </row>
    <row r="90">
      <c r="M90" s="333"/>
    </row>
    <row r="91">
      <c r="M91" s="333"/>
    </row>
    <row r="92">
      <c r="M92" s="333"/>
    </row>
    <row r="93">
      <c r="M93" s="333"/>
    </row>
    <row r="94">
      <c r="M94" s="333"/>
    </row>
    <row r="95">
      <c r="M95" s="333"/>
    </row>
    <row r="96">
      <c r="M96" s="333"/>
    </row>
    <row r="97">
      <c r="M97" s="333"/>
    </row>
    <row r="98">
      <c r="M98" s="333"/>
    </row>
    <row r="99">
      <c r="M99" s="333"/>
    </row>
    <row r="100">
      <c r="M100" s="333"/>
    </row>
    <row r="101">
      <c r="M101" s="333"/>
    </row>
    <row r="102">
      <c r="M102" s="333"/>
    </row>
    <row r="103">
      <c r="M103" s="333"/>
    </row>
    <row r="104">
      <c r="M104" s="333"/>
    </row>
    <row r="105">
      <c r="M105" s="333"/>
    </row>
    <row r="106">
      <c r="M106" s="333"/>
    </row>
    <row r="107">
      <c r="M107" s="333"/>
    </row>
    <row r="108">
      <c r="M108" s="333"/>
    </row>
    <row r="109">
      <c r="M109" s="333"/>
    </row>
    <row r="110">
      <c r="M110" s="333"/>
    </row>
    <row r="111">
      <c r="M111" s="333"/>
    </row>
    <row r="112">
      <c r="M112" s="333"/>
    </row>
    <row r="113">
      <c r="M113" s="333"/>
    </row>
    <row r="114">
      <c r="M114" s="333"/>
    </row>
    <row r="115">
      <c r="M115" s="333"/>
    </row>
    <row r="116">
      <c r="M116" s="333"/>
    </row>
    <row r="117">
      <c r="M117" s="333"/>
    </row>
    <row r="118">
      <c r="M118" s="333"/>
    </row>
    <row r="119">
      <c r="M119" s="333"/>
    </row>
    <row r="120">
      <c r="M120" s="333"/>
    </row>
    <row r="121">
      <c r="M121" s="333"/>
    </row>
    <row r="122">
      <c r="M122" s="333"/>
    </row>
    <row r="123">
      <c r="M123" s="333"/>
    </row>
    <row r="124">
      <c r="M124" s="333"/>
    </row>
    <row r="125">
      <c r="M125" s="333"/>
    </row>
    <row r="126">
      <c r="M126" s="333"/>
    </row>
    <row r="127">
      <c r="M127" s="333"/>
    </row>
    <row r="128">
      <c r="M128" s="333"/>
    </row>
    <row r="129">
      <c r="M129" s="333"/>
    </row>
    <row r="130">
      <c r="M130" s="333"/>
    </row>
    <row r="131">
      <c r="M131" s="333"/>
    </row>
    <row r="132">
      <c r="M132" s="333"/>
    </row>
    <row r="133">
      <c r="M133" s="333"/>
    </row>
    <row r="134">
      <c r="M134" s="333"/>
    </row>
    <row r="135">
      <c r="M135" s="333"/>
    </row>
    <row r="136">
      <c r="M136" s="333"/>
    </row>
    <row r="137">
      <c r="M137" s="333"/>
    </row>
    <row r="138">
      <c r="M138" s="333"/>
    </row>
    <row r="139">
      <c r="M139" s="333"/>
    </row>
    <row r="140">
      <c r="M140" s="333"/>
    </row>
    <row r="141">
      <c r="M141" s="333"/>
    </row>
    <row r="142">
      <c r="M142" s="333"/>
    </row>
    <row r="143">
      <c r="M143" s="333"/>
    </row>
    <row r="144">
      <c r="M144" s="333"/>
    </row>
    <row r="145">
      <c r="M145" s="333"/>
    </row>
    <row r="146">
      <c r="M146" s="333"/>
    </row>
    <row r="147">
      <c r="M147" s="333"/>
    </row>
    <row r="148">
      <c r="M148" s="333"/>
    </row>
    <row r="149">
      <c r="M149" s="333"/>
    </row>
    <row r="150">
      <c r="M150" s="333"/>
    </row>
    <row r="151">
      <c r="M151" s="333"/>
    </row>
    <row r="152">
      <c r="M152" s="333"/>
    </row>
    <row r="153">
      <c r="M153" s="333"/>
    </row>
    <row r="154">
      <c r="M154" s="333"/>
    </row>
    <row r="155">
      <c r="M155" s="333"/>
    </row>
    <row r="156">
      <c r="M156" s="333"/>
    </row>
    <row r="157">
      <c r="M157" s="333"/>
    </row>
    <row r="158">
      <c r="M158" s="333"/>
    </row>
    <row r="159">
      <c r="M159" s="333"/>
    </row>
    <row r="160">
      <c r="M160" s="333"/>
    </row>
    <row r="161">
      <c r="M161" s="333"/>
    </row>
    <row r="162">
      <c r="M162" s="333"/>
    </row>
    <row r="163">
      <c r="M163" s="333"/>
    </row>
    <row r="164">
      <c r="M164" s="333"/>
    </row>
    <row r="165">
      <c r="M165" s="333"/>
    </row>
    <row r="166">
      <c r="M166" s="333"/>
    </row>
    <row r="167">
      <c r="M167" s="333"/>
    </row>
    <row r="168">
      <c r="M168" s="333"/>
    </row>
    <row r="169">
      <c r="M169" s="333"/>
    </row>
    <row r="170">
      <c r="M170" s="333"/>
    </row>
    <row r="171">
      <c r="M171" s="333"/>
    </row>
    <row r="172">
      <c r="M172" s="333"/>
    </row>
    <row r="173">
      <c r="M173" s="333"/>
    </row>
    <row r="174">
      <c r="M174" s="333"/>
    </row>
    <row r="175">
      <c r="M175" s="333"/>
    </row>
    <row r="176">
      <c r="M176" s="333"/>
    </row>
    <row r="177">
      <c r="M177" s="333"/>
    </row>
    <row r="178">
      <c r="M178" s="333"/>
    </row>
    <row r="179">
      <c r="M179" s="333"/>
    </row>
    <row r="180">
      <c r="M180" s="333"/>
    </row>
    <row r="181">
      <c r="M181" s="333"/>
    </row>
    <row r="182">
      <c r="M182" s="333"/>
    </row>
    <row r="183">
      <c r="M183" s="333"/>
    </row>
    <row r="184">
      <c r="M184" s="333"/>
    </row>
    <row r="185">
      <c r="M185" s="333"/>
    </row>
    <row r="186">
      <c r="M186" s="333"/>
    </row>
    <row r="187">
      <c r="M187" s="333"/>
    </row>
    <row r="188">
      <c r="M188" s="333"/>
    </row>
    <row r="189">
      <c r="M189" s="333"/>
    </row>
    <row r="190">
      <c r="M190" s="333"/>
    </row>
    <row r="191">
      <c r="M191" s="333"/>
    </row>
    <row r="192">
      <c r="M192" s="333"/>
    </row>
    <row r="193">
      <c r="M193" s="333"/>
    </row>
    <row r="194">
      <c r="M194" s="333"/>
    </row>
    <row r="195">
      <c r="M195" s="333"/>
    </row>
    <row r="196">
      <c r="M196" s="333"/>
    </row>
    <row r="197">
      <c r="M197" s="333"/>
    </row>
    <row r="198">
      <c r="M198" s="333"/>
    </row>
    <row r="199">
      <c r="M199" s="333"/>
    </row>
    <row r="200">
      <c r="M200" s="333"/>
    </row>
    <row r="201">
      <c r="M201" s="333"/>
    </row>
    <row r="202">
      <c r="M202" s="333"/>
    </row>
    <row r="203">
      <c r="M203" s="333"/>
    </row>
    <row r="204">
      <c r="M204" s="333"/>
    </row>
    <row r="205">
      <c r="M205" s="333"/>
    </row>
    <row r="206">
      <c r="M206" s="333"/>
    </row>
    <row r="207">
      <c r="M207" s="333"/>
    </row>
    <row r="208">
      <c r="M208" s="333"/>
    </row>
    <row r="209">
      <c r="M209" s="333"/>
    </row>
    <row r="210">
      <c r="M210" s="333"/>
    </row>
    <row r="211">
      <c r="M211" s="333"/>
    </row>
    <row r="212">
      <c r="M212" s="333"/>
    </row>
    <row r="213">
      <c r="M213" s="333"/>
    </row>
    <row r="214">
      <c r="M214" s="333"/>
    </row>
    <row r="215">
      <c r="M215" s="333"/>
    </row>
    <row r="216">
      <c r="M216" s="333"/>
    </row>
    <row r="217">
      <c r="M217" s="333"/>
    </row>
    <row r="218">
      <c r="M218" s="333"/>
    </row>
    <row r="219">
      <c r="M219" s="333"/>
    </row>
    <row r="220">
      <c r="M220" s="333"/>
    </row>
    <row r="221">
      <c r="M221" s="333"/>
    </row>
    <row r="222">
      <c r="M222" s="333"/>
    </row>
    <row r="223">
      <c r="M223" s="333"/>
    </row>
    <row r="224">
      <c r="M224" s="333"/>
    </row>
    <row r="225">
      <c r="M225" s="333"/>
    </row>
    <row r="226">
      <c r="M226" s="333"/>
    </row>
    <row r="227">
      <c r="M227" s="333"/>
    </row>
    <row r="228">
      <c r="M228" s="333"/>
    </row>
    <row r="229">
      <c r="M229" s="333"/>
    </row>
    <row r="230">
      <c r="M230" s="333"/>
    </row>
    <row r="231">
      <c r="M231" s="333"/>
    </row>
    <row r="232">
      <c r="M232" s="333"/>
    </row>
    <row r="233">
      <c r="M233" s="333"/>
    </row>
    <row r="234">
      <c r="M234" s="333"/>
    </row>
    <row r="235">
      <c r="M235" s="333"/>
    </row>
    <row r="236">
      <c r="M236" s="333"/>
    </row>
    <row r="237">
      <c r="M237" s="333"/>
    </row>
    <row r="238">
      <c r="M238" s="333"/>
    </row>
    <row r="239">
      <c r="M239" s="333"/>
    </row>
    <row r="240">
      <c r="M240" s="333"/>
    </row>
    <row r="241">
      <c r="M241" s="333"/>
    </row>
    <row r="242">
      <c r="M242" s="333"/>
    </row>
    <row r="243">
      <c r="M243" s="333"/>
    </row>
    <row r="244">
      <c r="M244" s="333"/>
    </row>
    <row r="245">
      <c r="M245" s="333"/>
    </row>
    <row r="246">
      <c r="M246" s="333"/>
    </row>
    <row r="247">
      <c r="M247" s="333"/>
    </row>
    <row r="248">
      <c r="M248" s="333"/>
    </row>
    <row r="249">
      <c r="M249" s="333"/>
    </row>
    <row r="250">
      <c r="M250" s="333"/>
    </row>
    <row r="251">
      <c r="M251" s="333"/>
    </row>
    <row r="252">
      <c r="M252" s="333"/>
    </row>
    <row r="253">
      <c r="M253" s="333"/>
    </row>
    <row r="254">
      <c r="M254" s="333"/>
    </row>
    <row r="255">
      <c r="M255" s="333"/>
    </row>
    <row r="256">
      <c r="M256" s="333"/>
    </row>
    <row r="257">
      <c r="M257" s="333"/>
    </row>
    <row r="258">
      <c r="M258" s="333"/>
    </row>
    <row r="259">
      <c r="M259" s="333"/>
    </row>
    <row r="260">
      <c r="M260" s="333"/>
    </row>
    <row r="261">
      <c r="M261" s="333"/>
    </row>
    <row r="262">
      <c r="M262" s="333"/>
    </row>
    <row r="263">
      <c r="M263" s="333"/>
    </row>
    <row r="264">
      <c r="M264" s="333"/>
    </row>
    <row r="265">
      <c r="M265" s="333"/>
    </row>
    <row r="266">
      <c r="M266" s="333"/>
    </row>
    <row r="267">
      <c r="M267" s="333"/>
    </row>
    <row r="268">
      <c r="M268" s="333"/>
    </row>
    <row r="269">
      <c r="M269" s="333"/>
    </row>
    <row r="270">
      <c r="M270" s="333"/>
    </row>
    <row r="271">
      <c r="M271" s="333"/>
    </row>
    <row r="272">
      <c r="M272" s="333"/>
    </row>
    <row r="273">
      <c r="M273" s="333"/>
    </row>
    <row r="274">
      <c r="M274" s="333"/>
    </row>
    <row r="275">
      <c r="M275" s="333"/>
    </row>
    <row r="276">
      <c r="M276" s="333"/>
    </row>
    <row r="277">
      <c r="M277" s="333"/>
    </row>
    <row r="278">
      <c r="M278" s="333"/>
    </row>
    <row r="279">
      <c r="M279" s="333"/>
    </row>
    <row r="280">
      <c r="M280" s="333"/>
    </row>
    <row r="281">
      <c r="M281" s="333"/>
    </row>
    <row r="282">
      <c r="M282" s="333"/>
    </row>
    <row r="283">
      <c r="M283" s="333"/>
    </row>
    <row r="284">
      <c r="M284" s="333"/>
    </row>
    <row r="285">
      <c r="M285" s="333"/>
    </row>
    <row r="286">
      <c r="M286" s="333"/>
    </row>
    <row r="287">
      <c r="M287" s="333"/>
    </row>
    <row r="288">
      <c r="M288" s="333"/>
    </row>
    <row r="289">
      <c r="M289" s="333"/>
    </row>
    <row r="290">
      <c r="M290" s="333"/>
    </row>
    <row r="291">
      <c r="M291" s="333"/>
    </row>
    <row r="292">
      <c r="M292" s="333"/>
    </row>
    <row r="293">
      <c r="M293" s="333"/>
    </row>
    <row r="294">
      <c r="M294" s="333"/>
    </row>
    <row r="295">
      <c r="M295" s="333"/>
    </row>
    <row r="296">
      <c r="M296" s="333"/>
    </row>
    <row r="297">
      <c r="M297" s="333"/>
    </row>
    <row r="298">
      <c r="M298" s="333"/>
    </row>
    <row r="299">
      <c r="M299" s="333"/>
    </row>
    <row r="300">
      <c r="M300" s="333"/>
    </row>
    <row r="301">
      <c r="M301" s="333"/>
    </row>
    <row r="302">
      <c r="M302" s="333"/>
    </row>
    <row r="303">
      <c r="M303" s="333"/>
    </row>
    <row r="304">
      <c r="M304" s="333"/>
    </row>
    <row r="305">
      <c r="M305" s="333"/>
    </row>
    <row r="306">
      <c r="M306" s="333"/>
    </row>
    <row r="307">
      <c r="M307" s="333"/>
    </row>
    <row r="308">
      <c r="M308" s="333"/>
    </row>
    <row r="309">
      <c r="M309" s="333"/>
    </row>
    <row r="310">
      <c r="M310" s="333"/>
    </row>
    <row r="311">
      <c r="M311" s="333"/>
    </row>
    <row r="312">
      <c r="M312" s="333"/>
    </row>
    <row r="313">
      <c r="M313" s="333"/>
    </row>
    <row r="314">
      <c r="M314" s="333"/>
    </row>
    <row r="315">
      <c r="M315" s="333"/>
    </row>
    <row r="316">
      <c r="M316" s="333"/>
    </row>
    <row r="317">
      <c r="M317" s="333"/>
    </row>
    <row r="318">
      <c r="M318" s="333"/>
    </row>
    <row r="319">
      <c r="M319" s="333"/>
    </row>
    <row r="320">
      <c r="M320" s="333"/>
    </row>
    <row r="321">
      <c r="M321" s="333"/>
    </row>
    <row r="322">
      <c r="M322" s="333"/>
    </row>
    <row r="323">
      <c r="M323" s="333"/>
    </row>
    <row r="324">
      <c r="M324" s="333"/>
    </row>
    <row r="325">
      <c r="M325" s="333"/>
    </row>
    <row r="326">
      <c r="M326" s="333"/>
    </row>
    <row r="327">
      <c r="M327" s="333"/>
    </row>
    <row r="328">
      <c r="M328" s="333"/>
    </row>
    <row r="329">
      <c r="M329" s="333"/>
    </row>
    <row r="330">
      <c r="M330" s="333"/>
    </row>
    <row r="331">
      <c r="M331" s="333"/>
    </row>
    <row r="332">
      <c r="M332" s="333"/>
    </row>
    <row r="333">
      <c r="M333" s="333"/>
    </row>
    <row r="334">
      <c r="M334" s="333"/>
    </row>
    <row r="335">
      <c r="M335" s="333"/>
    </row>
    <row r="336">
      <c r="M336" s="333"/>
    </row>
    <row r="337">
      <c r="M337" s="333"/>
    </row>
    <row r="338">
      <c r="M338" s="333"/>
    </row>
    <row r="339">
      <c r="M339" s="333"/>
    </row>
    <row r="340">
      <c r="M340" s="333"/>
    </row>
    <row r="341">
      <c r="M341" s="333"/>
    </row>
    <row r="342">
      <c r="M342" s="333"/>
    </row>
    <row r="343">
      <c r="M343" s="333"/>
    </row>
    <row r="344">
      <c r="M344" s="333"/>
    </row>
    <row r="345">
      <c r="M345" s="333"/>
    </row>
    <row r="346">
      <c r="M346" s="333"/>
    </row>
    <row r="347">
      <c r="M347" s="333"/>
    </row>
    <row r="348">
      <c r="M348" s="333"/>
    </row>
    <row r="349">
      <c r="M349" s="333"/>
    </row>
    <row r="350">
      <c r="M350" s="333"/>
    </row>
    <row r="351">
      <c r="M351" s="333"/>
    </row>
    <row r="352">
      <c r="M352" s="333"/>
    </row>
    <row r="353">
      <c r="M353" s="333"/>
    </row>
    <row r="354">
      <c r="M354" s="333"/>
    </row>
    <row r="355">
      <c r="M355" s="333"/>
    </row>
    <row r="356">
      <c r="M356" s="333"/>
    </row>
    <row r="357">
      <c r="M357" s="333"/>
    </row>
    <row r="358">
      <c r="M358" s="333"/>
    </row>
    <row r="359">
      <c r="M359" s="333"/>
    </row>
    <row r="360">
      <c r="M360" s="333"/>
    </row>
    <row r="361">
      <c r="M361" s="333"/>
    </row>
    <row r="362">
      <c r="M362" s="333"/>
    </row>
    <row r="363">
      <c r="M363" s="333"/>
    </row>
    <row r="364">
      <c r="M364" s="333"/>
    </row>
    <row r="365">
      <c r="M365" s="333"/>
    </row>
    <row r="366">
      <c r="M366" s="333"/>
    </row>
    <row r="367">
      <c r="M367" s="333"/>
    </row>
    <row r="368">
      <c r="M368" s="333"/>
    </row>
    <row r="369">
      <c r="M369" s="333"/>
    </row>
    <row r="370">
      <c r="M370" s="333"/>
    </row>
    <row r="371">
      <c r="M371" s="333"/>
    </row>
    <row r="372">
      <c r="M372" s="333"/>
    </row>
    <row r="373">
      <c r="M373" s="333"/>
    </row>
    <row r="374">
      <c r="M374" s="333"/>
    </row>
    <row r="375">
      <c r="M375" s="333"/>
    </row>
    <row r="376">
      <c r="M376" s="333"/>
    </row>
    <row r="377">
      <c r="M377" s="333"/>
    </row>
    <row r="378">
      <c r="M378" s="333"/>
    </row>
    <row r="379">
      <c r="M379" s="333"/>
    </row>
    <row r="380">
      <c r="M380" s="333"/>
    </row>
    <row r="381">
      <c r="M381" s="333"/>
    </row>
    <row r="382">
      <c r="M382" s="333"/>
    </row>
    <row r="383">
      <c r="M383" s="333"/>
    </row>
    <row r="384">
      <c r="M384" s="333"/>
    </row>
    <row r="385">
      <c r="M385" s="333"/>
    </row>
    <row r="386">
      <c r="M386" s="333"/>
    </row>
    <row r="387">
      <c r="M387" s="333"/>
    </row>
    <row r="388">
      <c r="M388" s="333"/>
    </row>
    <row r="389">
      <c r="M389" s="333"/>
    </row>
    <row r="390">
      <c r="M390" s="333"/>
    </row>
    <row r="391">
      <c r="M391" s="333"/>
    </row>
    <row r="392">
      <c r="M392" s="333"/>
    </row>
    <row r="393">
      <c r="M393" s="333"/>
    </row>
    <row r="394">
      <c r="M394" s="333"/>
    </row>
    <row r="395">
      <c r="M395" s="333"/>
    </row>
    <row r="396">
      <c r="M396" s="333"/>
    </row>
    <row r="397">
      <c r="M397" s="333"/>
    </row>
    <row r="398">
      <c r="M398" s="333"/>
    </row>
    <row r="399">
      <c r="M399" s="333"/>
    </row>
    <row r="400">
      <c r="M400" s="333"/>
    </row>
    <row r="401">
      <c r="M401" s="333"/>
    </row>
    <row r="402">
      <c r="M402" s="333"/>
    </row>
    <row r="403">
      <c r="M403" s="333"/>
    </row>
    <row r="404">
      <c r="M404" s="333"/>
    </row>
    <row r="405">
      <c r="M405" s="333"/>
    </row>
    <row r="406">
      <c r="M406" s="333"/>
    </row>
    <row r="407">
      <c r="M407" s="333"/>
    </row>
    <row r="408">
      <c r="M408" s="333"/>
    </row>
    <row r="409">
      <c r="M409" s="333"/>
    </row>
    <row r="410">
      <c r="M410" s="333"/>
    </row>
    <row r="411">
      <c r="M411" s="333"/>
    </row>
    <row r="412">
      <c r="M412" s="333"/>
    </row>
    <row r="413">
      <c r="M413" s="333"/>
    </row>
    <row r="414">
      <c r="M414" s="333"/>
    </row>
    <row r="415">
      <c r="M415" s="333"/>
    </row>
    <row r="416">
      <c r="M416" s="333"/>
    </row>
    <row r="417">
      <c r="M417" s="333"/>
    </row>
    <row r="418">
      <c r="M418" s="333"/>
    </row>
    <row r="419">
      <c r="M419" s="333"/>
    </row>
    <row r="420">
      <c r="M420" s="333"/>
    </row>
    <row r="421">
      <c r="M421" s="333"/>
    </row>
    <row r="422">
      <c r="M422" s="333"/>
    </row>
    <row r="423">
      <c r="M423" s="333"/>
    </row>
    <row r="424">
      <c r="M424" s="333"/>
    </row>
    <row r="425">
      <c r="M425" s="333"/>
    </row>
    <row r="426">
      <c r="M426" s="333"/>
    </row>
    <row r="427">
      <c r="M427" s="333"/>
    </row>
    <row r="428">
      <c r="M428" s="333"/>
    </row>
    <row r="429">
      <c r="M429" s="333"/>
    </row>
    <row r="430">
      <c r="M430" s="333"/>
    </row>
    <row r="431">
      <c r="M431" s="333"/>
    </row>
    <row r="432">
      <c r="M432" s="333"/>
    </row>
    <row r="433">
      <c r="M433" s="333"/>
    </row>
    <row r="434">
      <c r="M434" s="333"/>
    </row>
    <row r="435">
      <c r="M435" s="333"/>
    </row>
    <row r="436">
      <c r="M436" s="333"/>
    </row>
    <row r="437">
      <c r="M437" s="333"/>
    </row>
    <row r="438">
      <c r="M438" s="333"/>
    </row>
    <row r="439">
      <c r="M439" s="333"/>
    </row>
    <row r="440">
      <c r="M440" s="333"/>
    </row>
    <row r="441">
      <c r="M441" s="333"/>
    </row>
    <row r="442">
      <c r="M442" s="333"/>
    </row>
    <row r="443">
      <c r="M443" s="333"/>
    </row>
    <row r="444">
      <c r="M444" s="333"/>
    </row>
    <row r="445">
      <c r="M445" s="333"/>
    </row>
    <row r="446">
      <c r="M446" s="333"/>
    </row>
    <row r="447">
      <c r="M447" s="333"/>
    </row>
    <row r="448">
      <c r="M448" s="333"/>
    </row>
    <row r="449">
      <c r="M449" s="333"/>
    </row>
    <row r="450">
      <c r="M450" s="333"/>
    </row>
    <row r="451">
      <c r="M451" s="333"/>
    </row>
    <row r="452">
      <c r="M452" s="333"/>
    </row>
    <row r="453">
      <c r="M453" s="333"/>
    </row>
    <row r="454">
      <c r="M454" s="333"/>
    </row>
    <row r="455">
      <c r="M455" s="333"/>
    </row>
    <row r="456">
      <c r="M456" s="333"/>
    </row>
    <row r="457">
      <c r="M457" s="333"/>
    </row>
    <row r="458">
      <c r="M458" s="333"/>
    </row>
    <row r="459">
      <c r="M459" s="333"/>
    </row>
    <row r="460">
      <c r="M460" s="333"/>
    </row>
    <row r="461">
      <c r="M461" s="333"/>
    </row>
    <row r="462">
      <c r="M462" s="333"/>
    </row>
    <row r="463">
      <c r="M463" s="333"/>
    </row>
    <row r="464">
      <c r="M464" s="333"/>
    </row>
    <row r="465">
      <c r="M465" s="333"/>
    </row>
    <row r="466">
      <c r="M466" s="333"/>
    </row>
    <row r="467">
      <c r="M467" s="333"/>
    </row>
    <row r="468">
      <c r="M468" s="333"/>
    </row>
    <row r="469">
      <c r="M469" s="333"/>
    </row>
    <row r="470">
      <c r="M470" s="333"/>
    </row>
    <row r="471">
      <c r="M471" s="333"/>
    </row>
    <row r="472">
      <c r="M472" s="333"/>
    </row>
    <row r="473">
      <c r="M473" s="333"/>
    </row>
    <row r="474">
      <c r="M474" s="333"/>
    </row>
    <row r="475">
      <c r="M475" s="333"/>
    </row>
    <row r="476">
      <c r="M476" s="333"/>
    </row>
    <row r="477">
      <c r="M477" s="333"/>
    </row>
    <row r="478">
      <c r="M478" s="333"/>
    </row>
    <row r="479">
      <c r="M479" s="333"/>
    </row>
    <row r="480">
      <c r="M480" s="333"/>
    </row>
    <row r="481">
      <c r="M481" s="333"/>
    </row>
    <row r="482">
      <c r="M482" s="333"/>
    </row>
    <row r="483">
      <c r="M483" s="333"/>
    </row>
    <row r="484">
      <c r="M484" s="333"/>
    </row>
    <row r="485">
      <c r="M485" s="333"/>
    </row>
    <row r="486">
      <c r="M486" s="333"/>
    </row>
    <row r="487">
      <c r="M487" s="333"/>
    </row>
    <row r="488">
      <c r="M488" s="333"/>
    </row>
    <row r="489">
      <c r="M489" s="333"/>
    </row>
    <row r="490">
      <c r="M490" s="333"/>
    </row>
    <row r="491">
      <c r="M491" s="333"/>
    </row>
    <row r="492">
      <c r="M492" s="333"/>
    </row>
    <row r="493">
      <c r="M493" s="333"/>
    </row>
    <row r="494">
      <c r="M494" s="333"/>
    </row>
    <row r="495">
      <c r="M495" s="333"/>
    </row>
    <row r="496">
      <c r="M496" s="333"/>
    </row>
    <row r="497">
      <c r="M497" s="333"/>
    </row>
    <row r="498">
      <c r="M498" s="333"/>
    </row>
    <row r="499">
      <c r="M499" s="333"/>
    </row>
    <row r="500">
      <c r="M500" s="333"/>
    </row>
    <row r="501">
      <c r="M501" s="333"/>
    </row>
    <row r="502">
      <c r="M502" s="333"/>
    </row>
    <row r="503">
      <c r="M503" s="333"/>
    </row>
    <row r="504">
      <c r="M504" s="333"/>
    </row>
    <row r="505">
      <c r="M505" s="333"/>
    </row>
    <row r="506">
      <c r="M506" s="333"/>
    </row>
    <row r="507">
      <c r="M507" s="333"/>
    </row>
    <row r="508">
      <c r="M508" s="333"/>
    </row>
    <row r="509">
      <c r="M509" s="333"/>
    </row>
    <row r="510">
      <c r="M510" s="333"/>
    </row>
    <row r="511">
      <c r="M511" s="333"/>
    </row>
    <row r="512">
      <c r="M512" s="333"/>
    </row>
    <row r="513">
      <c r="M513" s="333"/>
    </row>
    <row r="514">
      <c r="M514" s="333"/>
    </row>
    <row r="515">
      <c r="M515" s="333"/>
    </row>
    <row r="516">
      <c r="M516" s="333"/>
    </row>
    <row r="517">
      <c r="M517" s="333"/>
    </row>
    <row r="518">
      <c r="M518" s="333"/>
    </row>
    <row r="519">
      <c r="M519" s="333"/>
    </row>
    <row r="520">
      <c r="M520" s="333"/>
    </row>
    <row r="521">
      <c r="M521" s="333"/>
    </row>
    <row r="522">
      <c r="M522" s="333"/>
    </row>
    <row r="523">
      <c r="M523" s="333"/>
    </row>
    <row r="524">
      <c r="M524" s="333"/>
    </row>
    <row r="525">
      <c r="M525" s="333"/>
    </row>
    <row r="526">
      <c r="M526" s="333"/>
    </row>
    <row r="527">
      <c r="M527" s="333"/>
    </row>
    <row r="528">
      <c r="M528" s="333"/>
    </row>
    <row r="529">
      <c r="M529" s="333"/>
    </row>
    <row r="530">
      <c r="M530" s="333"/>
    </row>
    <row r="531">
      <c r="M531" s="333"/>
    </row>
    <row r="532">
      <c r="M532" s="333"/>
    </row>
    <row r="533">
      <c r="M533" s="333"/>
    </row>
    <row r="534">
      <c r="M534" s="333"/>
    </row>
    <row r="535">
      <c r="M535" s="333"/>
    </row>
    <row r="536">
      <c r="M536" s="333"/>
    </row>
    <row r="537">
      <c r="M537" s="333"/>
    </row>
    <row r="538">
      <c r="M538" s="333"/>
    </row>
    <row r="539">
      <c r="M539" s="333"/>
    </row>
    <row r="540">
      <c r="M540" s="333"/>
    </row>
    <row r="541">
      <c r="M541" s="333"/>
    </row>
    <row r="542">
      <c r="M542" s="333"/>
    </row>
    <row r="543">
      <c r="M543" s="333"/>
    </row>
    <row r="544">
      <c r="M544" s="333"/>
    </row>
    <row r="545">
      <c r="M545" s="333"/>
    </row>
    <row r="546">
      <c r="M546" s="333"/>
    </row>
    <row r="547">
      <c r="M547" s="333"/>
    </row>
    <row r="548">
      <c r="M548" s="333"/>
    </row>
    <row r="549">
      <c r="M549" s="333"/>
    </row>
    <row r="550">
      <c r="M550" s="333"/>
    </row>
    <row r="551">
      <c r="M551" s="333"/>
    </row>
    <row r="552">
      <c r="M552" s="333"/>
    </row>
    <row r="553">
      <c r="M553" s="333"/>
    </row>
    <row r="554">
      <c r="M554" s="333"/>
    </row>
    <row r="555">
      <c r="M555" s="333"/>
    </row>
    <row r="556">
      <c r="M556" s="333"/>
    </row>
    <row r="557">
      <c r="M557" s="333"/>
    </row>
    <row r="558">
      <c r="M558" s="333"/>
    </row>
    <row r="559">
      <c r="M559" s="333"/>
    </row>
    <row r="560">
      <c r="M560" s="333"/>
    </row>
    <row r="561">
      <c r="M561" s="333"/>
    </row>
    <row r="562">
      <c r="M562" s="333"/>
    </row>
    <row r="563">
      <c r="M563" s="333"/>
    </row>
    <row r="564">
      <c r="M564" s="333"/>
    </row>
    <row r="565">
      <c r="M565" s="333"/>
    </row>
    <row r="566">
      <c r="M566" s="333"/>
    </row>
    <row r="567">
      <c r="M567" s="333"/>
    </row>
    <row r="568">
      <c r="M568" s="333"/>
    </row>
    <row r="569">
      <c r="M569" s="333"/>
    </row>
    <row r="570">
      <c r="M570" s="333"/>
    </row>
    <row r="571">
      <c r="M571" s="333"/>
    </row>
    <row r="572">
      <c r="M572" s="333"/>
    </row>
    <row r="573">
      <c r="M573" s="333"/>
    </row>
    <row r="574">
      <c r="M574" s="333"/>
    </row>
    <row r="575">
      <c r="M575" s="333"/>
    </row>
    <row r="576">
      <c r="M576" s="333"/>
    </row>
    <row r="577">
      <c r="M577" s="333"/>
    </row>
    <row r="578">
      <c r="M578" s="333"/>
    </row>
    <row r="579">
      <c r="M579" s="333"/>
    </row>
    <row r="580">
      <c r="M580" s="333"/>
    </row>
    <row r="581">
      <c r="M581" s="333"/>
    </row>
    <row r="582">
      <c r="M582" s="333"/>
    </row>
    <row r="583">
      <c r="M583" s="333"/>
    </row>
    <row r="584">
      <c r="M584" s="333"/>
    </row>
    <row r="585">
      <c r="M585" s="333"/>
    </row>
    <row r="586">
      <c r="M586" s="333"/>
    </row>
    <row r="587">
      <c r="M587" s="333"/>
    </row>
    <row r="588">
      <c r="M588" s="333"/>
    </row>
    <row r="589">
      <c r="M589" s="333"/>
    </row>
    <row r="590">
      <c r="M590" s="333"/>
    </row>
    <row r="591">
      <c r="M591" s="333"/>
    </row>
    <row r="592">
      <c r="M592" s="333"/>
    </row>
    <row r="593">
      <c r="M593" s="333"/>
    </row>
    <row r="594">
      <c r="M594" s="333"/>
    </row>
    <row r="595">
      <c r="M595" s="333"/>
    </row>
    <row r="596">
      <c r="M596" s="333"/>
    </row>
    <row r="597">
      <c r="M597" s="333"/>
    </row>
    <row r="598">
      <c r="M598" s="333"/>
    </row>
    <row r="599">
      <c r="M599" s="333"/>
    </row>
    <row r="600">
      <c r="M600" s="333"/>
    </row>
    <row r="601">
      <c r="M601" s="333"/>
    </row>
    <row r="602">
      <c r="M602" s="333"/>
    </row>
    <row r="603">
      <c r="M603" s="333"/>
    </row>
    <row r="604">
      <c r="M604" s="333"/>
    </row>
    <row r="605">
      <c r="M605" s="333"/>
    </row>
    <row r="606">
      <c r="M606" s="333"/>
    </row>
    <row r="607">
      <c r="M607" s="333"/>
    </row>
    <row r="608">
      <c r="M608" s="333"/>
    </row>
    <row r="609">
      <c r="M609" s="333"/>
    </row>
    <row r="610">
      <c r="M610" s="333"/>
    </row>
    <row r="611">
      <c r="M611" s="333"/>
    </row>
    <row r="612">
      <c r="M612" s="333"/>
    </row>
    <row r="613">
      <c r="M613" s="333"/>
    </row>
    <row r="614">
      <c r="M614" s="333"/>
    </row>
    <row r="615">
      <c r="M615" s="333"/>
    </row>
    <row r="616">
      <c r="M616" s="333"/>
    </row>
    <row r="617">
      <c r="M617" s="333"/>
    </row>
    <row r="618">
      <c r="M618" s="333"/>
    </row>
    <row r="619">
      <c r="M619" s="333"/>
    </row>
    <row r="620">
      <c r="M620" s="333"/>
    </row>
    <row r="621">
      <c r="M621" s="333"/>
    </row>
    <row r="622">
      <c r="M622" s="333"/>
    </row>
    <row r="623">
      <c r="M623" s="333"/>
    </row>
    <row r="624">
      <c r="M624" s="333"/>
    </row>
    <row r="625">
      <c r="M625" s="333"/>
    </row>
    <row r="626">
      <c r="M626" s="333"/>
    </row>
    <row r="627">
      <c r="M627" s="333"/>
    </row>
    <row r="628">
      <c r="M628" s="333"/>
    </row>
    <row r="629">
      <c r="M629" s="333"/>
    </row>
    <row r="630">
      <c r="M630" s="333"/>
    </row>
    <row r="631">
      <c r="M631" s="333"/>
    </row>
    <row r="632">
      <c r="M632" s="333"/>
    </row>
    <row r="633">
      <c r="M633" s="333"/>
    </row>
    <row r="634">
      <c r="M634" s="333"/>
    </row>
    <row r="635">
      <c r="M635" s="333"/>
    </row>
    <row r="636">
      <c r="M636" s="333"/>
    </row>
    <row r="637">
      <c r="M637" s="333"/>
    </row>
    <row r="638">
      <c r="M638" s="333"/>
    </row>
    <row r="639">
      <c r="M639" s="333"/>
    </row>
    <row r="640">
      <c r="M640" s="333"/>
    </row>
    <row r="641">
      <c r="M641" s="333"/>
    </row>
    <row r="642">
      <c r="M642" s="333"/>
    </row>
    <row r="643">
      <c r="M643" s="333"/>
    </row>
    <row r="644">
      <c r="M644" s="333"/>
    </row>
    <row r="645">
      <c r="M645" s="333"/>
    </row>
    <row r="646">
      <c r="M646" s="333"/>
    </row>
    <row r="647">
      <c r="M647" s="333"/>
    </row>
    <row r="648">
      <c r="M648" s="333"/>
    </row>
    <row r="649">
      <c r="M649" s="333"/>
    </row>
    <row r="650">
      <c r="M650" s="333"/>
    </row>
    <row r="651">
      <c r="M651" s="333"/>
    </row>
    <row r="652">
      <c r="M652" s="333"/>
    </row>
    <row r="653">
      <c r="M653" s="333"/>
    </row>
    <row r="654">
      <c r="M654" s="333"/>
    </row>
    <row r="655">
      <c r="M655" s="333"/>
    </row>
    <row r="656">
      <c r="M656" s="333"/>
    </row>
    <row r="657">
      <c r="M657" s="333"/>
    </row>
    <row r="658">
      <c r="M658" s="333"/>
    </row>
    <row r="659">
      <c r="M659" s="333"/>
    </row>
    <row r="660">
      <c r="M660" s="333"/>
    </row>
    <row r="661">
      <c r="M661" s="333"/>
    </row>
    <row r="662">
      <c r="M662" s="333"/>
    </row>
    <row r="663">
      <c r="M663" s="333"/>
    </row>
    <row r="664">
      <c r="M664" s="333"/>
    </row>
    <row r="665">
      <c r="M665" s="333"/>
    </row>
    <row r="666">
      <c r="M666" s="333"/>
    </row>
    <row r="667">
      <c r="M667" s="333"/>
    </row>
    <row r="668">
      <c r="M668" s="333"/>
    </row>
    <row r="669">
      <c r="M669" s="333"/>
    </row>
    <row r="670">
      <c r="M670" s="333"/>
    </row>
    <row r="671">
      <c r="M671" s="333"/>
    </row>
    <row r="672">
      <c r="M672" s="333"/>
    </row>
    <row r="673">
      <c r="M673" s="333"/>
    </row>
    <row r="674">
      <c r="M674" s="333"/>
    </row>
    <row r="675">
      <c r="M675" s="333"/>
    </row>
    <row r="676">
      <c r="M676" s="333"/>
    </row>
    <row r="677">
      <c r="M677" s="333"/>
    </row>
    <row r="678">
      <c r="M678" s="333"/>
    </row>
    <row r="679">
      <c r="M679" s="333"/>
    </row>
    <row r="680">
      <c r="M680" s="333"/>
    </row>
    <row r="681">
      <c r="M681" s="333"/>
    </row>
    <row r="682">
      <c r="M682" s="333"/>
    </row>
    <row r="683">
      <c r="M683" s="333"/>
    </row>
    <row r="684">
      <c r="M684" s="333"/>
    </row>
    <row r="685">
      <c r="M685" s="333"/>
    </row>
    <row r="686">
      <c r="M686" s="333"/>
    </row>
    <row r="687">
      <c r="M687" s="333"/>
    </row>
    <row r="688">
      <c r="M688" s="333"/>
    </row>
    <row r="689">
      <c r="M689" s="333"/>
    </row>
    <row r="690">
      <c r="M690" s="333"/>
    </row>
    <row r="691">
      <c r="M691" s="333"/>
    </row>
    <row r="692">
      <c r="M692" s="333"/>
    </row>
    <row r="693">
      <c r="M693" s="333"/>
    </row>
    <row r="694">
      <c r="M694" s="333"/>
    </row>
    <row r="695">
      <c r="M695" s="333"/>
    </row>
    <row r="696">
      <c r="M696" s="333"/>
    </row>
    <row r="697">
      <c r="M697" s="333"/>
    </row>
    <row r="698">
      <c r="M698" s="333"/>
    </row>
    <row r="699">
      <c r="M699" s="333"/>
    </row>
    <row r="700">
      <c r="M700" s="333"/>
    </row>
    <row r="701">
      <c r="M701" s="333"/>
    </row>
    <row r="702">
      <c r="M702" s="333"/>
    </row>
    <row r="703">
      <c r="M703" s="333"/>
    </row>
    <row r="704">
      <c r="M704" s="333"/>
    </row>
    <row r="705">
      <c r="M705" s="333"/>
    </row>
    <row r="706">
      <c r="M706" s="333"/>
    </row>
    <row r="707">
      <c r="M707" s="333"/>
    </row>
    <row r="708">
      <c r="M708" s="333"/>
    </row>
    <row r="709">
      <c r="M709" s="333"/>
    </row>
    <row r="710">
      <c r="M710" s="333"/>
    </row>
    <row r="711">
      <c r="M711" s="333"/>
    </row>
    <row r="712">
      <c r="M712" s="333"/>
    </row>
    <row r="713">
      <c r="M713" s="333"/>
    </row>
    <row r="714">
      <c r="M714" s="333"/>
    </row>
    <row r="715">
      <c r="M715" s="333"/>
    </row>
    <row r="716">
      <c r="M716" s="333"/>
    </row>
    <row r="717">
      <c r="M717" s="333"/>
    </row>
    <row r="718">
      <c r="M718" s="333"/>
    </row>
    <row r="719">
      <c r="M719" s="333"/>
    </row>
    <row r="720">
      <c r="M720" s="333"/>
    </row>
    <row r="721">
      <c r="M721" s="333"/>
    </row>
    <row r="722">
      <c r="M722" s="333"/>
    </row>
    <row r="723">
      <c r="M723" s="333"/>
    </row>
    <row r="724">
      <c r="M724" s="333"/>
    </row>
    <row r="725">
      <c r="M725" s="333"/>
    </row>
    <row r="726">
      <c r="M726" s="333"/>
    </row>
    <row r="727">
      <c r="M727" s="333"/>
    </row>
    <row r="728">
      <c r="M728" s="333"/>
    </row>
    <row r="729">
      <c r="M729" s="333"/>
    </row>
    <row r="730">
      <c r="M730" s="333"/>
    </row>
    <row r="731">
      <c r="M731" s="333"/>
    </row>
    <row r="732">
      <c r="M732" s="333"/>
    </row>
    <row r="733">
      <c r="M733" s="333"/>
    </row>
    <row r="734">
      <c r="M734" s="333"/>
    </row>
    <row r="735">
      <c r="M735" s="333"/>
    </row>
    <row r="736">
      <c r="M736" s="333"/>
    </row>
    <row r="737">
      <c r="M737" s="333"/>
    </row>
    <row r="738">
      <c r="M738" s="333"/>
    </row>
    <row r="739">
      <c r="M739" s="333"/>
    </row>
    <row r="740">
      <c r="M740" s="333"/>
    </row>
    <row r="741">
      <c r="M741" s="333"/>
    </row>
    <row r="742">
      <c r="M742" s="333"/>
    </row>
    <row r="743">
      <c r="M743" s="333"/>
    </row>
    <row r="744">
      <c r="M744" s="333"/>
    </row>
    <row r="745">
      <c r="M745" s="333"/>
    </row>
    <row r="746">
      <c r="M746" s="333"/>
    </row>
    <row r="747">
      <c r="M747" s="333"/>
    </row>
    <row r="748">
      <c r="M748" s="333"/>
    </row>
    <row r="749">
      <c r="M749" s="333"/>
    </row>
    <row r="750">
      <c r="M750" s="333"/>
    </row>
    <row r="751">
      <c r="M751" s="333"/>
    </row>
    <row r="752">
      <c r="M752" s="333"/>
    </row>
    <row r="753">
      <c r="M753" s="333"/>
    </row>
    <row r="754">
      <c r="M754" s="333"/>
    </row>
    <row r="755">
      <c r="M755" s="333"/>
    </row>
    <row r="756">
      <c r="M756" s="333"/>
    </row>
    <row r="757">
      <c r="M757" s="333"/>
    </row>
    <row r="758">
      <c r="M758" s="333"/>
    </row>
    <row r="759">
      <c r="M759" s="333"/>
    </row>
    <row r="760">
      <c r="M760" s="333"/>
    </row>
    <row r="761">
      <c r="M761" s="333"/>
    </row>
    <row r="762">
      <c r="M762" s="333"/>
    </row>
    <row r="763">
      <c r="M763" s="333"/>
    </row>
    <row r="764">
      <c r="M764" s="333"/>
    </row>
    <row r="765">
      <c r="M765" s="333"/>
    </row>
    <row r="766">
      <c r="M766" s="333"/>
    </row>
    <row r="767">
      <c r="M767" s="333"/>
    </row>
    <row r="768">
      <c r="M768" s="333"/>
    </row>
    <row r="769">
      <c r="M769" s="333"/>
    </row>
    <row r="770">
      <c r="M770" s="333"/>
    </row>
    <row r="771">
      <c r="M771" s="333"/>
    </row>
    <row r="772">
      <c r="M772" s="333"/>
    </row>
    <row r="773">
      <c r="M773" s="333"/>
    </row>
    <row r="774">
      <c r="M774" s="333"/>
    </row>
    <row r="775">
      <c r="M775" s="333"/>
    </row>
    <row r="776">
      <c r="M776" s="333"/>
    </row>
    <row r="777">
      <c r="M777" s="333"/>
    </row>
    <row r="778">
      <c r="M778" s="333"/>
    </row>
    <row r="779">
      <c r="M779" s="333"/>
    </row>
    <row r="780">
      <c r="M780" s="333"/>
    </row>
    <row r="781">
      <c r="M781" s="333"/>
    </row>
    <row r="782">
      <c r="M782" s="333"/>
    </row>
    <row r="783">
      <c r="M783" s="333"/>
    </row>
    <row r="784">
      <c r="M784" s="333"/>
    </row>
    <row r="785">
      <c r="M785" s="333"/>
    </row>
    <row r="786">
      <c r="M786" s="333"/>
    </row>
    <row r="787">
      <c r="M787" s="333"/>
    </row>
    <row r="788">
      <c r="M788" s="333"/>
    </row>
    <row r="789">
      <c r="M789" s="333"/>
    </row>
    <row r="790">
      <c r="M790" s="333"/>
    </row>
    <row r="791">
      <c r="M791" s="333"/>
    </row>
    <row r="792">
      <c r="M792" s="333"/>
    </row>
    <row r="793">
      <c r="M793" s="333"/>
    </row>
    <row r="794">
      <c r="M794" s="333"/>
    </row>
    <row r="795">
      <c r="M795" s="333"/>
    </row>
    <row r="796">
      <c r="M796" s="333"/>
    </row>
    <row r="797">
      <c r="M797" s="333"/>
    </row>
    <row r="798">
      <c r="M798" s="333"/>
    </row>
    <row r="799">
      <c r="M799" s="333"/>
    </row>
    <row r="800">
      <c r="M800" s="333"/>
    </row>
    <row r="801">
      <c r="M801" s="333"/>
    </row>
    <row r="802">
      <c r="M802" s="333"/>
    </row>
    <row r="803">
      <c r="M803" s="333"/>
    </row>
    <row r="804">
      <c r="M804" s="333"/>
    </row>
    <row r="805">
      <c r="M805" s="333"/>
    </row>
    <row r="806">
      <c r="M806" s="333"/>
    </row>
    <row r="807">
      <c r="M807" s="333"/>
    </row>
    <row r="808">
      <c r="M808" s="333"/>
    </row>
    <row r="809">
      <c r="M809" s="333"/>
    </row>
    <row r="810">
      <c r="M810" s="333"/>
    </row>
    <row r="811">
      <c r="M811" s="333"/>
    </row>
    <row r="812">
      <c r="M812" s="333"/>
    </row>
    <row r="813">
      <c r="M813" s="333"/>
    </row>
    <row r="814">
      <c r="M814" s="333"/>
    </row>
    <row r="815">
      <c r="M815" s="333"/>
    </row>
    <row r="816">
      <c r="M816" s="333"/>
    </row>
    <row r="817">
      <c r="M817" s="333"/>
    </row>
    <row r="818">
      <c r="M818" s="333"/>
    </row>
    <row r="819">
      <c r="M819" s="333"/>
    </row>
    <row r="820">
      <c r="M820" s="333"/>
    </row>
    <row r="821">
      <c r="M821" s="333"/>
    </row>
    <row r="822">
      <c r="M822" s="333"/>
    </row>
    <row r="823">
      <c r="M823" s="333"/>
    </row>
    <row r="824">
      <c r="M824" s="333"/>
    </row>
    <row r="825">
      <c r="M825" s="333"/>
    </row>
    <row r="826">
      <c r="M826" s="333"/>
    </row>
    <row r="827">
      <c r="M827" s="333"/>
    </row>
    <row r="828">
      <c r="M828" s="333"/>
    </row>
    <row r="829">
      <c r="M829" s="333"/>
    </row>
    <row r="830">
      <c r="M830" s="333"/>
    </row>
    <row r="831">
      <c r="M831" s="333"/>
    </row>
    <row r="832">
      <c r="M832" s="333"/>
    </row>
    <row r="833">
      <c r="M833" s="333"/>
    </row>
    <row r="834">
      <c r="M834" s="333"/>
    </row>
    <row r="835">
      <c r="M835" s="333"/>
    </row>
    <row r="836">
      <c r="M836" s="333"/>
    </row>
    <row r="837">
      <c r="M837" s="333"/>
    </row>
    <row r="838">
      <c r="M838" s="333"/>
    </row>
    <row r="839">
      <c r="M839" s="333"/>
    </row>
    <row r="840">
      <c r="M840" s="333"/>
    </row>
    <row r="841">
      <c r="M841" s="333"/>
    </row>
    <row r="842">
      <c r="M842" s="333"/>
    </row>
    <row r="843">
      <c r="M843" s="333"/>
    </row>
    <row r="844">
      <c r="M844" s="333"/>
    </row>
    <row r="845">
      <c r="M845" s="333"/>
    </row>
    <row r="846">
      <c r="M846" s="333"/>
    </row>
    <row r="847">
      <c r="M847" s="333"/>
    </row>
    <row r="848">
      <c r="M848" s="333"/>
    </row>
    <row r="849">
      <c r="M849" s="333"/>
    </row>
    <row r="850">
      <c r="M850" s="333"/>
    </row>
    <row r="851">
      <c r="M851" s="333"/>
    </row>
    <row r="852">
      <c r="M852" s="333"/>
    </row>
    <row r="853">
      <c r="M853" s="333"/>
    </row>
    <row r="854">
      <c r="M854" s="333"/>
    </row>
    <row r="855">
      <c r="M855" s="333"/>
    </row>
    <row r="856">
      <c r="M856" s="333"/>
    </row>
    <row r="857">
      <c r="M857" s="333"/>
    </row>
    <row r="858">
      <c r="M858" s="333"/>
    </row>
    <row r="859">
      <c r="M859" s="333"/>
    </row>
    <row r="860">
      <c r="M860" s="333"/>
    </row>
    <row r="861">
      <c r="M861" s="333"/>
    </row>
    <row r="862">
      <c r="M862" s="333"/>
    </row>
    <row r="863">
      <c r="M863" s="333"/>
    </row>
    <row r="864">
      <c r="M864" s="333"/>
    </row>
    <row r="865">
      <c r="M865" s="333"/>
    </row>
    <row r="866">
      <c r="M866" s="333"/>
    </row>
    <row r="867">
      <c r="M867" s="333"/>
    </row>
    <row r="868">
      <c r="M868" s="333"/>
    </row>
    <row r="869">
      <c r="M869" s="333"/>
    </row>
    <row r="870">
      <c r="M870" s="333"/>
    </row>
    <row r="871">
      <c r="M871" s="333"/>
    </row>
    <row r="872">
      <c r="M872" s="333"/>
    </row>
    <row r="873">
      <c r="M873" s="333"/>
    </row>
    <row r="874">
      <c r="M874" s="333"/>
    </row>
    <row r="875">
      <c r="M875" s="333"/>
    </row>
    <row r="876">
      <c r="M876" s="333"/>
    </row>
    <row r="877">
      <c r="M877" s="333"/>
    </row>
    <row r="878">
      <c r="M878" s="333"/>
    </row>
    <row r="879">
      <c r="M879" s="333"/>
    </row>
    <row r="880">
      <c r="M880" s="333"/>
    </row>
    <row r="881">
      <c r="M881" s="333"/>
    </row>
    <row r="882">
      <c r="M882" s="333"/>
    </row>
    <row r="883">
      <c r="M883" s="333"/>
    </row>
    <row r="884">
      <c r="M884" s="333"/>
    </row>
    <row r="885">
      <c r="M885" s="333"/>
    </row>
    <row r="886">
      <c r="M886" s="333"/>
    </row>
    <row r="887">
      <c r="M887" s="333"/>
    </row>
    <row r="888">
      <c r="M888" s="333"/>
    </row>
    <row r="889">
      <c r="M889" s="333"/>
    </row>
    <row r="890">
      <c r="M890" s="333"/>
    </row>
    <row r="891">
      <c r="M891" s="333"/>
    </row>
    <row r="892">
      <c r="M892" s="333"/>
    </row>
    <row r="893">
      <c r="M893" s="333"/>
    </row>
    <row r="894">
      <c r="M894" s="333"/>
    </row>
    <row r="895">
      <c r="M895" s="333"/>
    </row>
    <row r="896">
      <c r="M896" s="333"/>
    </row>
    <row r="897">
      <c r="M897" s="333"/>
    </row>
    <row r="898">
      <c r="M898" s="333"/>
    </row>
    <row r="899">
      <c r="M899" s="333"/>
    </row>
    <row r="900">
      <c r="M900" s="333"/>
    </row>
    <row r="901">
      <c r="M901" s="333"/>
    </row>
    <row r="902">
      <c r="M902" s="333"/>
    </row>
    <row r="903">
      <c r="M903" s="333"/>
    </row>
    <row r="904">
      <c r="M904" s="333"/>
    </row>
    <row r="905">
      <c r="M905" s="333"/>
    </row>
    <row r="906">
      <c r="M906" s="333"/>
    </row>
    <row r="907">
      <c r="M907" s="333"/>
    </row>
    <row r="908">
      <c r="M908" s="333"/>
    </row>
    <row r="909">
      <c r="M909" s="333"/>
    </row>
    <row r="910">
      <c r="M910" s="333"/>
    </row>
    <row r="911">
      <c r="M911" s="333"/>
    </row>
    <row r="912">
      <c r="M912" s="333"/>
    </row>
    <row r="913">
      <c r="M913" s="333"/>
    </row>
    <row r="914">
      <c r="M914" s="333"/>
    </row>
    <row r="915">
      <c r="M915" s="333"/>
    </row>
    <row r="916">
      <c r="M916" s="333"/>
    </row>
    <row r="917">
      <c r="M917" s="333"/>
    </row>
    <row r="918">
      <c r="M918" s="333"/>
    </row>
    <row r="919">
      <c r="M919" s="333"/>
    </row>
    <row r="920">
      <c r="M920" s="333"/>
    </row>
    <row r="921">
      <c r="M921" s="333"/>
    </row>
    <row r="922">
      <c r="M922" s="333"/>
    </row>
    <row r="923">
      <c r="M923" s="333"/>
    </row>
    <row r="924">
      <c r="M924" s="333"/>
    </row>
    <row r="925">
      <c r="M925" s="333"/>
    </row>
    <row r="926">
      <c r="M926" s="333"/>
    </row>
    <row r="927">
      <c r="M927" s="333"/>
    </row>
    <row r="928">
      <c r="M928" s="333"/>
    </row>
    <row r="929">
      <c r="M929" s="333"/>
    </row>
    <row r="930">
      <c r="M930" s="333"/>
    </row>
    <row r="931">
      <c r="M931" s="333"/>
    </row>
    <row r="932">
      <c r="M932" s="333"/>
    </row>
    <row r="933">
      <c r="M933" s="333"/>
    </row>
    <row r="934">
      <c r="M934" s="333"/>
    </row>
    <row r="935">
      <c r="M935" s="333"/>
    </row>
    <row r="936">
      <c r="M936" s="333"/>
    </row>
    <row r="937">
      <c r="M937" s="333"/>
    </row>
    <row r="938">
      <c r="M938" s="333"/>
    </row>
    <row r="939">
      <c r="M939" s="333"/>
    </row>
    <row r="940">
      <c r="M940" s="333"/>
    </row>
    <row r="941">
      <c r="M941" s="333"/>
    </row>
    <row r="942">
      <c r="M942" s="333"/>
    </row>
    <row r="943">
      <c r="M943" s="333"/>
    </row>
    <row r="944">
      <c r="M944" s="333"/>
    </row>
    <row r="945">
      <c r="M945" s="333"/>
    </row>
    <row r="946">
      <c r="M946" s="333"/>
    </row>
    <row r="947">
      <c r="M947" s="333"/>
    </row>
    <row r="948">
      <c r="M948" s="333"/>
    </row>
    <row r="949">
      <c r="M949" s="333"/>
    </row>
    <row r="950">
      <c r="M950" s="333"/>
    </row>
    <row r="951">
      <c r="M951" s="333"/>
    </row>
    <row r="952">
      <c r="M952" s="333"/>
    </row>
    <row r="953">
      <c r="M953" s="333"/>
    </row>
    <row r="954">
      <c r="M954" s="333"/>
    </row>
    <row r="955">
      <c r="M955" s="333"/>
    </row>
    <row r="956">
      <c r="M956" s="333"/>
    </row>
    <row r="957">
      <c r="M957" s="333"/>
    </row>
    <row r="958">
      <c r="M958" s="333"/>
    </row>
    <row r="959">
      <c r="M959" s="333"/>
    </row>
    <row r="960">
      <c r="M960" s="333"/>
    </row>
    <row r="961">
      <c r="M961" s="333"/>
    </row>
    <row r="962">
      <c r="M962" s="333"/>
    </row>
    <row r="963">
      <c r="M963" s="333"/>
    </row>
    <row r="964">
      <c r="M964" s="333"/>
    </row>
    <row r="965">
      <c r="M965" s="333"/>
    </row>
    <row r="966">
      <c r="M966" s="333"/>
    </row>
    <row r="967">
      <c r="M967" s="333"/>
    </row>
    <row r="968">
      <c r="M968" s="333"/>
    </row>
    <row r="969">
      <c r="M969" s="333"/>
    </row>
    <row r="970">
      <c r="M970" s="333"/>
    </row>
    <row r="971">
      <c r="M971" s="333"/>
    </row>
    <row r="972">
      <c r="M972" s="333"/>
    </row>
    <row r="973">
      <c r="M973" s="333"/>
    </row>
    <row r="974">
      <c r="M974" s="333"/>
    </row>
    <row r="975">
      <c r="M975" s="333"/>
    </row>
    <row r="976">
      <c r="M976" s="333"/>
    </row>
    <row r="977">
      <c r="M977" s="333"/>
    </row>
    <row r="978">
      <c r="M978" s="333"/>
    </row>
    <row r="979">
      <c r="M979" s="333"/>
    </row>
    <row r="980">
      <c r="M980" s="333"/>
    </row>
    <row r="981">
      <c r="M981" s="333"/>
    </row>
    <row r="982">
      <c r="M982" s="333"/>
    </row>
    <row r="983">
      <c r="M983" s="333"/>
    </row>
    <row r="984">
      <c r="M984" s="333"/>
    </row>
    <row r="985">
      <c r="M985" s="333"/>
    </row>
    <row r="986">
      <c r="M986" s="333"/>
    </row>
    <row r="987">
      <c r="M987" s="333"/>
    </row>
    <row r="988">
      <c r="M988" s="333"/>
    </row>
    <row r="989">
      <c r="M989" s="333"/>
    </row>
    <row r="990">
      <c r="M990" s="333"/>
    </row>
    <row r="991">
      <c r="M991" s="333"/>
    </row>
    <row r="992">
      <c r="M992" s="333"/>
    </row>
    <row r="993">
      <c r="M993" s="333"/>
    </row>
    <row r="994">
      <c r="M994" s="333"/>
    </row>
    <row r="995">
      <c r="M995" s="333"/>
    </row>
    <row r="996">
      <c r="M996" s="333"/>
    </row>
    <row r="997">
      <c r="M997" s="333"/>
    </row>
    <row r="998">
      <c r="M998" s="333"/>
    </row>
    <row r="999">
      <c r="M999" s="333"/>
    </row>
    <row r="1000">
      <c r="M1000" s="333"/>
    </row>
    <row r="1001">
      <c r="M1001" s="333"/>
    </row>
    <row r="1002">
      <c r="M1002" s="333"/>
    </row>
    <row r="1003">
      <c r="M1003" s="333"/>
    </row>
    <row r="1004">
      <c r="M1004" s="333"/>
    </row>
    <row r="1005">
      <c r="M1005" s="333"/>
    </row>
    <row r="1006">
      <c r="M1006" s="333"/>
    </row>
    <row r="1007">
      <c r="M1007" s="333"/>
    </row>
    <row r="1008">
      <c r="M1008" s="333"/>
    </row>
    <row r="1009">
      <c r="M1009" s="333"/>
    </row>
    <row r="1010">
      <c r="M1010" s="333"/>
    </row>
  </sheetData>
  <mergeCells count="61"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1:AD1"/>
    <mergeCell ref="A2:AD2"/>
    <mergeCell ref="A3:AC3"/>
    <mergeCell ref="A4:AD4"/>
    <mergeCell ref="A5:AD5"/>
    <mergeCell ref="A9:A10"/>
    <mergeCell ref="B9:B10"/>
    <mergeCell ref="A38:A40"/>
    <mergeCell ref="A41:A43"/>
    <mergeCell ref="A44:A46"/>
    <mergeCell ref="A47:A49"/>
    <mergeCell ref="A50:A51"/>
    <mergeCell ref="A52:A54"/>
    <mergeCell ref="A55:A57"/>
    <mergeCell ref="A74:L74"/>
    <mergeCell ref="A75:L75"/>
    <mergeCell ref="A58:A59"/>
    <mergeCell ref="A60:A62"/>
    <mergeCell ref="A63:A65"/>
    <mergeCell ref="A66:A67"/>
    <mergeCell ref="A69:A71"/>
    <mergeCell ref="A72:L72"/>
    <mergeCell ref="A73:L73"/>
    <mergeCell ref="E9:E10"/>
    <mergeCell ref="F9:F10"/>
    <mergeCell ref="G9:G10"/>
    <mergeCell ref="H9:H10"/>
    <mergeCell ref="I9:I10"/>
    <mergeCell ref="J9:J10"/>
    <mergeCell ref="I11:I13"/>
    <mergeCell ref="J11:J13"/>
    <mergeCell ref="K11:K13"/>
    <mergeCell ref="I24:I29"/>
    <mergeCell ref="K9:K10"/>
    <mergeCell ref="L9:L10"/>
    <mergeCell ref="M9:M10"/>
    <mergeCell ref="N9:N10"/>
    <mergeCell ref="O9:O10"/>
    <mergeCell ref="P9:P10"/>
    <mergeCell ref="C9:C10"/>
    <mergeCell ref="D9:D10"/>
    <mergeCell ref="A11:A13"/>
    <mergeCell ref="A15:A17"/>
    <mergeCell ref="A19:A20"/>
    <mergeCell ref="A22:A31"/>
    <mergeCell ref="A36:A37"/>
  </mergeCells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3" max="3" width="13.0"/>
    <col customWidth="1" min="4" max="4" width="11.57"/>
    <col customWidth="1" min="5" max="5" width="0.43"/>
    <col customWidth="1" min="7" max="7" width="12.71"/>
    <col customWidth="1" min="8" max="8" width="25.0"/>
    <col customWidth="1" min="9" max="9" width="11.0"/>
    <col customWidth="1" min="10" max="10" width="12.43"/>
    <col customWidth="1" min="11" max="11" width="9.29"/>
    <col customWidth="1" min="12" max="12" width="37.57"/>
    <col customWidth="1" min="13" max="13" width="11.57"/>
    <col customWidth="1" min="17" max="17" width="7.86"/>
    <col customWidth="1" min="18" max="18" width="14.14"/>
    <col customWidth="1" min="19" max="19" width="15.29"/>
    <col customWidth="1" min="20" max="20" width="16.43"/>
    <col customWidth="1" min="21" max="21" width="15.86"/>
    <col customWidth="1" min="22" max="22" width="18.29"/>
    <col customWidth="1" min="23" max="23" width="15.0"/>
    <col customWidth="1" min="24" max="24" width="15.29"/>
    <col customWidth="1" min="25" max="25" width="19.29"/>
    <col customWidth="1" min="26" max="26" width="16.29"/>
    <col customWidth="1" min="27" max="27" width="16.57"/>
    <col customWidth="1" min="31" max="31" width="58.57"/>
  </cols>
  <sheetData>
    <row r="1">
      <c r="A1" s="295" t="s">
        <v>647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237"/>
    </row>
    <row r="2">
      <c r="A2" s="8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237"/>
    </row>
    <row r="3">
      <c r="A3" s="9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0"/>
      <c r="AE3" s="237"/>
    </row>
    <row r="4">
      <c r="A4" s="11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7"/>
      <c r="AE4" s="237"/>
    </row>
    <row r="5">
      <c r="A5" s="11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  <c r="AE5" s="237"/>
    </row>
    <row r="6">
      <c r="A6" s="11"/>
      <c r="B6" s="12"/>
      <c r="C6" s="12"/>
      <c r="D6" s="12"/>
      <c r="E6" s="12"/>
      <c r="F6" s="121"/>
      <c r="G6" s="121"/>
      <c r="H6" s="122"/>
      <c r="I6" s="121"/>
      <c r="J6" s="121"/>
      <c r="K6" s="12"/>
      <c r="L6" s="12"/>
      <c r="M6" s="121"/>
      <c r="N6" s="13"/>
      <c r="O6" s="13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237"/>
    </row>
    <row r="7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309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237"/>
    </row>
    <row r="8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309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237"/>
    </row>
    <row r="9">
      <c r="A9" s="310" t="s">
        <v>12</v>
      </c>
      <c r="B9" s="310" t="s">
        <v>15</v>
      </c>
      <c r="C9" s="310" t="s">
        <v>13</v>
      </c>
      <c r="D9" s="310" t="s">
        <v>14</v>
      </c>
      <c r="E9" s="310" t="s">
        <v>15</v>
      </c>
      <c r="F9" s="310" t="s">
        <v>16</v>
      </c>
      <c r="G9" s="310" t="s">
        <v>169</v>
      </c>
      <c r="H9" s="311" t="s">
        <v>23</v>
      </c>
      <c r="I9" s="310" t="s">
        <v>27</v>
      </c>
      <c r="J9" s="310" t="s">
        <v>30</v>
      </c>
      <c r="K9" s="310" t="s">
        <v>18</v>
      </c>
      <c r="L9" s="310" t="s">
        <v>31</v>
      </c>
      <c r="M9" s="310" t="s">
        <v>170</v>
      </c>
      <c r="N9" s="310" t="s">
        <v>21</v>
      </c>
      <c r="O9" s="312" t="s">
        <v>611</v>
      </c>
      <c r="P9" s="310" t="s">
        <v>22</v>
      </c>
      <c r="Q9" s="313" t="s">
        <v>24</v>
      </c>
      <c r="R9" s="314" t="s">
        <v>612</v>
      </c>
      <c r="S9" s="313" t="s">
        <v>174</v>
      </c>
      <c r="T9" s="324" t="s">
        <v>37</v>
      </c>
      <c r="U9" s="313" t="s">
        <v>39</v>
      </c>
      <c r="V9" s="313" t="s">
        <v>40</v>
      </c>
      <c r="W9" s="313" t="s">
        <v>43</v>
      </c>
      <c r="X9" s="313" t="s">
        <v>45</v>
      </c>
      <c r="Y9" s="314" t="s">
        <v>613</v>
      </c>
      <c r="Z9" s="313" t="s">
        <v>48</v>
      </c>
      <c r="AA9" s="314" t="s">
        <v>575</v>
      </c>
      <c r="AB9" s="313" t="s">
        <v>32</v>
      </c>
      <c r="AC9" s="313" t="s">
        <v>33</v>
      </c>
      <c r="AD9" s="325" t="s">
        <v>455</v>
      </c>
      <c r="AE9" s="238" t="s">
        <v>34</v>
      </c>
    </row>
    <row r="10" ht="57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240"/>
      <c r="AE10" s="240"/>
    </row>
    <row r="11">
      <c r="A11" s="277" t="s">
        <v>369</v>
      </c>
      <c r="B11" s="262" t="s">
        <v>309</v>
      </c>
      <c r="C11" s="288">
        <v>46268.0</v>
      </c>
      <c r="D11" s="288">
        <v>46268.0</v>
      </c>
      <c r="E11" s="37"/>
      <c r="F11" s="263" t="s">
        <v>341</v>
      </c>
      <c r="G11" s="263" t="s">
        <v>460</v>
      </c>
      <c r="H11" s="264"/>
      <c r="I11" s="326" t="s">
        <v>362</v>
      </c>
      <c r="J11" s="327" t="s">
        <v>650</v>
      </c>
      <c r="K11" s="328" t="s">
        <v>181</v>
      </c>
      <c r="L11" s="299" t="s">
        <v>576</v>
      </c>
      <c r="M11" s="262"/>
      <c r="N11" s="329"/>
      <c r="O11" s="269"/>
      <c r="P11" s="269"/>
      <c r="Q11" s="274"/>
      <c r="R11" s="269"/>
      <c r="S11" s="241"/>
      <c r="T11" s="241"/>
      <c r="U11" s="241"/>
      <c r="V11" s="241"/>
      <c r="W11" s="241"/>
      <c r="X11" s="241"/>
      <c r="Y11" s="241"/>
      <c r="Z11" s="241"/>
      <c r="AA11" s="274"/>
      <c r="AB11" s="241" t="str">
        <f t="shared" ref="AB11:AB12" si="1">N11</f>
        <v/>
      </c>
      <c r="AC11" s="241" t="str">
        <f t="shared" ref="AC11:AC12" si="2">P11</f>
        <v/>
      </c>
      <c r="AD11" s="137">
        <f t="shared" ref="AD11:AD13" si="3">AC11-AB11</f>
        <v>0</v>
      </c>
      <c r="AE11" s="241"/>
    </row>
    <row r="12">
      <c r="A12" s="219"/>
      <c r="B12" s="262" t="s">
        <v>309</v>
      </c>
      <c r="C12" s="288">
        <v>46268.0</v>
      </c>
      <c r="D12" s="288">
        <v>46268.0</v>
      </c>
      <c r="E12" s="288"/>
      <c r="F12" s="263" t="s">
        <v>341</v>
      </c>
      <c r="G12" s="263" t="s">
        <v>460</v>
      </c>
      <c r="H12" s="264"/>
      <c r="I12" s="219"/>
      <c r="K12" s="219"/>
      <c r="L12" s="263" t="s">
        <v>577</v>
      </c>
      <c r="M12" s="262"/>
      <c r="N12" s="329"/>
      <c r="O12" s="269"/>
      <c r="P12" s="269"/>
      <c r="Q12" s="241"/>
      <c r="R12" s="45"/>
      <c r="S12" s="241"/>
      <c r="T12" s="45"/>
      <c r="U12" s="45"/>
      <c r="V12" s="45"/>
      <c r="W12" s="45"/>
      <c r="X12" s="45"/>
      <c r="Y12" s="241"/>
      <c r="Z12" s="241"/>
      <c r="AA12" s="241"/>
      <c r="AB12" s="241" t="str">
        <f t="shared" si="1"/>
        <v/>
      </c>
      <c r="AC12" s="241" t="str">
        <f t="shared" si="2"/>
        <v/>
      </c>
      <c r="AD12" s="137">
        <f t="shared" si="3"/>
        <v>0</v>
      </c>
      <c r="AE12" s="241"/>
    </row>
    <row r="13">
      <c r="A13" s="219"/>
      <c r="B13" s="262" t="s">
        <v>309</v>
      </c>
      <c r="C13" s="288">
        <v>46269.0</v>
      </c>
      <c r="D13" s="288">
        <v>46270.0</v>
      </c>
      <c r="E13" s="288"/>
      <c r="F13" s="263" t="s">
        <v>52</v>
      </c>
      <c r="G13" s="263" t="s">
        <v>460</v>
      </c>
      <c r="H13" s="264"/>
      <c r="I13" s="30"/>
      <c r="K13" s="30"/>
      <c r="L13" s="263" t="s">
        <v>651</v>
      </c>
      <c r="M13" s="262">
        <v>1.0</v>
      </c>
      <c r="N13" s="329">
        <v>8395000.0</v>
      </c>
      <c r="O13" s="330"/>
      <c r="P13" s="269"/>
      <c r="Q13" s="274">
        <v>0.0</v>
      </c>
      <c r="R13" s="269">
        <v>0.0</v>
      </c>
      <c r="S13" s="274">
        <v>0.0</v>
      </c>
      <c r="T13" s="269"/>
      <c r="U13" s="269"/>
      <c r="V13" s="269">
        <v>0.0</v>
      </c>
      <c r="W13" s="269">
        <v>0.0</v>
      </c>
      <c r="X13" s="269"/>
      <c r="Y13" s="274">
        <v>0.0</v>
      </c>
      <c r="Z13" s="274">
        <v>0.0</v>
      </c>
      <c r="AA13" s="274">
        <v>0.0</v>
      </c>
      <c r="AB13" s="241">
        <f>sum(N13:O13)</f>
        <v>8395000</v>
      </c>
      <c r="AC13" s="241">
        <f>sum(P13,R13:AA13)</f>
        <v>0</v>
      </c>
      <c r="AD13" s="137">
        <f t="shared" si="3"/>
        <v>-8395000</v>
      </c>
      <c r="AE13" s="241"/>
    </row>
    <row r="14">
      <c r="A14" s="30"/>
      <c r="B14" s="391" t="s">
        <v>309</v>
      </c>
      <c r="C14" s="288">
        <v>46269.0</v>
      </c>
      <c r="D14" s="288">
        <v>46269.0</v>
      </c>
      <c r="E14" s="392"/>
      <c r="F14" s="393" t="s">
        <v>341</v>
      </c>
      <c r="G14" s="393" t="s">
        <v>652</v>
      </c>
      <c r="H14" s="394"/>
      <c r="I14" s="393"/>
      <c r="J14" s="395"/>
      <c r="K14" s="396"/>
      <c r="L14" s="393" t="s">
        <v>622</v>
      </c>
      <c r="M14" s="391"/>
      <c r="N14" s="397"/>
      <c r="O14" s="398"/>
      <c r="P14" s="399"/>
      <c r="Q14" s="400"/>
      <c r="R14" s="399"/>
      <c r="S14" s="400"/>
      <c r="T14" s="399"/>
      <c r="U14" s="399"/>
      <c r="V14" s="399"/>
      <c r="W14" s="399"/>
      <c r="X14" s="399"/>
      <c r="Y14" s="400"/>
      <c r="Z14" s="400"/>
      <c r="AA14" s="400"/>
      <c r="AB14" s="401"/>
      <c r="AC14" s="401"/>
      <c r="AD14" s="402"/>
      <c r="AE14" s="401"/>
    </row>
    <row r="15">
      <c r="A15" s="403" t="s">
        <v>375</v>
      </c>
      <c r="B15" s="391" t="s">
        <v>544</v>
      </c>
      <c r="C15" s="392"/>
      <c r="D15" s="392"/>
      <c r="E15" s="404"/>
      <c r="F15" s="393" t="s">
        <v>341</v>
      </c>
      <c r="G15" s="393" t="s">
        <v>544</v>
      </c>
      <c r="H15" s="394"/>
      <c r="I15" s="404"/>
      <c r="J15" s="393"/>
      <c r="K15" s="396"/>
      <c r="L15" s="356" t="s">
        <v>576</v>
      </c>
      <c r="M15" s="391"/>
      <c r="N15" s="399"/>
      <c r="O15" s="405"/>
      <c r="P15" s="399"/>
      <c r="Q15" s="401"/>
      <c r="R15" s="406"/>
      <c r="S15" s="401"/>
      <c r="T15" s="406"/>
      <c r="U15" s="406"/>
      <c r="V15" s="406"/>
      <c r="W15" s="406"/>
      <c r="X15" s="406"/>
      <c r="Y15" s="401"/>
      <c r="Z15" s="401"/>
      <c r="AA15" s="401"/>
      <c r="AB15" s="401" t="str">
        <f t="shared" ref="AB15:AB16" si="4">N15</f>
        <v/>
      </c>
      <c r="AC15" s="401" t="str">
        <f t="shared" ref="AC15:AC16" si="5">P15</f>
        <v/>
      </c>
      <c r="AD15" s="402">
        <f t="shared" ref="AD15:AD17" si="6">AC15-AB15</f>
        <v>0</v>
      </c>
      <c r="AE15" s="401"/>
    </row>
    <row r="16">
      <c r="A16" s="219"/>
      <c r="B16" s="391" t="s">
        <v>544</v>
      </c>
      <c r="C16" s="392"/>
      <c r="D16" s="392"/>
      <c r="E16" s="404"/>
      <c r="F16" s="393" t="s">
        <v>341</v>
      </c>
      <c r="G16" s="393" t="s">
        <v>544</v>
      </c>
      <c r="H16" s="394"/>
      <c r="I16" s="404"/>
      <c r="J16" s="393"/>
      <c r="K16" s="396"/>
      <c r="L16" s="356" t="s">
        <v>577</v>
      </c>
      <c r="M16" s="391"/>
      <c r="N16" s="407"/>
      <c r="O16" s="408"/>
      <c r="P16" s="399"/>
      <c r="Q16" s="401"/>
      <c r="R16" s="406"/>
      <c r="S16" s="401"/>
      <c r="T16" s="406"/>
      <c r="U16" s="406"/>
      <c r="V16" s="406"/>
      <c r="W16" s="406"/>
      <c r="X16" s="399"/>
      <c r="Y16" s="401"/>
      <c r="Z16" s="401"/>
      <c r="AA16" s="401"/>
      <c r="AB16" s="401" t="str">
        <f t="shared" si="4"/>
        <v/>
      </c>
      <c r="AC16" s="401" t="str">
        <f t="shared" si="5"/>
        <v/>
      </c>
      <c r="AD16" s="402">
        <f t="shared" si="6"/>
        <v>0</v>
      </c>
      <c r="AE16" s="401"/>
    </row>
    <row r="17">
      <c r="A17" s="219"/>
      <c r="B17" s="391" t="s">
        <v>544</v>
      </c>
      <c r="C17" s="392">
        <v>46273.0</v>
      </c>
      <c r="D17" s="392">
        <v>46275.0</v>
      </c>
      <c r="E17" s="404"/>
      <c r="F17" s="393" t="s">
        <v>113</v>
      </c>
      <c r="G17" s="393" t="s">
        <v>544</v>
      </c>
      <c r="H17" s="394"/>
      <c r="I17" s="393"/>
      <c r="J17" s="393" t="s">
        <v>653</v>
      </c>
      <c r="K17" s="396" t="s">
        <v>238</v>
      </c>
      <c r="L17" s="356" t="s">
        <v>654</v>
      </c>
      <c r="M17" s="391">
        <v>1.0</v>
      </c>
      <c r="N17" s="407">
        <v>4370000.0</v>
      </c>
      <c r="O17" s="408"/>
      <c r="P17" s="399"/>
      <c r="Q17" s="400">
        <v>1.0</v>
      </c>
      <c r="R17" s="399">
        <v>800000.0</v>
      </c>
      <c r="S17" s="400">
        <v>0.0</v>
      </c>
      <c r="T17" s="399"/>
      <c r="U17" s="399"/>
      <c r="V17" s="399">
        <v>0.0</v>
      </c>
      <c r="W17" s="399">
        <v>0.0</v>
      </c>
      <c r="X17" s="399"/>
      <c r="Y17" s="400">
        <v>0.0</v>
      </c>
      <c r="Z17" s="400">
        <v>0.0</v>
      </c>
      <c r="AA17" s="400">
        <v>0.0</v>
      </c>
      <c r="AB17" s="401">
        <f>sum(N17:O17)</f>
        <v>4370000</v>
      </c>
      <c r="AC17" s="401">
        <f>sum(P17,R17:AA17)</f>
        <v>800000</v>
      </c>
      <c r="AD17" s="402">
        <f t="shared" si="6"/>
        <v>-3570000</v>
      </c>
      <c r="AE17" s="401"/>
    </row>
    <row r="18">
      <c r="A18" s="219"/>
      <c r="B18" s="391" t="s">
        <v>544</v>
      </c>
      <c r="C18" s="392">
        <v>46273.0</v>
      </c>
      <c r="D18" s="392">
        <v>46275.0</v>
      </c>
      <c r="E18" s="404"/>
      <c r="F18" s="393" t="s">
        <v>341</v>
      </c>
      <c r="G18" s="393" t="s">
        <v>544</v>
      </c>
      <c r="H18" s="394"/>
      <c r="I18" s="393"/>
      <c r="J18" s="393"/>
      <c r="K18" s="396"/>
      <c r="L18" s="356" t="s">
        <v>622</v>
      </c>
      <c r="M18" s="391"/>
      <c r="N18" s="407"/>
      <c r="O18" s="408"/>
      <c r="P18" s="399"/>
      <c r="Q18" s="400"/>
      <c r="R18" s="399"/>
      <c r="S18" s="400"/>
      <c r="T18" s="399"/>
      <c r="U18" s="399"/>
      <c r="V18" s="399"/>
      <c r="W18" s="399"/>
      <c r="X18" s="399"/>
      <c r="Y18" s="400"/>
      <c r="Z18" s="400"/>
      <c r="AA18" s="400"/>
      <c r="AB18" s="401"/>
      <c r="AC18" s="401"/>
      <c r="AD18" s="402"/>
      <c r="AE18" s="401"/>
    </row>
    <row r="19">
      <c r="A19" s="30"/>
      <c r="B19" s="391" t="s">
        <v>544</v>
      </c>
      <c r="C19" s="392">
        <v>46273.0</v>
      </c>
      <c r="D19" s="392">
        <v>46275.0</v>
      </c>
      <c r="E19" s="404"/>
      <c r="F19" s="393" t="s">
        <v>341</v>
      </c>
      <c r="G19" s="393" t="s">
        <v>544</v>
      </c>
      <c r="H19" s="394"/>
      <c r="I19" s="393"/>
      <c r="J19" s="393"/>
      <c r="K19" s="396"/>
      <c r="L19" s="356" t="s">
        <v>636</v>
      </c>
      <c r="M19" s="391"/>
      <c r="N19" s="407"/>
      <c r="O19" s="408"/>
      <c r="P19" s="399"/>
      <c r="Q19" s="400"/>
      <c r="R19" s="399"/>
      <c r="S19" s="400"/>
      <c r="T19" s="399"/>
      <c r="U19" s="399"/>
      <c r="V19" s="399"/>
      <c r="W19" s="399"/>
      <c r="X19" s="399"/>
      <c r="Y19" s="400"/>
      <c r="Z19" s="400"/>
      <c r="AA19" s="400"/>
      <c r="AB19" s="401"/>
      <c r="AC19" s="401"/>
      <c r="AD19" s="402"/>
      <c r="AE19" s="401"/>
    </row>
    <row r="20">
      <c r="A20" s="403"/>
      <c r="B20" s="391"/>
      <c r="C20" s="392"/>
      <c r="D20" s="392"/>
      <c r="E20" s="404"/>
      <c r="F20" s="393"/>
      <c r="G20" s="393"/>
      <c r="H20" s="394"/>
      <c r="I20" s="393"/>
      <c r="J20" s="393"/>
      <c r="K20" s="396"/>
      <c r="L20" s="393"/>
      <c r="M20" s="391"/>
      <c r="N20" s="407"/>
      <c r="O20" s="408"/>
      <c r="P20" s="399"/>
      <c r="Q20" s="400"/>
      <c r="R20" s="399"/>
      <c r="S20" s="400"/>
      <c r="T20" s="399"/>
      <c r="U20" s="399"/>
      <c r="V20" s="399"/>
      <c r="W20" s="399"/>
      <c r="X20" s="399"/>
      <c r="Y20" s="400"/>
      <c r="Z20" s="400"/>
      <c r="AA20" s="400"/>
      <c r="AB20" s="401"/>
      <c r="AC20" s="401"/>
      <c r="AD20" s="402"/>
      <c r="AE20" s="401"/>
    </row>
    <row r="21">
      <c r="A21" s="277" t="s">
        <v>380</v>
      </c>
      <c r="B21" s="262"/>
      <c r="C21" s="288"/>
      <c r="D21" s="288"/>
      <c r="E21" s="37"/>
      <c r="F21" s="37"/>
      <c r="G21" s="263"/>
      <c r="H21" s="49"/>
      <c r="I21" s="37"/>
      <c r="J21" s="37"/>
      <c r="K21" s="42"/>
      <c r="L21" s="263"/>
      <c r="M21" s="177"/>
      <c r="N21" s="278"/>
      <c r="O21" s="319"/>
      <c r="P21" s="269"/>
      <c r="Q21" s="241"/>
      <c r="R21" s="45"/>
      <c r="S21" s="241"/>
      <c r="T21" s="45"/>
      <c r="U21" s="45"/>
      <c r="V21" s="45"/>
      <c r="W21" s="45"/>
      <c r="X21" s="45"/>
      <c r="Y21" s="241"/>
      <c r="Z21" s="241"/>
      <c r="AA21" s="241"/>
      <c r="AB21" s="241"/>
      <c r="AC21" s="241" t="str">
        <f t="shared" ref="AC21:AC22" si="7">P21</f>
        <v/>
      </c>
      <c r="AD21" s="137" t="str">
        <f>AC21</f>
        <v/>
      </c>
      <c r="AE21" s="241"/>
    </row>
    <row r="22">
      <c r="A22" s="219"/>
      <c r="B22" s="262"/>
      <c r="C22" s="288"/>
      <c r="D22" s="288"/>
      <c r="E22" s="44"/>
      <c r="F22" s="37"/>
      <c r="G22" s="263"/>
      <c r="H22" s="49"/>
      <c r="I22" s="37"/>
      <c r="J22" s="263"/>
      <c r="K22" s="266"/>
      <c r="L22" s="263"/>
      <c r="M22" s="262"/>
      <c r="N22" s="278"/>
      <c r="O22" s="319"/>
      <c r="P22" s="269"/>
      <c r="Q22" s="274">
        <v>0.0</v>
      </c>
      <c r="R22" s="269">
        <v>0.0</v>
      </c>
      <c r="S22" s="274">
        <v>0.0</v>
      </c>
      <c r="T22" s="269"/>
      <c r="U22" s="269"/>
      <c r="V22" s="269">
        <v>0.0</v>
      </c>
      <c r="W22" s="269">
        <v>0.0</v>
      </c>
      <c r="X22" s="269"/>
      <c r="Y22" s="274">
        <v>0.0</v>
      </c>
      <c r="Z22" s="274">
        <v>0.0</v>
      </c>
      <c r="AA22" s="274">
        <v>0.0</v>
      </c>
      <c r="AB22" s="241" t="str">
        <f>N22</f>
        <v/>
      </c>
      <c r="AC22" s="241" t="str">
        <f t="shared" si="7"/>
        <v/>
      </c>
      <c r="AD22" s="137">
        <f>AC22-AB22</f>
        <v>0</v>
      </c>
      <c r="AE22" s="241"/>
    </row>
    <row r="23">
      <c r="A23" s="277"/>
      <c r="B23" s="262"/>
      <c r="C23" s="288"/>
      <c r="D23" s="288"/>
      <c r="E23" s="44"/>
      <c r="F23" s="37"/>
      <c r="G23" s="263"/>
      <c r="H23" s="49"/>
      <c r="I23" s="37"/>
      <c r="J23" s="263"/>
      <c r="K23" s="266"/>
      <c r="L23" s="263"/>
      <c r="M23" s="262"/>
      <c r="N23" s="278"/>
      <c r="O23" s="319"/>
      <c r="P23" s="269"/>
      <c r="Q23" s="274"/>
      <c r="R23" s="269"/>
      <c r="S23" s="274"/>
      <c r="T23" s="269"/>
      <c r="U23" s="269"/>
      <c r="V23" s="269"/>
      <c r="W23" s="269"/>
      <c r="X23" s="269"/>
      <c r="Y23" s="274"/>
      <c r="Z23" s="274"/>
      <c r="AA23" s="274"/>
      <c r="AB23" s="241"/>
      <c r="AC23" s="241"/>
      <c r="AD23" s="137"/>
      <c r="AE23" s="241"/>
    </row>
    <row r="24">
      <c r="A24" s="403"/>
      <c r="B24" s="391"/>
      <c r="C24" s="393"/>
      <c r="D24" s="393"/>
      <c r="E24" s="404"/>
      <c r="F24" s="393"/>
      <c r="G24" s="391"/>
      <c r="H24" s="394"/>
      <c r="I24" s="393"/>
      <c r="J24" s="393"/>
      <c r="K24" s="396"/>
      <c r="L24" s="393"/>
      <c r="M24" s="391"/>
      <c r="N24" s="409"/>
      <c r="O24" s="405"/>
      <c r="P24" s="399"/>
      <c r="Q24" s="400"/>
      <c r="R24" s="399"/>
      <c r="S24" s="401"/>
      <c r="T24" s="406"/>
      <c r="U24" s="406"/>
      <c r="V24" s="406"/>
      <c r="W24" s="406"/>
      <c r="X24" s="406"/>
      <c r="Y24" s="401"/>
      <c r="Z24" s="401"/>
      <c r="AA24" s="401"/>
      <c r="AB24" s="401" t="str">
        <f t="shared" ref="AB24:AB26" si="8">N24</f>
        <v/>
      </c>
      <c r="AC24" s="401" t="str">
        <f t="shared" ref="AC24:AC25" si="9">P24</f>
        <v/>
      </c>
      <c r="AD24" s="402">
        <f t="shared" ref="AD24:AD29" si="10">AC24-AB24</f>
        <v>0</v>
      </c>
      <c r="AE24" s="401"/>
    </row>
    <row r="25">
      <c r="A25" s="403"/>
      <c r="B25" s="391"/>
      <c r="C25" s="393"/>
      <c r="D25" s="393"/>
      <c r="E25" s="404"/>
      <c r="F25" s="393"/>
      <c r="G25" s="391"/>
      <c r="H25" s="394"/>
      <c r="I25" s="393"/>
      <c r="J25" s="393"/>
      <c r="K25" s="396"/>
      <c r="L25" s="393"/>
      <c r="M25" s="391"/>
      <c r="N25" s="409"/>
      <c r="O25" s="405"/>
      <c r="P25" s="399"/>
      <c r="Q25" s="400"/>
      <c r="R25" s="399"/>
      <c r="S25" s="401"/>
      <c r="T25" s="406"/>
      <c r="U25" s="406"/>
      <c r="V25" s="406"/>
      <c r="W25" s="406"/>
      <c r="X25" s="406"/>
      <c r="Y25" s="401"/>
      <c r="Z25" s="401"/>
      <c r="AA25" s="401"/>
      <c r="AB25" s="401" t="str">
        <f t="shared" si="8"/>
        <v/>
      </c>
      <c r="AC25" s="401" t="str">
        <f t="shared" si="9"/>
        <v/>
      </c>
      <c r="AD25" s="402">
        <f t="shared" si="10"/>
        <v>0</v>
      </c>
      <c r="AE25" s="401"/>
    </row>
    <row r="26">
      <c r="A26" s="403" t="s">
        <v>384</v>
      </c>
      <c r="B26" s="391"/>
      <c r="C26" s="393"/>
      <c r="D26" s="393"/>
      <c r="E26" s="404"/>
      <c r="F26" s="393"/>
      <c r="G26" s="391"/>
      <c r="H26" s="394"/>
      <c r="I26" s="410"/>
      <c r="J26" s="393"/>
      <c r="K26" s="396"/>
      <c r="L26" s="393"/>
      <c r="M26" s="391"/>
      <c r="N26" s="409"/>
      <c r="O26" s="405"/>
      <c r="P26" s="399"/>
      <c r="Q26" s="400"/>
      <c r="R26" s="399"/>
      <c r="S26" s="401"/>
      <c r="T26" s="399"/>
      <c r="U26" s="399"/>
      <c r="V26" s="406"/>
      <c r="W26" s="406"/>
      <c r="X26" s="399"/>
      <c r="Y26" s="401"/>
      <c r="Z26" s="401"/>
      <c r="AA26" s="401"/>
      <c r="AB26" s="401" t="str">
        <f t="shared" si="8"/>
        <v/>
      </c>
      <c r="AC26" s="401">
        <f>sum(P26,R26:AA26)</f>
        <v>0</v>
      </c>
      <c r="AD26" s="402">
        <f t="shared" si="10"/>
        <v>0</v>
      </c>
      <c r="AE26" s="401"/>
    </row>
    <row r="27">
      <c r="A27" s="219"/>
      <c r="B27" s="391"/>
      <c r="C27" s="393"/>
      <c r="D27" s="393"/>
      <c r="E27" s="404"/>
      <c r="F27" s="393"/>
      <c r="G27" s="391"/>
      <c r="H27" s="394"/>
      <c r="I27" s="219"/>
      <c r="J27" s="393"/>
      <c r="K27" s="396"/>
      <c r="L27" s="393"/>
      <c r="M27" s="391"/>
      <c r="N27" s="409"/>
      <c r="O27" s="397"/>
      <c r="P27" s="399"/>
      <c r="Q27" s="400"/>
      <c r="R27" s="399"/>
      <c r="S27" s="401"/>
      <c r="T27" s="406"/>
      <c r="U27" s="406"/>
      <c r="V27" s="406"/>
      <c r="W27" s="406"/>
      <c r="X27" s="399"/>
      <c r="Y27" s="401"/>
      <c r="Z27" s="401"/>
      <c r="AA27" s="401"/>
      <c r="AB27" s="401" t="str">
        <f>O27</f>
        <v/>
      </c>
      <c r="AC27" s="401" t="str">
        <f>X27</f>
        <v/>
      </c>
      <c r="AD27" s="402">
        <f t="shared" si="10"/>
        <v>0</v>
      </c>
      <c r="AE27" s="400"/>
    </row>
    <row r="28">
      <c r="A28" s="219"/>
      <c r="B28" s="391"/>
      <c r="C28" s="393"/>
      <c r="D28" s="392"/>
      <c r="E28" s="404"/>
      <c r="F28" s="393"/>
      <c r="G28" s="391"/>
      <c r="H28" s="411"/>
      <c r="I28" s="219"/>
      <c r="J28" s="393"/>
      <c r="K28" s="396"/>
      <c r="L28" s="393"/>
      <c r="M28" s="391"/>
      <c r="N28" s="409"/>
      <c r="O28" s="397"/>
      <c r="P28" s="399"/>
      <c r="Q28" s="400"/>
      <c r="R28" s="399"/>
      <c r="S28" s="401"/>
      <c r="T28" s="406"/>
      <c r="U28" s="406"/>
      <c r="V28" s="406"/>
      <c r="W28" s="406"/>
      <c r="X28" s="406"/>
      <c r="Y28" s="401"/>
      <c r="Z28" s="401"/>
      <c r="AA28" s="401"/>
      <c r="AB28" s="401" t="str">
        <f t="shared" ref="AB28:AB29" si="11">N28</f>
        <v/>
      </c>
      <c r="AC28" s="401" t="str">
        <f t="shared" ref="AC28:AC29" si="12">P28</f>
        <v/>
      </c>
      <c r="AD28" s="402">
        <f t="shared" si="10"/>
        <v>0</v>
      </c>
      <c r="AE28" s="400"/>
    </row>
    <row r="29">
      <c r="A29" s="219"/>
      <c r="B29" s="391"/>
      <c r="C29" s="393"/>
      <c r="D29" s="392"/>
      <c r="E29" s="404"/>
      <c r="F29" s="393"/>
      <c r="G29" s="391"/>
      <c r="H29" s="411"/>
      <c r="I29" s="219"/>
      <c r="J29" s="393"/>
      <c r="K29" s="396"/>
      <c r="L29" s="393"/>
      <c r="M29" s="391"/>
      <c r="N29" s="409"/>
      <c r="O29" s="397"/>
      <c r="P29" s="399"/>
      <c r="Q29" s="400"/>
      <c r="R29" s="399"/>
      <c r="S29" s="401"/>
      <c r="T29" s="406"/>
      <c r="U29" s="406"/>
      <c r="V29" s="406"/>
      <c r="W29" s="406"/>
      <c r="X29" s="406"/>
      <c r="Y29" s="401"/>
      <c r="Z29" s="401"/>
      <c r="AA29" s="401"/>
      <c r="AB29" s="401" t="str">
        <f t="shared" si="11"/>
        <v/>
      </c>
      <c r="AC29" s="401" t="str">
        <f t="shared" si="12"/>
        <v/>
      </c>
      <c r="AD29" s="402">
        <f t="shared" si="10"/>
        <v>0</v>
      </c>
      <c r="AE29" s="400"/>
    </row>
    <row r="30">
      <c r="A30" s="219"/>
      <c r="B30" s="391"/>
      <c r="C30" s="393"/>
      <c r="D30" s="392"/>
      <c r="E30" s="404"/>
      <c r="F30" s="393"/>
      <c r="G30" s="391"/>
      <c r="H30" s="411"/>
      <c r="I30" s="30"/>
      <c r="J30" s="393"/>
      <c r="K30" s="396"/>
      <c r="L30" s="393"/>
      <c r="M30" s="391"/>
      <c r="N30" s="409"/>
      <c r="O30" s="397"/>
      <c r="P30" s="399"/>
      <c r="Q30" s="400"/>
      <c r="R30" s="399"/>
      <c r="S30" s="401"/>
      <c r="T30" s="399"/>
      <c r="U30" s="399"/>
      <c r="V30" s="406"/>
      <c r="W30" s="406"/>
      <c r="X30" s="406"/>
      <c r="Y30" s="401"/>
      <c r="Z30" s="401"/>
      <c r="AA30" s="400"/>
      <c r="AB30" s="401"/>
      <c r="AC30" s="401"/>
      <c r="AD30" s="402"/>
      <c r="AE30" s="400"/>
    </row>
    <row r="31">
      <c r="A31" s="219"/>
      <c r="B31" s="391"/>
      <c r="C31" s="393"/>
      <c r="D31" s="392"/>
      <c r="E31" s="404"/>
      <c r="F31" s="393"/>
      <c r="G31" s="391"/>
      <c r="H31" s="411"/>
      <c r="I31" s="393"/>
      <c r="J31" s="412"/>
      <c r="K31" s="396"/>
      <c r="L31" s="393"/>
      <c r="M31" s="391"/>
      <c r="N31" s="409"/>
      <c r="O31" s="397"/>
      <c r="P31" s="399"/>
      <c r="Q31" s="400"/>
      <c r="R31" s="399"/>
      <c r="S31" s="401"/>
      <c r="T31" s="406"/>
      <c r="U31" s="406"/>
      <c r="V31" s="406"/>
      <c r="W31" s="406"/>
      <c r="X31" s="406"/>
      <c r="Y31" s="401"/>
      <c r="Z31" s="401"/>
      <c r="AA31" s="401"/>
      <c r="AB31" s="401" t="str">
        <f>O31</f>
        <v/>
      </c>
      <c r="AC31" s="401" t="str">
        <f>X31</f>
        <v/>
      </c>
      <c r="AD31" s="402">
        <f>AC31-AB31</f>
        <v>0</v>
      </c>
      <c r="AE31" s="400"/>
    </row>
    <row r="32">
      <c r="A32" s="219"/>
      <c r="B32" s="262"/>
      <c r="C32" s="263"/>
      <c r="D32" s="44"/>
      <c r="E32" s="37"/>
      <c r="F32" s="263"/>
      <c r="G32" s="262"/>
      <c r="H32" s="264"/>
      <c r="I32" s="372"/>
      <c r="J32" s="373"/>
      <c r="K32" s="266"/>
      <c r="L32" s="263"/>
      <c r="M32" s="262"/>
      <c r="N32" s="278"/>
      <c r="O32" s="319"/>
      <c r="P32" s="45"/>
      <c r="Q32" s="274">
        <v>0.0</v>
      </c>
      <c r="R32" s="269">
        <v>0.0</v>
      </c>
      <c r="S32" s="274">
        <v>0.0</v>
      </c>
      <c r="T32" s="269">
        <v>0.0</v>
      </c>
      <c r="U32" s="269">
        <v>0.0</v>
      </c>
      <c r="V32" s="269">
        <v>0.0</v>
      </c>
      <c r="W32" s="269">
        <v>0.0</v>
      </c>
      <c r="X32" s="269">
        <v>0.0</v>
      </c>
      <c r="Y32" s="274">
        <v>0.0</v>
      </c>
      <c r="Z32" s="274">
        <v>0.0</v>
      </c>
      <c r="AA32" s="274">
        <v>0.0</v>
      </c>
      <c r="AB32" s="241"/>
      <c r="AC32" s="241"/>
      <c r="AD32" s="137"/>
      <c r="AE32" s="274"/>
    </row>
    <row r="33">
      <c r="A33" s="219"/>
      <c r="B33" s="262"/>
      <c r="C33" s="263"/>
      <c r="D33" s="44"/>
      <c r="E33" s="37"/>
      <c r="F33" s="263"/>
      <c r="G33" s="262"/>
      <c r="H33" s="264"/>
      <c r="I33" s="372"/>
      <c r="J33" s="373"/>
      <c r="K33" s="266"/>
      <c r="L33" s="393"/>
      <c r="M33" s="262"/>
      <c r="N33" s="278"/>
      <c r="O33" s="319"/>
      <c r="P33" s="45"/>
      <c r="Q33" s="274"/>
      <c r="R33" s="269"/>
      <c r="S33" s="274"/>
      <c r="T33" s="269"/>
      <c r="U33" s="269"/>
      <c r="V33" s="269"/>
      <c r="W33" s="269"/>
      <c r="X33" s="269"/>
      <c r="Y33" s="274"/>
      <c r="Z33" s="274"/>
      <c r="AA33" s="274"/>
      <c r="AB33" s="241"/>
      <c r="AC33" s="241"/>
      <c r="AD33" s="137"/>
      <c r="AE33" s="274"/>
    </row>
    <row r="34" hidden="1">
      <c r="A34" s="30"/>
      <c r="B34" s="177"/>
      <c r="C34" s="44"/>
      <c r="D34" s="44"/>
      <c r="E34" s="37"/>
      <c r="F34" s="37"/>
      <c r="G34" s="263"/>
      <c r="H34" s="49"/>
      <c r="I34" s="68"/>
      <c r="J34" s="68"/>
      <c r="K34" s="42"/>
      <c r="L34" s="37"/>
      <c r="M34" s="177"/>
      <c r="N34" s="74"/>
      <c r="O34" s="319"/>
      <c r="P34" s="45"/>
      <c r="Q34" s="241"/>
      <c r="R34" s="45"/>
      <c r="S34" s="241"/>
      <c r="T34" s="45"/>
      <c r="U34" s="45"/>
      <c r="V34" s="45"/>
      <c r="W34" s="45"/>
      <c r="X34" s="45"/>
      <c r="Y34" s="241"/>
      <c r="Z34" s="241"/>
      <c r="AA34" s="241"/>
      <c r="AB34" s="241"/>
      <c r="AC34" s="241"/>
      <c r="AD34" s="137"/>
      <c r="AE34" s="241"/>
    </row>
    <row r="35" hidden="1">
      <c r="B35" s="177"/>
      <c r="C35" s="44"/>
      <c r="D35" s="44"/>
      <c r="E35" s="44"/>
      <c r="F35" s="37"/>
      <c r="G35" s="263"/>
      <c r="H35" s="49"/>
      <c r="I35" s="37"/>
      <c r="J35" s="37"/>
      <c r="K35" s="42"/>
      <c r="L35" s="37"/>
      <c r="M35" s="177"/>
      <c r="N35" s="74"/>
      <c r="O35" s="319"/>
      <c r="P35" s="45"/>
      <c r="Q35" s="241"/>
      <c r="R35" s="45"/>
      <c r="S35" s="241"/>
      <c r="T35" s="45"/>
      <c r="U35" s="45"/>
      <c r="V35" s="45"/>
      <c r="W35" s="45"/>
      <c r="X35" s="45"/>
      <c r="Y35" s="241"/>
      <c r="Z35" s="241"/>
      <c r="AA35" s="241"/>
      <c r="AB35" s="241"/>
      <c r="AC35" s="241"/>
      <c r="AD35" s="137"/>
      <c r="AE35" s="241"/>
    </row>
    <row r="36" hidden="1">
      <c r="A36" s="284" t="s">
        <v>483</v>
      </c>
      <c r="B36" s="177"/>
      <c r="C36" s="44"/>
      <c r="D36" s="44"/>
      <c r="E36" s="37"/>
      <c r="F36" s="37"/>
      <c r="G36" s="37"/>
      <c r="H36" s="134"/>
      <c r="I36" s="37"/>
      <c r="J36" s="37"/>
      <c r="K36" s="42"/>
      <c r="L36" s="37"/>
      <c r="M36" s="177"/>
      <c r="N36" s="43"/>
      <c r="O36" s="241"/>
      <c r="P36" s="241"/>
      <c r="Q36" s="241"/>
      <c r="R36" s="241"/>
      <c r="S36" s="56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137"/>
      <c r="AE36" s="241"/>
    </row>
    <row r="37" hidden="1">
      <c r="A37" s="30"/>
      <c r="B37" s="177"/>
      <c r="C37" s="44"/>
      <c r="D37" s="44"/>
      <c r="E37" s="37"/>
      <c r="F37" s="37"/>
      <c r="G37" s="37"/>
      <c r="H37" s="195"/>
      <c r="I37" s="37"/>
      <c r="J37" s="37"/>
      <c r="K37" s="42"/>
      <c r="L37" s="37"/>
      <c r="M37" s="177"/>
      <c r="N37" s="43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137"/>
      <c r="AE37" s="241"/>
    </row>
    <row r="38" hidden="1">
      <c r="A38" s="247" t="s">
        <v>401</v>
      </c>
      <c r="B38" s="177"/>
      <c r="C38" s="44"/>
      <c r="D38" s="44"/>
      <c r="E38" s="133"/>
      <c r="F38" s="37"/>
      <c r="G38" s="263"/>
      <c r="H38" s="248"/>
      <c r="I38" s="133"/>
      <c r="J38" s="133"/>
      <c r="K38" s="133"/>
      <c r="L38" s="37"/>
      <c r="M38" s="177"/>
      <c r="N38" s="43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137"/>
      <c r="AE38" s="241"/>
    </row>
    <row r="39" hidden="1">
      <c r="A39" s="249"/>
      <c r="B39" s="177"/>
      <c r="C39" s="44"/>
      <c r="D39" s="44"/>
      <c r="E39" s="198"/>
      <c r="F39" s="37"/>
      <c r="G39" s="263"/>
      <c r="H39" s="248"/>
      <c r="I39" s="198"/>
      <c r="J39" s="198"/>
      <c r="K39" s="198"/>
      <c r="L39" s="37"/>
      <c r="M39" s="177"/>
      <c r="N39" s="200"/>
      <c r="O39" s="375"/>
      <c r="P39" s="43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137"/>
      <c r="AE39" s="241"/>
    </row>
    <row r="40" hidden="1">
      <c r="A40" s="250"/>
      <c r="B40" s="177"/>
      <c r="C40" s="44"/>
      <c r="D40" s="44"/>
      <c r="E40" s="37"/>
      <c r="F40" s="37"/>
      <c r="G40" s="263"/>
      <c r="H40" s="248"/>
      <c r="I40" s="42"/>
      <c r="J40" s="42"/>
      <c r="K40" s="42"/>
      <c r="L40" s="37"/>
      <c r="M40" s="177"/>
      <c r="N40" s="200"/>
      <c r="O40" s="375"/>
      <c r="P40" s="43"/>
      <c r="Q40" s="241"/>
      <c r="R40" s="43"/>
      <c r="S40" s="241"/>
      <c r="T40" s="43"/>
      <c r="U40" s="43"/>
      <c r="V40" s="43"/>
      <c r="W40" s="43"/>
      <c r="X40" s="43"/>
      <c r="Y40" s="241"/>
      <c r="Z40" s="241"/>
      <c r="AA40" s="241"/>
      <c r="AB40" s="241"/>
      <c r="AC40" s="241"/>
      <c r="AD40" s="137"/>
      <c r="AE40" s="241"/>
    </row>
    <row r="41" hidden="1">
      <c r="A41" s="251" t="s">
        <v>404</v>
      </c>
      <c r="B41" s="177"/>
      <c r="C41" s="44"/>
      <c r="D41" s="44"/>
      <c r="E41" s="35"/>
      <c r="F41" s="37"/>
      <c r="G41" s="263"/>
      <c r="H41" s="248"/>
      <c r="I41" s="37"/>
      <c r="J41" s="37"/>
      <c r="K41" s="42"/>
      <c r="L41" s="37"/>
      <c r="M41" s="177"/>
      <c r="N41" s="43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137"/>
      <c r="AE41" s="241"/>
    </row>
    <row r="42" hidden="1">
      <c r="A42" s="249"/>
      <c r="B42" s="177"/>
      <c r="C42" s="44"/>
      <c r="D42" s="44"/>
      <c r="E42" s="198"/>
      <c r="F42" s="37"/>
      <c r="G42" s="263"/>
      <c r="H42" s="248"/>
      <c r="I42" s="198"/>
      <c r="J42" s="198"/>
      <c r="K42" s="198"/>
      <c r="L42" s="37"/>
      <c r="M42" s="177"/>
      <c r="N42" s="200"/>
      <c r="O42" s="376"/>
      <c r="P42" s="45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137"/>
      <c r="AE42" s="241"/>
    </row>
    <row r="43" hidden="1">
      <c r="A43" s="250"/>
      <c r="B43" s="177"/>
      <c r="C43" s="44"/>
      <c r="D43" s="44"/>
      <c r="E43" s="198"/>
      <c r="F43" s="37"/>
      <c r="G43" s="263"/>
      <c r="H43" s="248"/>
      <c r="I43" s="65"/>
      <c r="J43" s="65"/>
      <c r="K43" s="42"/>
      <c r="L43" s="37"/>
      <c r="M43" s="177"/>
      <c r="N43" s="200"/>
      <c r="O43" s="376"/>
      <c r="P43" s="45"/>
      <c r="Q43" s="241"/>
      <c r="R43" s="45"/>
      <c r="S43" s="241"/>
      <c r="T43" s="45"/>
      <c r="U43" s="45"/>
      <c r="V43" s="45"/>
      <c r="W43" s="45"/>
      <c r="X43" s="45"/>
      <c r="Y43" s="241"/>
      <c r="Z43" s="241"/>
      <c r="AA43" s="241"/>
      <c r="AB43" s="241"/>
      <c r="AC43" s="241"/>
      <c r="AD43" s="137"/>
      <c r="AE43" s="241"/>
    </row>
    <row r="44" hidden="1">
      <c r="A44" s="247" t="s">
        <v>408</v>
      </c>
      <c r="B44" s="177"/>
      <c r="C44" s="44"/>
      <c r="D44" s="44"/>
      <c r="E44" s="198"/>
      <c r="F44" s="37"/>
      <c r="G44" s="263"/>
      <c r="H44" s="65"/>
      <c r="I44" s="198"/>
      <c r="J44" s="198"/>
      <c r="K44" s="198"/>
      <c r="L44" s="37"/>
      <c r="M44" s="377"/>
      <c r="N44" s="43"/>
      <c r="O44" s="241"/>
      <c r="P44" s="241"/>
      <c r="Q44" s="59"/>
      <c r="R44" s="47"/>
      <c r="S44" s="63"/>
      <c r="T44" s="47"/>
      <c r="U44" s="47"/>
      <c r="V44" s="47"/>
      <c r="W44" s="194"/>
      <c r="X44" s="208"/>
      <c r="Y44" s="47"/>
      <c r="Z44" s="47"/>
      <c r="AA44" s="47"/>
      <c r="AB44" s="47"/>
      <c r="AC44" s="241"/>
      <c r="AD44" s="137"/>
      <c r="AE44" s="241"/>
    </row>
    <row r="45" hidden="1">
      <c r="A45" s="249"/>
      <c r="B45" s="177"/>
      <c r="C45" s="44"/>
      <c r="D45" s="44"/>
      <c r="E45" s="198"/>
      <c r="F45" s="37"/>
      <c r="G45" s="263"/>
      <c r="H45" s="65"/>
      <c r="I45" s="198"/>
      <c r="J45" s="198"/>
      <c r="K45" s="198"/>
      <c r="L45" s="37"/>
      <c r="M45" s="377"/>
      <c r="N45" s="200"/>
      <c r="O45" s="376"/>
      <c r="P45" s="45"/>
      <c r="Q45" s="59"/>
      <c r="R45" s="47"/>
      <c r="S45" s="60"/>
      <c r="T45" s="47"/>
      <c r="U45" s="47"/>
      <c r="V45" s="47"/>
      <c r="W45" s="47"/>
      <c r="X45" s="47"/>
      <c r="Y45" s="47"/>
      <c r="Z45" s="47"/>
      <c r="AA45" s="47"/>
      <c r="AB45" s="47"/>
      <c r="AC45" s="241"/>
      <c r="AD45" s="137"/>
      <c r="AE45" s="241"/>
    </row>
    <row r="46" hidden="1">
      <c r="A46" s="250"/>
      <c r="B46" s="177"/>
      <c r="C46" s="44"/>
      <c r="D46" s="44"/>
      <c r="E46" s="62"/>
      <c r="F46" s="37"/>
      <c r="G46" s="263"/>
      <c r="H46" s="65"/>
      <c r="I46" s="65"/>
      <c r="J46" s="65"/>
      <c r="K46" s="42"/>
      <c r="L46" s="37"/>
      <c r="M46" s="377"/>
      <c r="N46" s="200"/>
      <c r="O46" s="376"/>
      <c r="P46" s="45"/>
      <c r="Q46" s="241"/>
      <c r="R46" s="45"/>
      <c r="S46" s="241"/>
      <c r="T46" s="45"/>
      <c r="U46" s="45"/>
      <c r="V46" s="45"/>
      <c r="W46" s="45"/>
      <c r="X46" s="45"/>
      <c r="Y46" s="47"/>
      <c r="Z46" s="47"/>
      <c r="AA46" s="47"/>
      <c r="AB46" s="47"/>
      <c r="AC46" s="241"/>
      <c r="AD46" s="137"/>
      <c r="AE46" s="241"/>
    </row>
    <row r="47" hidden="1">
      <c r="A47" s="251" t="s">
        <v>412</v>
      </c>
      <c r="B47" s="177"/>
      <c r="C47" s="44"/>
      <c r="D47" s="44"/>
      <c r="E47" s="37"/>
      <c r="F47" s="37"/>
      <c r="G47" s="263"/>
      <c r="H47" s="161"/>
      <c r="I47" s="142"/>
      <c r="J47" s="142"/>
      <c r="K47" s="133"/>
      <c r="L47" s="37"/>
      <c r="M47" s="377"/>
      <c r="N47" s="43"/>
      <c r="O47" s="241"/>
      <c r="P47" s="241"/>
      <c r="Q47" s="42"/>
      <c r="R47" s="63"/>
      <c r="S47" s="63"/>
      <c r="T47" s="47"/>
      <c r="U47" s="47"/>
      <c r="V47" s="47"/>
      <c r="W47" s="194"/>
      <c r="X47" s="208"/>
      <c r="Y47" s="63"/>
      <c r="Z47" s="63"/>
      <c r="AA47" s="63"/>
      <c r="AB47" s="63"/>
      <c r="AC47" s="241"/>
      <c r="AD47" s="137"/>
      <c r="AE47" s="241"/>
    </row>
    <row r="48" hidden="1">
      <c r="A48" s="249"/>
      <c r="B48" s="177"/>
      <c r="C48" s="44"/>
      <c r="D48" s="44"/>
      <c r="E48" s="37"/>
      <c r="F48" s="37"/>
      <c r="G48" s="263"/>
      <c r="H48" s="161"/>
      <c r="I48" s="37"/>
      <c r="J48" s="37"/>
      <c r="K48" s="42"/>
      <c r="L48" s="37"/>
      <c r="M48" s="377"/>
      <c r="N48" s="200"/>
      <c r="O48" s="376"/>
      <c r="P48" s="45"/>
      <c r="Q48" s="59"/>
      <c r="R48" s="47"/>
      <c r="S48" s="60"/>
      <c r="T48" s="47"/>
      <c r="U48" s="47"/>
      <c r="V48" s="47"/>
      <c r="W48" s="47"/>
      <c r="X48" s="47"/>
      <c r="Y48" s="47"/>
      <c r="Z48" s="47"/>
      <c r="AA48" s="47"/>
      <c r="AB48" s="47"/>
      <c r="AC48" s="241"/>
      <c r="AD48" s="137"/>
      <c r="AE48" s="241"/>
    </row>
    <row r="49" hidden="1">
      <c r="A49" s="250"/>
      <c r="B49" s="177"/>
      <c r="C49" s="44"/>
      <c r="D49" s="44"/>
      <c r="E49" s="37"/>
      <c r="F49" s="37"/>
      <c r="G49" s="263"/>
      <c r="H49" s="161"/>
      <c r="I49" s="37"/>
      <c r="J49" s="37"/>
      <c r="K49" s="42"/>
      <c r="L49" s="37"/>
      <c r="M49" s="377"/>
      <c r="N49" s="200"/>
      <c r="O49" s="376"/>
      <c r="P49" s="45"/>
      <c r="Q49" s="241"/>
      <c r="R49" s="45"/>
      <c r="S49" s="241"/>
      <c r="T49" s="45"/>
      <c r="U49" s="45"/>
      <c r="V49" s="45"/>
      <c r="W49" s="45"/>
      <c r="X49" s="45"/>
      <c r="Y49" s="47"/>
      <c r="Z49" s="47"/>
      <c r="AA49" s="47"/>
      <c r="AB49" s="47"/>
      <c r="AC49" s="241"/>
      <c r="AD49" s="137"/>
      <c r="AE49" s="241"/>
    </row>
    <row r="50" hidden="1">
      <c r="A50" s="285" t="s">
        <v>417</v>
      </c>
      <c r="B50" s="177"/>
      <c r="C50" s="44"/>
      <c r="D50" s="44"/>
      <c r="E50" s="37"/>
      <c r="F50" s="37"/>
      <c r="G50" s="256"/>
      <c r="H50" s="161"/>
      <c r="I50" s="37"/>
      <c r="J50" s="37"/>
      <c r="K50" s="42"/>
      <c r="L50" s="37"/>
      <c r="M50" s="377"/>
      <c r="N50" s="43"/>
      <c r="O50" s="241"/>
      <c r="P50" s="241"/>
      <c r="Q50" s="59"/>
      <c r="R50" s="47"/>
      <c r="S50" s="60"/>
      <c r="T50" s="47"/>
      <c r="U50" s="47"/>
      <c r="V50" s="47"/>
      <c r="W50" s="47"/>
      <c r="X50" s="47"/>
      <c r="Y50" s="47"/>
      <c r="Z50" s="47"/>
      <c r="AA50" s="47"/>
      <c r="AB50" s="47"/>
      <c r="AC50" s="241"/>
      <c r="AD50" s="137"/>
      <c r="AE50" s="241"/>
    </row>
    <row r="51" hidden="1">
      <c r="A51" s="250"/>
      <c r="B51" s="177"/>
      <c r="C51" s="44"/>
      <c r="D51" s="44"/>
      <c r="E51" s="37"/>
      <c r="F51" s="37"/>
      <c r="G51" s="256"/>
      <c r="H51" s="161"/>
      <c r="I51" s="37"/>
      <c r="J51" s="37"/>
      <c r="K51" s="42"/>
      <c r="L51" s="37"/>
      <c r="M51" s="377"/>
      <c r="N51" s="43"/>
      <c r="O51" s="241"/>
      <c r="P51" s="241"/>
      <c r="Q51" s="286"/>
      <c r="R51" s="287"/>
      <c r="S51" s="60"/>
      <c r="T51" s="45"/>
      <c r="U51" s="45"/>
      <c r="V51" s="47"/>
      <c r="W51" s="47"/>
      <c r="X51" s="47"/>
      <c r="Y51" s="47"/>
      <c r="Z51" s="47"/>
      <c r="AA51" s="47"/>
      <c r="AB51" s="47"/>
      <c r="AC51" s="241"/>
      <c r="AD51" s="137"/>
      <c r="AE51" s="241"/>
    </row>
    <row r="52" hidden="1">
      <c r="A52" s="218" t="s">
        <v>421</v>
      </c>
      <c r="B52" s="177"/>
      <c r="C52" s="288"/>
      <c r="D52" s="288"/>
      <c r="E52" s="37"/>
      <c r="F52" s="263"/>
      <c r="G52" s="289"/>
      <c r="H52" s="263"/>
      <c r="I52" s="37"/>
      <c r="J52" s="37"/>
      <c r="K52" s="42"/>
      <c r="L52" s="37"/>
      <c r="M52" s="377"/>
      <c r="N52" s="43"/>
      <c r="O52" s="274"/>
      <c r="P52" s="274"/>
      <c r="Q52" s="59"/>
      <c r="R52" s="47"/>
      <c r="S52" s="60"/>
      <c r="T52" s="47"/>
      <c r="U52" s="47"/>
      <c r="V52" s="47"/>
      <c r="W52" s="47"/>
      <c r="X52" s="47"/>
      <c r="Y52" s="47"/>
      <c r="Z52" s="47"/>
      <c r="AA52" s="47"/>
      <c r="AB52" s="47"/>
      <c r="AC52" s="241"/>
      <c r="AD52" s="137"/>
      <c r="AE52" s="241"/>
    </row>
    <row r="53" hidden="1">
      <c r="A53" s="219"/>
      <c r="B53" s="177"/>
      <c r="C53" s="288"/>
      <c r="D53" s="288"/>
      <c r="E53" s="37"/>
      <c r="F53" s="263"/>
      <c r="G53" s="289"/>
      <c r="H53" s="263"/>
      <c r="I53" s="37"/>
      <c r="J53" s="37"/>
      <c r="K53" s="42"/>
      <c r="L53" s="37"/>
      <c r="M53" s="377"/>
      <c r="N53" s="43"/>
      <c r="O53" s="274"/>
      <c r="P53" s="274"/>
      <c r="Q53" s="59"/>
      <c r="R53" s="47"/>
      <c r="S53" s="60"/>
      <c r="T53" s="47"/>
      <c r="U53" s="47"/>
      <c r="V53" s="47"/>
      <c r="W53" s="47"/>
      <c r="X53" s="47"/>
      <c r="Y53" s="47"/>
      <c r="Z53" s="47"/>
      <c r="AA53" s="47"/>
      <c r="AB53" s="47"/>
      <c r="AC53" s="241"/>
      <c r="AD53" s="137"/>
      <c r="AE53" s="235"/>
    </row>
    <row r="54" hidden="1">
      <c r="A54" s="30"/>
      <c r="B54" s="177"/>
      <c r="C54" s="288"/>
      <c r="D54" s="288"/>
      <c r="E54" s="37"/>
      <c r="F54" s="263"/>
      <c r="G54" s="289"/>
      <c r="H54" s="263"/>
      <c r="I54" s="263"/>
      <c r="J54" s="263"/>
      <c r="K54" s="266"/>
      <c r="L54" s="263"/>
      <c r="M54" s="377"/>
      <c r="N54" s="43"/>
      <c r="O54" s="274"/>
      <c r="P54" s="274"/>
      <c r="Q54" s="59"/>
      <c r="R54" s="47"/>
      <c r="S54" s="60"/>
      <c r="T54" s="274"/>
      <c r="U54" s="274"/>
      <c r="V54" s="47"/>
      <c r="W54" s="47"/>
      <c r="X54" s="287"/>
      <c r="Y54" s="47"/>
      <c r="Z54" s="47"/>
      <c r="AA54" s="47"/>
      <c r="AB54" s="47"/>
      <c r="AC54" s="241"/>
      <c r="AD54" s="137"/>
      <c r="AE54" s="235"/>
    </row>
    <row r="55" hidden="1">
      <c r="A55" s="218" t="s">
        <v>425</v>
      </c>
      <c r="B55" s="177"/>
      <c r="C55" s="288"/>
      <c r="D55" s="288"/>
      <c r="E55" s="37"/>
      <c r="F55" s="263"/>
      <c r="G55" s="263"/>
      <c r="H55" s="264"/>
      <c r="I55" s="37"/>
      <c r="J55" s="37"/>
      <c r="K55" s="42"/>
      <c r="L55" s="37"/>
      <c r="M55" s="377"/>
      <c r="N55" s="43"/>
      <c r="O55" s="274"/>
      <c r="P55" s="274"/>
      <c r="Q55" s="59"/>
      <c r="R55" s="47"/>
      <c r="S55" s="60"/>
      <c r="T55" s="47"/>
      <c r="U55" s="47"/>
      <c r="V55" s="47"/>
      <c r="W55" s="47"/>
      <c r="X55" s="47"/>
      <c r="Y55" s="47"/>
      <c r="Z55" s="47"/>
      <c r="AA55" s="47"/>
      <c r="AB55" s="47"/>
      <c r="AC55" s="241"/>
      <c r="AD55" s="137"/>
      <c r="AE55" s="235"/>
    </row>
    <row r="56" hidden="1">
      <c r="A56" s="219"/>
      <c r="B56" s="177"/>
      <c r="C56" s="288"/>
      <c r="D56" s="288"/>
      <c r="E56" s="37"/>
      <c r="F56" s="263"/>
      <c r="G56" s="263"/>
      <c r="H56" s="264"/>
      <c r="I56" s="37"/>
      <c r="J56" s="37"/>
      <c r="K56" s="42"/>
      <c r="L56" s="37"/>
      <c r="M56" s="377"/>
      <c r="N56" s="43"/>
      <c r="O56" s="274"/>
      <c r="P56" s="274"/>
      <c r="Q56" s="59"/>
      <c r="R56" s="47"/>
      <c r="S56" s="60"/>
      <c r="T56" s="47"/>
      <c r="U56" s="47"/>
      <c r="V56" s="47"/>
      <c r="W56" s="47"/>
      <c r="X56" s="47"/>
      <c r="Y56" s="47"/>
      <c r="Z56" s="47"/>
      <c r="AA56" s="47"/>
      <c r="AB56" s="47"/>
      <c r="AC56" s="241"/>
      <c r="AD56" s="137"/>
      <c r="AE56" s="235"/>
    </row>
    <row r="57" hidden="1">
      <c r="A57" s="30"/>
      <c r="B57" s="177"/>
      <c r="C57" s="288"/>
      <c r="D57" s="288"/>
      <c r="E57" s="37"/>
      <c r="F57" s="263"/>
      <c r="G57" s="263"/>
      <c r="H57" s="264"/>
      <c r="I57" s="263"/>
      <c r="J57" s="263"/>
      <c r="K57" s="266"/>
      <c r="L57" s="263"/>
      <c r="M57" s="377"/>
      <c r="N57" s="43"/>
      <c r="O57" s="291"/>
      <c r="P57" s="291"/>
      <c r="Q57" s="286"/>
      <c r="R57" s="287"/>
      <c r="S57" s="60"/>
      <c r="T57" s="274"/>
      <c r="U57" s="274"/>
      <c r="V57" s="47"/>
      <c r="W57" s="287"/>
      <c r="X57" s="287"/>
      <c r="Y57" s="47"/>
      <c r="Z57" s="47"/>
      <c r="AA57" s="47"/>
      <c r="AB57" s="47"/>
      <c r="AC57" s="241"/>
      <c r="AD57" s="137"/>
      <c r="AE57" s="235"/>
    </row>
    <row r="58" hidden="1">
      <c r="A58" s="284" t="s">
        <v>429</v>
      </c>
      <c r="B58" s="262"/>
      <c r="C58" s="288"/>
      <c r="D58" s="288"/>
      <c r="E58" s="37"/>
      <c r="F58" s="263"/>
      <c r="G58" s="262"/>
      <c r="H58" s="49"/>
      <c r="I58" s="37"/>
      <c r="J58" s="37"/>
      <c r="K58" s="42"/>
      <c r="L58" s="37"/>
      <c r="M58" s="377"/>
      <c r="N58" s="43"/>
      <c r="O58" s="274"/>
      <c r="P58" s="274"/>
      <c r="Q58" s="59"/>
      <c r="R58" s="47"/>
      <c r="S58" s="60"/>
      <c r="T58" s="47"/>
      <c r="U58" s="47"/>
      <c r="V58" s="47"/>
      <c r="W58" s="47"/>
      <c r="X58" s="47"/>
      <c r="Y58" s="47"/>
      <c r="Z58" s="47"/>
      <c r="AA58" s="47"/>
      <c r="AB58" s="47"/>
      <c r="AC58" s="241"/>
      <c r="AD58" s="137"/>
      <c r="AE58" s="235"/>
    </row>
    <row r="59" hidden="1">
      <c r="A59" s="30"/>
      <c r="B59" s="262"/>
      <c r="C59" s="288"/>
      <c r="D59" s="44"/>
      <c r="E59" s="37"/>
      <c r="F59" s="263"/>
      <c r="G59" s="262"/>
      <c r="H59" s="49"/>
      <c r="I59" s="37"/>
      <c r="J59" s="37"/>
      <c r="K59" s="42"/>
      <c r="L59" s="263"/>
      <c r="M59" s="377"/>
      <c r="N59" s="43"/>
      <c r="O59" s="291"/>
      <c r="P59" s="291"/>
      <c r="Q59" s="286"/>
      <c r="R59" s="47"/>
      <c r="S59" s="60"/>
      <c r="T59" s="274"/>
      <c r="U59" s="274"/>
      <c r="V59" s="47"/>
      <c r="W59" s="47"/>
      <c r="X59" s="287"/>
      <c r="Y59" s="47"/>
      <c r="Z59" s="47"/>
      <c r="AA59" s="47"/>
      <c r="AB59" s="47"/>
      <c r="AC59" s="241"/>
      <c r="AD59" s="137"/>
      <c r="AE59" s="235"/>
    </row>
    <row r="60" hidden="1">
      <c r="A60" s="284" t="s">
        <v>433</v>
      </c>
      <c r="B60" s="262"/>
      <c r="C60" s="288"/>
      <c r="D60" s="288"/>
      <c r="E60" s="37"/>
      <c r="F60" s="263"/>
      <c r="G60" s="263"/>
      <c r="H60" s="49"/>
      <c r="I60" s="37"/>
      <c r="K60" s="42"/>
      <c r="L60" s="263"/>
      <c r="M60" s="377"/>
      <c r="N60" s="43"/>
      <c r="O60" s="291"/>
      <c r="P60" s="291"/>
      <c r="Q60" s="59"/>
      <c r="R60" s="47"/>
      <c r="S60" s="60"/>
      <c r="T60" s="241"/>
      <c r="U60" s="241"/>
      <c r="V60" s="47"/>
      <c r="W60" s="47"/>
      <c r="X60" s="47"/>
      <c r="Y60" s="47"/>
      <c r="Z60" s="47"/>
      <c r="AA60" s="47"/>
      <c r="AB60" s="47"/>
      <c r="AC60" s="47"/>
      <c r="AD60" s="137"/>
      <c r="AE60" s="235"/>
    </row>
    <row r="61" hidden="1">
      <c r="A61" s="219"/>
      <c r="B61" s="262"/>
      <c r="C61" s="288"/>
      <c r="D61" s="288"/>
      <c r="E61" s="37"/>
      <c r="F61" s="263"/>
      <c r="G61" s="263"/>
      <c r="H61" s="49"/>
      <c r="I61" s="37"/>
      <c r="J61" s="263"/>
      <c r="K61" s="42"/>
      <c r="L61" s="263"/>
      <c r="M61" s="378"/>
      <c r="N61" s="43"/>
      <c r="O61" s="291"/>
      <c r="P61" s="291"/>
      <c r="Q61" s="59"/>
      <c r="R61" s="47"/>
      <c r="S61" s="60"/>
      <c r="T61" s="241"/>
      <c r="U61" s="241"/>
      <c r="V61" s="47"/>
      <c r="W61" s="47"/>
      <c r="X61" s="47"/>
      <c r="Y61" s="47"/>
      <c r="Z61" s="47"/>
      <c r="AA61" s="47"/>
      <c r="AB61" s="47"/>
      <c r="AC61" s="47"/>
      <c r="AD61" s="137"/>
      <c r="AE61" s="235"/>
    </row>
    <row r="62" hidden="1">
      <c r="A62" s="30"/>
      <c r="B62" s="262"/>
      <c r="C62" s="288"/>
      <c r="D62" s="288"/>
      <c r="E62" s="37"/>
      <c r="F62" s="263"/>
      <c r="G62" s="263"/>
      <c r="H62" s="49"/>
      <c r="I62" s="37"/>
      <c r="J62" s="263"/>
      <c r="K62" s="42"/>
      <c r="L62" s="263"/>
      <c r="M62" s="378"/>
      <c r="N62" s="43"/>
      <c r="O62" s="291"/>
      <c r="P62" s="291"/>
      <c r="Q62" s="59"/>
      <c r="R62" s="47"/>
      <c r="S62" s="60"/>
      <c r="T62" s="241"/>
      <c r="U62" s="241"/>
      <c r="V62" s="47"/>
      <c r="W62" s="47"/>
      <c r="X62" s="47"/>
      <c r="Y62" s="47"/>
      <c r="Z62" s="47"/>
      <c r="AA62" s="47"/>
      <c r="AB62" s="47"/>
      <c r="AC62" s="47"/>
      <c r="AD62" s="137"/>
      <c r="AE62" s="235"/>
    </row>
    <row r="63" hidden="1">
      <c r="A63" s="218"/>
      <c r="B63" s="177"/>
      <c r="C63" s="44"/>
      <c r="D63" s="44"/>
      <c r="E63" s="37"/>
      <c r="F63" s="37"/>
      <c r="G63" s="37"/>
      <c r="H63" s="37"/>
      <c r="I63" s="37"/>
      <c r="J63" s="37"/>
      <c r="K63" s="42"/>
      <c r="L63" s="37"/>
      <c r="M63" s="377"/>
      <c r="N63" s="43"/>
      <c r="O63" s="241"/>
      <c r="P63" s="241"/>
      <c r="Q63" s="59"/>
      <c r="R63" s="47"/>
      <c r="S63" s="60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137"/>
      <c r="AE63" s="235"/>
    </row>
    <row r="64" hidden="1">
      <c r="A64" s="219"/>
      <c r="B64" s="177"/>
      <c r="C64" s="44"/>
      <c r="D64" s="44"/>
      <c r="E64" s="37"/>
      <c r="F64" s="37"/>
      <c r="G64" s="37"/>
      <c r="H64" s="37"/>
      <c r="I64" s="37"/>
      <c r="J64" s="37"/>
      <c r="K64" s="42"/>
      <c r="L64" s="37"/>
      <c r="M64" s="377"/>
      <c r="N64" s="43"/>
      <c r="O64" s="241"/>
      <c r="P64" s="241"/>
      <c r="Q64" s="59"/>
      <c r="R64" s="47"/>
      <c r="S64" s="60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137"/>
      <c r="AE64" s="235"/>
    </row>
    <row r="65" hidden="1">
      <c r="A65" s="30"/>
      <c r="B65" s="177"/>
      <c r="C65" s="44"/>
      <c r="D65" s="44"/>
      <c r="E65" s="37"/>
      <c r="F65" s="37"/>
      <c r="G65" s="37"/>
      <c r="H65" s="37"/>
      <c r="I65" s="37"/>
      <c r="J65" s="37"/>
      <c r="K65" s="42"/>
      <c r="L65" s="37"/>
      <c r="M65" s="377"/>
      <c r="N65" s="43"/>
      <c r="O65" s="214"/>
      <c r="P65" s="214"/>
      <c r="Q65" s="59"/>
      <c r="R65" s="47"/>
      <c r="S65" s="60"/>
      <c r="T65" s="241"/>
      <c r="U65" s="241"/>
      <c r="V65" s="47"/>
      <c r="W65" s="47"/>
      <c r="X65" s="47"/>
      <c r="Y65" s="47"/>
      <c r="Z65" s="47"/>
      <c r="AA65" s="47"/>
      <c r="AB65" s="47"/>
      <c r="AC65" s="47"/>
      <c r="AD65" s="137"/>
      <c r="AE65" s="235"/>
    </row>
    <row r="66" hidden="1">
      <c r="A66" s="218"/>
      <c r="B66" s="177"/>
      <c r="C66" s="44"/>
      <c r="D66" s="44"/>
      <c r="E66" s="37"/>
      <c r="F66" s="37"/>
      <c r="G66" s="37"/>
      <c r="H66" s="37"/>
      <c r="I66" s="37"/>
      <c r="J66" s="37"/>
      <c r="K66" s="42"/>
      <c r="L66" s="37"/>
      <c r="M66" s="377"/>
      <c r="N66" s="43"/>
      <c r="O66" s="194"/>
      <c r="P66" s="194"/>
      <c r="Q66" s="59"/>
      <c r="R66" s="47"/>
      <c r="S66" s="60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137"/>
      <c r="AE66" s="40"/>
    </row>
    <row r="67" hidden="1">
      <c r="A67" s="30"/>
      <c r="B67" s="177"/>
      <c r="C67" s="44"/>
      <c r="D67" s="44"/>
      <c r="E67" s="37"/>
      <c r="F67" s="37"/>
      <c r="G67" s="37"/>
      <c r="H67" s="37"/>
      <c r="I67" s="37"/>
      <c r="J67" s="37"/>
      <c r="K67" s="42"/>
      <c r="L67" s="37"/>
      <c r="M67" s="377"/>
      <c r="N67" s="43"/>
      <c r="O67" s="43"/>
      <c r="P67" s="43"/>
      <c r="Q67" s="59"/>
      <c r="R67" s="47"/>
      <c r="S67" s="60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137"/>
      <c r="AE67" s="40"/>
    </row>
    <row r="68" hidden="1">
      <c r="A68" s="265"/>
      <c r="B68" s="177"/>
      <c r="C68" s="44"/>
      <c r="D68" s="44"/>
      <c r="E68" s="37"/>
      <c r="F68" s="37"/>
      <c r="G68" s="37"/>
      <c r="H68" s="49"/>
      <c r="I68" s="37"/>
      <c r="J68" s="37"/>
      <c r="K68" s="42"/>
      <c r="L68" s="37"/>
      <c r="M68" s="377"/>
      <c r="N68" s="43"/>
      <c r="O68" s="194"/>
      <c r="P68" s="194"/>
      <c r="Q68" s="59"/>
      <c r="R68" s="47"/>
      <c r="S68" s="60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137"/>
      <c r="AE68" s="40"/>
    </row>
    <row r="69" hidden="1">
      <c r="A69" s="218"/>
      <c r="B69" s="177"/>
      <c r="C69" s="44"/>
      <c r="D69" s="44"/>
      <c r="E69" s="37"/>
      <c r="F69" s="37"/>
      <c r="G69" s="37"/>
      <c r="H69" s="49"/>
      <c r="I69" s="37"/>
      <c r="J69" s="37"/>
      <c r="K69" s="42"/>
      <c r="L69" s="37"/>
      <c r="M69" s="377"/>
      <c r="N69" s="43"/>
      <c r="O69" s="194"/>
      <c r="P69" s="194"/>
      <c r="Q69" s="59"/>
      <c r="R69" s="47"/>
      <c r="S69" s="60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137"/>
      <c r="AE69" s="40"/>
    </row>
    <row r="70" hidden="1">
      <c r="A70" s="219"/>
      <c r="B70" s="177"/>
      <c r="C70" s="44"/>
      <c r="D70" s="44"/>
      <c r="E70" s="37"/>
      <c r="F70" s="37"/>
      <c r="G70" s="37"/>
      <c r="H70" s="49"/>
      <c r="I70" s="37"/>
      <c r="J70" s="37"/>
      <c r="K70" s="42"/>
      <c r="L70" s="37"/>
      <c r="M70" s="377"/>
      <c r="N70" s="43"/>
      <c r="O70" s="43"/>
      <c r="P70" s="43"/>
      <c r="Q70" s="59"/>
      <c r="R70" s="47"/>
      <c r="S70" s="60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137"/>
      <c r="AE70" s="40"/>
    </row>
    <row r="71" hidden="1">
      <c r="A71" s="30"/>
      <c r="B71" s="177"/>
      <c r="C71" s="44"/>
      <c r="D71" s="44"/>
      <c r="E71" s="37"/>
      <c r="F71" s="37"/>
      <c r="G71" s="37"/>
      <c r="H71" s="49"/>
      <c r="I71" s="37"/>
      <c r="J71" s="37"/>
      <c r="K71" s="42"/>
      <c r="L71" s="37"/>
      <c r="M71" s="377"/>
      <c r="N71" s="43"/>
      <c r="O71" s="214"/>
      <c r="P71" s="214"/>
      <c r="Q71" s="59"/>
      <c r="R71" s="47"/>
      <c r="S71" s="60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137"/>
      <c r="AE71" s="40"/>
    </row>
    <row r="72">
      <c r="A72" s="79" t="s">
        <v>73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1"/>
      <c r="M72" s="270">
        <f>sum(M11:M32)</f>
        <v>2</v>
      </c>
      <c r="N72" s="43"/>
      <c r="O72" s="214"/>
      <c r="P72" s="214"/>
      <c r="Q72" s="59"/>
      <c r="R72" s="47"/>
      <c r="S72" s="60"/>
      <c r="T72" s="47"/>
      <c r="U72" s="47"/>
      <c r="V72" s="47"/>
      <c r="W72" s="47"/>
      <c r="X72" s="47"/>
      <c r="Y72" s="47"/>
      <c r="Z72" s="47"/>
      <c r="AA72" s="47"/>
      <c r="AB72" s="47">
        <f>sum(AB11:AB33)</f>
        <v>12765000</v>
      </c>
      <c r="AC72" s="91">
        <f>SUM(AC11:AC62)</f>
        <v>800000</v>
      </c>
      <c r="AD72" s="137">
        <f>sum(AD11:AD32)</f>
        <v>-11965000</v>
      </c>
      <c r="AE72" s="273">
        <f>SUM(AE11:AE22)</f>
        <v>0</v>
      </c>
    </row>
    <row r="73" ht="19.5" customHeight="1">
      <c r="A73" s="79" t="s">
        <v>76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1"/>
      <c r="M73" s="331"/>
      <c r="N73" s="83"/>
      <c r="O73" s="83"/>
      <c r="P73" s="83"/>
      <c r="Q73" s="83"/>
      <c r="R73" s="83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91">
        <f>AC72</f>
        <v>800000</v>
      </c>
      <c r="AD73" s="137"/>
      <c r="AE73" s="85"/>
    </row>
    <row r="74">
      <c r="A74" s="79" t="s">
        <v>86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1"/>
      <c r="M74" s="331"/>
      <c r="N74" s="83"/>
      <c r="O74" s="83"/>
      <c r="P74" s="83"/>
      <c r="Q74" s="83"/>
      <c r="R74" s="83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91">
        <f>AC73*8%</f>
        <v>64000</v>
      </c>
      <c r="AD74" s="137"/>
      <c r="AE74" s="85"/>
    </row>
    <row r="75">
      <c r="A75" s="379" t="s">
        <v>88</v>
      </c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170"/>
      <c r="M75" s="381"/>
      <c r="N75" s="382"/>
      <c r="O75" s="382"/>
      <c r="P75" s="382"/>
      <c r="Q75" s="382"/>
      <c r="R75" s="382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4">
        <f>AC73+AC74</f>
        <v>864000</v>
      </c>
      <c r="AD75" s="137"/>
      <c r="AE75" s="85"/>
    </row>
    <row r="76">
      <c r="A76" s="93" t="s">
        <v>89</v>
      </c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137"/>
      <c r="AE76" s="386"/>
    </row>
    <row r="77">
      <c r="M77" s="333"/>
    </row>
    <row r="78">
      <c r="M78" s="333"/>
    </row>
    <row r="79">
      <c r="M79" s="333"/>
      <c r="S79" s="335"/>
    </row>
    <row r="81">
      <c r="M81" s="333"/>
      <c r="S81" s="335"/>
    </row>
    <row r="82">
      <c r="M82" s="333"/>
      <c r="S82" s="335"/>
      <c r="AA82" s="336"/>
    </row>
    <row r="83">
      <c r="M83" s="333"/>
      <c r="S83" s="335"/>
    </row>
    <row r="85">
      <c r="M85" s="333"/>
    </row>
    <row r="86">
      <c r="M86" s="333"/>
    </row>
    <row r="87">
      <c r="M87" s="333"/>
    </row>
    <row r="88">
      <c r="M88" s="333"/>
    </row>
    <row r="89">
      <c r="M89" s="333"/>
    </row>
    <row r="90">
      <c r="M90" s="333"/>
    </row>
    <row r="91">
      <c r="M91" s="333"/>
    </row>
    <row r="92">
      <c r="M92" s="333"/>
    </row>
    <row r="93">
      <c r="M93" s="333"/>
    </row>
    <row r="94">
      <c r="M94" s="333"/>
    </row>
    <row r="95">
      <c r="M95" s="333"/>
    </row>
    <row r="96">
      <c r="M96" s="333"/>
    </row>
    <row r="97">
      <c r="M97" s="333"/>
    </row>
    <row r="98">
      <c r="M98" s="333"/>
    </row>
    <row r="99">
      <c r="M99" s="333"/>
    </row>
    <row r="100">
      <c r="M100" s="333"/>
    </row>
    <row r="101">
      <c r="M101" s="333"/>
    </row>
    <row r="102">
      <c r="M102" s="333"/>
    </row>
    <row r="103">
      <c r="M103" s="333"/>
    </row>
    <row r="104">
      <c r="M104" s="333"/>
    </row>
    <row r="105">
      <c r="M105" s="333"/>
    </row>
    <row r="106">
      <c r="M106" s="333"/>
    </row>
    <row r="107">
      <c r="M107" s="333"/>
    </row>
    <row r="108">
      <c r="M108" s="333"/>
    </row>
    <row r="109">
      <c r="M109" s="333"/>
    </row>
    <row r="110">
      <c r="M110" s="333"/>
    </row>
    <row r="111">
      <c r="M111" s="333"/>
    </row>
    <row r="112">
      <c r="M112" s="333"/>
    </row>
    <row r="113">
      <c r="M113" s="333"/>
    </row>
    <row r="114">
      <c r="M114" s="333"/>
    </row>
    <row r="115">
      <c r="M115" s="333"/>
    </row>
    <row r="116">
      <c r="M116" s="333"/>
    </row>
    <row r="117">
      <c r="M117" s="333"/>
    </row>
    <row r="118">
      <c r="M118" s="333"/>
    </row>
    <row r="119">
      <c r="M119" s="333"/>
    </row>
    <row r="120">
      <c r="M120" s="333"/>
    </row>
    <row r="121">
      <c r="M121" s="333"/>
    </row>
    <row r="122">
      <c r="M122" s="333"/>
    </row>
    <row r="123">
      <c r="M123" s="333"/>
    </row>
    <row r="124">
      <c r="M124" s="333"/>
    </row>
    <row r="125">
      <c r="M125" s="333"/>
    </row>
    <row r="126">
      <c r="M126" s="333"/>
    </row>
    <row r="127">
      <c r="M127" s="333"/>
    </row>
    <row r="128">
      <c r="M128" s="333"/>
    </row>
    <row r="129">
      <c r="M129" s="333"/>
    </row>
    <row r="130">
      <c r="M130" s="333"/>
    </row>
    <row r="131">
      <c r="M131" s="333"/>
    </row>
    <row r="132">
      <c r="M132" s="333"/>
    </row>
    <row r="133">
      <c r="M133" s="333"/>
    </row>
    <row r="134">
      <c r="M134" s="333"/>
    </row>
    <row r="135">
      <c r="M135" s="333"/>
    </row>
    <row r="136">
      <c r="M136" s="333"/>
    </row>
    <row r="137">
      <c r="M137" s="333"/>
    </row>
    <row r="138">
      <c r="M138" s="333"/>
    </row>
    <row r="139">
      <c r="M139" s="333"/>
    </row>
    <row r="140">
      <c r="M140" s="333"/>
    </row>
    <row r="141">
      <c r="M141" s="333"/>
    </row>
    <row r="142">
      <c r="M142" s="333"/>
    </row>
    <row r="143">
      <c r="M143" s="333"/>
    </row>
    <row r="144">
      <c r="M144" s="333"/>
    </row>
    <row r="145">
      <c r="M145" s="333"/>
    </row>
    <row r="146">
      <c r="M146" s="333"/>
    </row>
    <row r="147">
      <c r="M147" s="333"/>
    </row>
    <row r="148">
      <c r="M148" s="333"/>
    </row>
    <row r="149">
      <c r="M149" s="333"/>
    </row>
    <row r="150">
      <c r="M150" s="333"/>
    </row>
    <row r="151">
      <c r="M151" s="333"/>
    </row>
    <row r="152">
      <c r="M152" s="333"/>
    </row>
    <row r="153">
      <c r="M153" s="333"/>
    </row>
    <row r="154">
      <c r="M154" s="333"/>
    </row>
    <row r="155">
      <c r="M155" s="333"/>
    </row>
    <row r="156">
      <c r="M156" s="333"/>
    </row>
    <row r="157">
      <c r="M157" s="333"/>
    </row>
    <row r="158">
      <c r="M158" s="333"/>
    </row>
    <row r="159">
      <c r="M159" s="333"/>
    </row>
    <row r="160">
      <c r="M160" s="333"/>
    </row>
    <row r="161">
      <c r="M161" s="333"/>
    </row>
    <row r="162">
      <c r="M162" s="333"/>
    </row>
    <row r="163">
      <c r="M163" s="333"/>
    </row>
    <row r="164">
      <c r="M164" s="333"/>
    </row>
    <row r="165">
      <c r="M165" s="333"/>
    </row>
    <row r="166">
      <c r="M166" s="333"/>
    </row>
    <row r="167">
      <c r="M167" s="333"/>
    </row>
    <row r="168">
      <c r="M168" s="333"/>
    </row>
    <row r="169">
      <c r="M169" s="333"/>
    </row>
    <row r="170">
      <c r="M170" s="333"/>
    </row>
    <row r="171">
      <c r="M171" s="333"/>
    </row>
    <row r="172">
      <c r="M172" s="333"/>
    </row>
    <row r="173">
      <c r="M173" s="333"/>
    </row>
    <row r="174">
      <c r="M174" s="333"/>
    </row>
    <row r="175">
      <c r="M175" s="333"/>
    </row>
    <row r="176">
      <c r="M176" s="333"/>
    </row>
    <row r="177">
      <c r="M177" s="333"/>
    </row>
    <row r="178">
      <c r="M178" s="333"/>
    </row>
    <row r="179">
      <c r="M179" s="333"/>
    </row>
    <row r="180">
      <c r="M180" s="333"/>
    </row>
    <row r="181">
      <c r="M181" s="333"/>
    </row>
    <row r="182">
      <c r="M182" s="333"/>
    </row>
    <row r="183">
      <c r="M183" s="333"/>
    </row>
    <row r="184">
      <c r="M184" s="333"/>
    </row>
    <row r="185">
      <c r="M185" s="333"/>
    </row>
    <row r="186">
      <c r="M186" s="333"/>
    </row>
    <row r="187">
      <c r="M187" s="333"/>
    </row>
    <row r="188">
      <c r="M188" s="333"/>
    </row>
    <row r="189">
      <c r="M189" s="333"/>
    </row>
    <row r="190">
      <c r="M190" s="333"/>
    </row>
    <row r="191">
      <c r="M191" s="333"/>
    </row>
    <row r="192">
      <c r="M192" s="333"/>
    </row>
    <row r="193">
      <c r="M193" s="333"/>
    </row>
    <row r="194">
      <c r="M194" s="333"/>
    </row>
    <row r="195">
      <c r="M195" s="333"/>
    </row>
    <row r="196">
      <c r="M196" s="333"/>
    </row>
    <row r="197">
      <c r="M197" s="333"/>
    </row>
    <row r="198">
      <c r="M198" s="333"/>
    </row>
    <row r="199">
      <c r="M199" s="333"/>
    </row>
    <row r="200">
      <c r="M200" s="333"/>
    </row>
    <row r="201">
      <c r="M201" s="333"/>
    </row>
    <row r="202">
      <c r="M202" s="333"/>
    </row>
    <row r="203">
      <c r="M203" s="333"/>
    </row>
    <row r="204">
      <c r="M204" s="333"/>
    </row>
    <row r="205">
      <c r="M205" s="333"/>
    </row>
    <row r="206">
      <c r="M206" s="333"/>
    </row>
    <row r="207">
      <c r="M207" s="333"/>
    </row>
    <row r="208">
      <c r="M208" s="333"/>
    </row>
    <row r="209">
      <c r="M209" s="333"/>
    </row>
    <row r="210">
      <c r="M210" s="333"/>
    </row>
    <row r="211">
      <c r="M211" s="333"/>
    </row>
    <row r="212">
      <c r="M212" s="333"/>
    </row>
    <row r="213">
      <c r="M213" s="333"/>
    </row>
    <row r="214">
      <c r="M214" s="333"/>
    </row>
    <row r="215">
      <c r="M215" s="333"/>
    </row>
    <row r="216">
      <c r="M216" s="333"/>
    </row>
    <row r="217">
      <c r="M217" s="333"/>
    </row>
    <row r="218">
      <c r="M218" s="333"/>
    </row>
    <row r="219">
      <c r="M219" s="333"/>
    </row>
    <row r="220">
      <c r="M220" s="333"/>
    </row>
    <row r="221">
      <c r="M221" s="333"/>
    </row>
    <row r="222">
      <c r="M222" s="333"/>
    </row>
    <row r="223">
      <c r="M223" s="333"/>
    </row>
    <row r="224">
      <c r="M224" s="333"/>
    </row>
    <row r="225">
      <c r="M225" s="333"/>
    </row>
    <row r="226">
      <c r="M226" s="333"/>
    </row>
    <row r="227">
      <c r="M227" s="333"/>
    </row>
    <row r="228">
      <c r="M228" s="333"/>
    </row>
    <row r="229">
      <c r="M229" s="333"/>
    </row>
    <row r="230">
      <c r="M230" s="333"/>
    </row>
    <row r="231">
      <c r="M231" s="333"/>
    </row>
    <row r="232">
      <c r="M232" s="333"/>
    </row>
    <row r="233">
      <c r="M233" s="333"/>
    </row>
    <row r="234">
      <c r="M234" s="333"/>
    </row>
    <row r="235">
      <c r="M235" s="333"/>
    </row>
    <row r="236">
      <c r="M236" s="333"/>
    </row>
    <row r="237">
      <c r="M237" s="333"/>
    </row>
    <row r="238">
      <c r="M238" s="333"/>
    </row>
    <row r="239">
      <c r="M239" s="333"/>
    </row>
    <row r="240">
      <c r="M240" s="333"/>
    </row>
    <row r="241">
      <c r="M241" s="333"/>
    </row>
    <row r="242">
      <c r="M242" s="333"/>
    </row>
    <row r="243">
      <c r="M243" s="333"/>
    </row>
    <row r="244">
      <c r="M244" s="333"/>
    </row>
    <row r="245">
      <c r="M245" s="333"/>
    </row>
    <row r="246">
      <c r="M246" s="333"/>
    </row>
    <row r="247">
      <c r="M247" s="333"/>
    </row>
    <row r="248">
      <c r="M248" s="333"/>
    </row>
    <row r="249">
      <c r="M249" s="333"/>
    </row>
    <row r="250">
      <c r="M250" s="333"/>
    </row>
    <row r="251">
      <c r="M251" s="333"/>
    </row>
    <row r="252">
      <c r="M252" s="333"/>
    </row>
    <row r="253">
      <c r="M253" s="333"/>
    </row>
    <row r="254">
      <c r="M254" s="333"/>
    </row>
    <row r="255">
      <c r="M255" s="333"/>
    </row>
    <row r="256">
      <c r="M256" s="333"/>
    </row>
    <row r="257">
      <c r="M257" s="333"/>
    </row>
    <row r="258">
      <c r="M258" s="333"/>
    </row>
    <row r="259">
      <c r="M259" s="333"/>
    </row>
    <row r="260">
      <c r="M260" s="333"/>
    </row>
    <row r="261">
      <c r="M261" s="333"/>
    </row>
    <row r="262">
      <c r="M262" s="333"/>
    </row>
    <row r="263">
      <c r="M263" s="333"/>
    </row>
    <row r="264">
      <c r="M264" s="333"/>
    </row>
    <row r="265">
      <c r="M265" s="333"/>
    </row>
    <row r="266">
      <c r="M266" s="333"/>
    </row>
    <row r="267">
      <c r="M267" s="333"/>
    </row>
    <row r="268">
      <c r="M268" s="333"/>
    </row>
    <row r="269">
      <c r="M269" s="333"/>
    </row>
    <row r="270">
      <c r="M270" s="333"/>
    </row>
    <row r="271">
      <c r="M271" s="333"/>
    </row>
    <row r="272">
      <c r="M272" s="333"/>
    </row>
    <row r="273">
      <c r="M273" s="333"/>
    </row>
    <row r="274">
      <c r="M274" s="333"/>
    </row>
    <row r="275">
      <c r="M275" s="333"/>
    </row>
    <row r="276">
      <c r="M276" s="333"/>
    </row>
    <row r="277">
      <c r="M277" s="333"/>
    </row>
    <row r="278">
      <c r="M278" s="333"/>
    </row>
    <row r="279">
      <c r="M279" s="333"/>
    </row>
    <row r="280">
      <c r="M280" s="333"/>
    </row>
    <row r="281">
      <c r="M281" s="333"/>
    </row>
    <row r="282">
      <c r="M282" s="333"/>
    </row>
    <row r="283">
      <c r="M283" s="333"/>
    </row>
    <row r="284">
      <c r="M284" s="333"/>
    </row>
    <row r="285">
      <c r="M285" s="333"/>
    </row>
    <row r="286">
      <c r="M286" s="333"/>
    </row>
    <row r="287">
      <c r="M287" s="333"/>
    </row>
    <row r="288">
      <c r="M288" s="333"/>
    </row>
    <row r="289">
      <c r="M289" s="333"/>
    </row>
    <row r="290">
      <c r="M290" s="333"/>
    </row>
    <row r="291">
      <c r="M291" s="333"/>
    </row>
    <row r="292">
      <c r="M292" s="333"/>
    </row>
    <row r="293">
      <c r="M293" s="333"/>
    </row>
    <row r="294">
      <c r="M294" s="333"/>
    </row>
    <row r="295">
      <c r="M295" s="333"/>
    </row>
    <row r="296">
      <c r="M296" s="333"/>
    </row>
    <row r="297">
      <c r="M297" s="333"/>
    </row>
    <row r="298">
      <c r="M298" s="333"/>
    </row>
    <row r="299">
      <c r="M299" s="333"/>
    </row>
    <row r="300">
      <c r="M300" s="333"/>
    </row>
    <row r="301">
      <c r="M301" s="333"/>
    </row>
    <row r="302">
      <c r="M302" s="333"/>
    </row>
    <row r="303">
      <c r="M303" s="333"/>
    </row>
    <row r="304">
      <c r="M304" s="333"/>
    </row>
    <row r="305">
      <c r="M305" s="333"/>
    </row>
    <row r="306">
      <c r="M306" s="333"/>
    </row>
    <row r="307">
      <c r="M307" s="333"/>
    </row>
    <row r="308">
      <c r="M308" s="333"/>
    </row>
    <row r="309">
      <c r="M309" s="333"/>
    </row>
    <row r="310">
      <c r="M310" s="333"/>
    </row>
    <row r="311">
      <c r="M311" s="333"/>
    </row>
    <row r="312">
      <c r="M312" s="333"/>
    </row>
    <row r="313">
      <c r="M313" s="333"/>
    </row>
    <row r="314">
      <c r="M314" s="333"/>
    </row>
    <row r="315">
      <c r="M315" s="333"/>
    </row>
    <row r="316">
      <c r="M316" s="333"/>
    </row>
    <row r="317">
      <c r="M317" s="333"/>
    </row>
    <row r="318">
      <c r="M318" s="333"/>
    </row>
    <row r="319">
      <c r="M319" s="333"/>
    </row>
    <row r="320">
      <c r="M320" s="333"/>
    </row>
    <row r="321">
      <c r="M321" s="333"/>
    </row>
    <row r="322">
      <c r="M322" s="333"/>
    </row>
    <row r="323">
      <c r="M323" s="333"/>
    </row>
    <row r="324">
      <c r="M324" s="333"/>
    </row>
    <row r="325">
      <c r="M325" s="333"/>
    </row>
    <row r="326">
      <c r="M326" s="333"/>
    </row>
    <row r="327">
      <c r="M327" s="333"/>
    </row>
    <row r="328">
      <c r="M328" s="333"/>
    </row>
    <row r="329">
      <c r="M329" s="333"/>
    </row>
    <row r="330">
      <c r="M330" s="333"/>
    </row>
    <row r="331">
      <c r="M331" s="333"/>
    </row>
    <row r="332">
      <c r="M332" s="333"/>
    </row>
    <row r="333">
      <c r="M333" s="333"/>
    </row>
    <row r="334">
      <c r="M334" s="333"/>
    </row>
    <row r="335">
      <c r="M335" s="333"/>
    </row>
    <row r="336">
      <c r="M336" s="333"/>
    </row>
    <row r="337">
      <c r="M337" s="333"/>
    </row>
    <row r="338">
      <c r="M338" s="333"/>
    </row>
    <row r="339">
      <c r="M339" s="333"/>
    </row>
    <row r="340">
      <c r="M340" s="333"/>
    </row>
    <row r="341">
      <c r="M341" s="333"/>
    </row>
    <row r="342">
      <c r="M342" s="333"/>
    </row>
    <row r="343">
      <c r="M343" s="333"/>
    </row>
    <row r="344">
      <c r="M344" s="333"/>
    </row>
    <row r="345">
      <c r="M345" s="333"/>
    </row>
    <row r="346">
      <c r="M346" s="333"/>
    </row>
    <row r="347">
      <c r="M347" s="333"/>
    </row>
    <row r="348">
      <c r="M348" s="333"/>
    </row>
    <row r="349">
      <c r="M349" s="333"/>
    </row>
    <row r="350">
      <c r="M350" s="333"/>
    </row>
    <row r="351">
      <c r="M351" s="333"/>
    </row>
    <row r="352">
      <c r="M352" s="333"/>
    </row>
    <row r="353">
      <c r="M353" s="333"/>
    </row>
    <row r="354">
      <c r="M354" s="333"/>
    </row>
    <row r="355">
      <c r="M355" s="333"/>
    </row>
    <row r="356">
      <c r="M356" s="333"/>
    </row>
    <row r="357">
      <c r="M357" s="333"/>
    </row>
    <row r="358">
      <c r="M358" s="333"/>
    </row>
    <row r="359">
      <c r="M359" s="333"/>
    </row>
    <row r="360">
      <c r="M360" s="333"/>
    </row>
    <row r="361">
      <c r="M361" s="333"/>
    </row>
    <row r="362">
      <c r="M362" s="333"/>
    </row>
    <row r="363">
      <c r="M363" s="333"/>
    </row>
    <row r="364">
      <c r="M364" s="333"/>
    </row>
    <row r="365">
      <c r="M365" s="333"/>
    </row>
    <row r="366">
      <c r="M366" s="333"/>
    </row>
    <row r="367">
      <c r="M367" s="333"/>
    </row>
    <row r="368">
      <c r="M368" s="333"/>
    </row>
    <row r="369">
      <c r="M369" s="333"/>
    </row>
    <row r="370">
      <c r="M370" s="333"/>
    </row>
    <row r="371">
      <c r="M371" s="333"/>
    </row>
    <row r="372">
      <c r="M372" s="333"/>
    </row>
    <row r="373">
      <c r="M373" s="333"/>
    </row>
    <row r="374">
      <c r="M374" s="333"/>
    </row>
    <row r="375">
      <c r="M375" s="333"/>
    </row>
    <row r="376">
      <c r="M376" s="333"/>
    </row>
    <row r="377">
      <c r="M377" s="333"/>
    </row>
    <row r="378">
      <c r="M378" s="333"/>
    </row>
    <row r="379">
      <c r="M379" s="333"/>
    </row>
    <row r="380">
      <c r="M380" s="333"/>
    </row>
    <row r="381">
      <c r="M381" s="333"/>
    </row>
    <row r="382">
      <c r="M382" s="333"/>
    </row>
    <row r="383">
      <c r="M383" s="333"/>
    </row>
    <row r="384">
      <c r="M384" s="333"/>
    </row>
    <row r="385">
      <c r="M385" s="333"/>
    </row>
    <row r="386">
      <c r="M386" s="333"/>
    </row>
    <row r="387">
      <c r="M387" s="333"/>
    </row>
    <row r="388">
      <c r="M388" s="333"/>
    </row>
    <row r="389">
      <c r="M389" s="333"/>
    </row>
    <row r="390">
      <c r="M390" s="333"/>
    </row>
    <row r="391">
      <c r="M391" s="333"/>
    </row>
    <row r="392">
      <c r="M392" s="333"/>
    </row>
    <row r="393">
      <c r="M393" s="333"/>
    </row>
    <row r="394">
      <c r="M394" s="333"/>
    </row>
    <row r="395">
      <c r="M395" s="333"/>
    </row>
    <row r="396">
      <c r="M396" s="333"/>
    </row>
    <row r="397">
      <c r="M397" s="333"/>
    </row>
    <row r="398">
      <c r="M398" s="333"/>
    </row>
    <row r="399">
      <c r="M399" s="333"/>
    </row>
    <row r="400">
      <c r="M400" s="333"/>
    </row>
    <row r="401">
      <c r="M401" s="333"/>
    </row>
    <row r="402">
      <c r="M402" s="333"/>
    </row>
    <row r="403">
      <c r="M403" s="333"/>
    </row>
    <row r="404">
      <c r="M404" s="333"/>
    </row>
    <row r="405">
      <c r="M405" s="333"/>
    </row>
    <row r="406">
      <c r="M406" s="333"/>
    </row>
    <row r="407">
      <c r="M407" s="333"/>
    </row>
    <row r="408">
      <c r="M408" s="333"/>
    </row>
    <row r="409">
      <c r="M409" s="333"/>
    </row>
    <row r="410">
      <c r="M410" s="333"/>
    </row>
    <row r="411">
      <c r="M411" s="333"/>
    </row>
    <row r="412">
      <c r="M412" s="333"/>
    </row>
    <row r="413">
      <c r="M413" s="333"/>
    </row>
    <row r="414">
      <c r="M414" s="333"/>
    </row>
    <row r="415">
      <c r="M415" s="333"/>
    </row>
    <row r="416">
      <c r="M416" s="333"/>
    </row>
    <row r="417">
      <c r="M417" s="333"/>
    </row>
    <row r="418">
      <c r="M418" s="333"/>
    </row>
    <row r="419">
      <c r="M419" s="333"/>
    </row>
    <row r="420">
      <c r="M420" s="333"/>
    </row>
    <row r="421">
      <c r="M421" s="333"/>
    </row>
    <row r="422">
      <c r="M422" s="333"/>
    </row>
    <row r="423">
      <c r="M423" s="333"/>
    </row>
    <row r="424">
      <c r="M424" s="333"/>
    </row>
    <row r="425">
      <c r="M425" s="333"/>
    </row>
    <row r="426">
      <c r="M426" s="333"/>
    </row>
    <row r="427">
      <c r="M427" s="333"/>
    </row>
    <row r="428">
      <c r="M428" s="333"/>
    </row>
    <row r="429">
      <c r="M429" s="333"/>
    </row>
    <row r="430">
      <c r="M430" s="333"/>
    </row>
    <row r="431">
      <c r="M431" s="333"/>
    </row>
    <row r="432">
      <c r="M432" s="333"/>
    </row>
    <row r="433">
      <c r="M433" s="333"/>
    </row>
    <row r="434">
      <c r="M434" s="333"/>
    </row>
    <row r="435">
      <c r="M435" s="333"/>
    </row>
    <row r="436">
      <c r="M436" s="333"/>
    </row>
    <row r="437">
      <c r="M437" s="333"/>
    </row>
    <row r="438">
      <c r="M438" s="333"/>
    </row>
    <row r="439">
      <c r="M439" s="333"/>
    </row>
    <row r="440">
      <c r="M440" s="333"/>
    </row>
    <row r="441">
      <c r="M441" s="333"/>
    </row>
    <row r="442">
      <c r="M442" s="333"/>
    </row>
    <row r="443">
      <c r="M443" s="333"/>
    </row>
    <row r="444">
      <c r="M444" s="333"/>
    </row>
    <row r="445">
      <c r="M445" s="333"/>
    </row>
    <row r="446">
      <c r="M446" s="333"/>
    </row>
    <row r="447">
      <c r="M447" s="333"/>
    </row>
    <row r="448">
      <c r="M448" s="333"/>
    </row>
    <row r="449">
      <c r="M449" s="333"/>
    </row>
    <row r="450">
      <c r="M450" s="333"/>
    </row>
    <row r="451">
      <c r="M451" s="333"/>
    </row>
    <row r="452">
      <c r="M452" s="333"/>
    </row>
    <row r="453">
      <c r="M453" s="333"/>
    </row>
    <row r="454">
      <c r="M454" s="333"/>
    </row>
    <row r="455">
      <c r="M455" s="333"/>
    </row>
    <row r="456">
      <c r="M456" s="333"/>
    </row>
    <row r="457">
      <c r="M457" s="333"/>
    </row>
    <row r="458">
      <c r="M458" s="333"/>
    </row>
    <row r="459">
      <c r="M459" s="333"/>
    </row>
    <row r="460">
      <c r="M460" s="333"/>
    </row>
    <row r="461">
      <c r="M461" s="333"/>
    </row>
    <row r="462">
      <c r="M462" s="333"/>
    </row>
    <row r="463">
      <c r="M463" s="333"/>
    </row>
    <row r="464">
      <c r="M464" s="333"/>
    </row>
    <row r="465">
      <c r="M465" s="333"/>
    </row>
    <row r="466">
      <c r="M466" s="333"/>
    </row>
    <row r="467">
      <c r="M467" s="333"/>
    </row>
    <row r="468">
      <c r="M468" s="333"/>
    </row>
    <row r="469">
      <c r="M469" s="333"/>
    </row>
    <row r="470">
      <c r="M470" s="333"/>
    </row>
    <row r="471">
      <c r="M471" s="333"/>
    </row>
    <row r="472">
      <c r="M472" s="333"/>
    </row>
    <row r="473">
      <c r="M473" s="333"/>
    </row>
    <row r="474">
      <c r="M474" s="333"/>
    </row>
    <row r="475">
      <c r="M475" s="333"/>
    </row>
    <row r="476">
      <c r="M476" s="333"/>
    </row>
    <row r="477">
      <c r="M477" s="333"/>
    </row>
    <row r="478">
      <c r="M478" s="333"/>
    </row>
    <row r="479">
      <c r="M479" s="333"/>
    </row>
    <row r="480">
      <c r="M480" s="333"/>
    </row>
    <row r="481">
      <c r="M481" s="333"/>
    </row>
    <row r="482">
      <c r="M482" s="333"/>
    </row>
    <row r="483">
      <c r="M483" s="333"/>
    </row>
    <row r="484">
      <c r="M484" s="333"/>
    </row>
    <row r="485">
      <c r="M485" s="333"/>
    </row>
    <row r="486">
      <c r="M486" s="333"/>
    </row>
    <row r="487">
      <c r="M487" s="333"/>
    </row>
    <row r="488">
      <c r="M488" s="333"/>
    </row>
    <row r="489">
      <c r="M489" s="333"/>
    </row>
    <row r="490">
      <c r="M490" s="333"/>
    </row>
    <row r="491">
      <c r="M491" s="333"/>
    </row>
    <row r="492">
      <c r="M492" s="333"/>
    </row>
    <row r="493">
      <c r="M493" s="333"/>
    </row>
    <row r="494">
      <c r="M494" s="333"/>
    </row>
    <row r="495">
      <c r="M495" s="333"/>
    </row>
    <row r="496">
      <c r="M496" s="333"/>
    </row>
    <row r="497">
      <c r="M497" s="333"/>
    </row>
    <row r="498">
      <c r="M498" s="333"/>
    </row>
    <row r="499">
      <c r="M499" s="333"/>
    </row>
    <row r="500">
      <c r="M500" s="333"/>
    </row>
    <row r="501">
      <c r="M501" s="333"/>
    </row>
    <row r="502">
      <c r="M502" s="333"/>
    </row>
    <row r="503">
      <c r="M503" s="333"/>
    </row>
    <row r="504">
      <c r="M504" s="333"/>
    </row>
    <row r="505">
      <c r="M505" s="333"/>
    </row>
    <row r="506">
      <c r="M506" s="333"/>
    </row>
    <row r="507">
      <c r="M507" s="333"/>
    </row>
    <row r="508">
      <c r="M508" s="333"/>
    </row>
    <row r="509">
      <c r="M509" s="333"/>
    </row>
    <row r="510">
      <c r="M510" s="333"/>
    </row>
    <row r="511">
      <c r="M511" s="333"/>
    </row>
    <row r="512">
      <c r="M512" s="333"/>
    </row>
    <row r="513">
      <c r="M513" s="333"/>
    </row>
    <row r="514">
      <c r="M514" s="333"/>
    </row>
    <row r="515">
      <c r="M515" s="333"/>
    </row>
    <row r="516">
      <c r="M516" s="333"/>
    </row>
    <row r="517">
      <c r="M517" s="333"/>
    </row>
    <row r="518">
      <c r="M518" s="333"/>
    </row>
    <row r="519">
      <c r="M519" s="333"/>
    </row>
    <row r="520">
      <c r="M520" s="333"/>
    </row>
    <row r="521">
      <c r="M521" s="333"/>
    </row>
    <row r="522">
      <c r="M522" s="333"/>
    </row>
    <row r="523">
      <c r="M523" s="333"/>
    </row>
    <row r="524">
      <c r="M524" s="333"/>
    </row>
    <row r="525">
      <c r="M525" s="333"/>
    </row>
    <row r="526">
      <c r="M526" s="333"/>
    </row>
    <row r="527">
      <c r="M527" s="333"/>
    </row>
    <row r="528">
      <c r="M528" s="333"/>
    </row>
    <row r="529">
      <c r="M529" s="333"/>
    </row>
    <row r="530">
      <c r="M530" s="333"/>
    </row>
    <row r="531">
      <c r="M531" s="333"/>
    </row>
    <row r="532">
      <c r="M532" s="333"/>
    </row>
    <row r="533">
      <c r="M533" s="333"/>
    </row>
    <row r="534">
      <c r="M534" s="333"/>
    </row>
    <row r="535">
      <c r="M535" s="333"/>
    </row>
    <row r="536">
      <c r="M536" s="333"/>
    </row>
    <row r="537">
      <c r="M537" s="333"/>
    </row>
    <row r="538">
      <c r="M538" s="333"/>
    </row>
    <row r="539">
      <c r="M539" s="333"/>
    </row>
    <row r="540">
      <c r="M540" s="333"/>
    </row>
    <row r="541">
      <c r="M541" s="333"/>
    </row>
    <row r="542">
      <c r="M542" s="333"/>
    </row>
    <row r="543">
      <c r="M543" s="333"/>
    </row>
    <row r="544">
      <c r="M544" s="333"/>
    </row>
    <row r="545">
      <c r="M545" s="333"/>
    </row>
    <row r="546">
      <c r="M546" s="333"/>
    </row>
    <row r="547">
      <c r="M547" s="333"/>
    </row>
    <row r="548">
      <c r="M548" s="333"/>
    </row>
    <row r="549">
      <c r="M549" s="333"/>
    </row>
    <row r="550">
      <c r="M550" s="333"/>
    </row>
    <row r="551">
      <c r="M551" s="333"/>
    </row>
    <row r="552">
      <c r="M552" s="333"/>
    </row>
    <row r="553">
      <c r="M553" s="333"/>
    </row>
    <row r="554">
      <c r="M554" s="333"/>
    </row>
    <row r="555">
      <c r="M555" s="333"/>
    </row>
    <row r="556">
      <c r="M556" s="333"/>
    </row>
    <row r="557">
      <c r="M557" s="333"/>
    </row>
    <row r="558">
      <c r="M558" s="333"/>
    </row>
    <row r="559">
      <c r="M559" s="333"/>
    </row>
    <row r="560">
      <c r="M560" s="333"/>
    </row>
    <row r="561">
      <c r="M561" s="333"/>
    </row>
    <row r="562">
      <c r="M562" s="333"/>
    </row>
    <row r="563">
      <c r="M563" s="333"/>
    </row>
    <row r="564">
      <c r="M564" s="333"/>
    </row>
    <row r="565">
      <c r="M565" s="333"/>
    </row>
    <row r="566">
      <c r="M566" s="333"/>
    </row>
    <row r="567">
      <c r="M567" s="333"/>
    </row>
    <row r="568">
      <c r="M568" s="333"/>
    </row>
    <row r="569">
      <c r="M569" s="333"/>
    </row>
    <row r="570">
      <c r="M570" s="333"/>
    </row>
    <row r="571">
      <c r="M571" s="333"/>
    </row>
    <row r="572">
      <c r="M572" s="333"/>
    </row>
    <row r="573">
      <c r="M573" s="333"/>
    </row>
    <row r="574">
      <c r="M574" s="333"/>
    </row>
    <row r="575">
      <c r="M575" s="333"/>
    </row>
    <row r="576">
      <c r="M576" s="333"/>
    </row>
    <row r="577">
      <c r="M577" s="333"/>
    </row>
    <row r="578">
      <c r="M578" s="333"/>
    </row>
    <row r="579">
      <c r="M579" s="333"/>
    </row>
    <row r="580">
      <c r="M580" s="333"/>
    </row>
    <row r="581">
      <c r="M581" s="333"/>
    </row>
    <row r="582">
      <c r="M582" s="333"/>
    </row>
    <row r="583">
      <c r="M583" s="333"/>
    </row>
    <row r="584">
      <c r="M584" s="333"/>
    </row>
    <row r="585">
      <c r="M585" s="333"/>
    </row>
    <row r="586">
      <c r="M586" s="333"/>
    </row>
    <row r="587">
      <c r="M587" s="333"/>
    </row>
    <row r="588">
      <c r="M588" s="333"/>
    </row>
    <row r="589">
      <c r="M589" s="333"/>
    </row>
    <row r="590">
      <c r="M590" s="333"/>
    </row>
    <row r="591">
      <c r="M591" s="333"/>
    </row>
    <row r="592">
      <c r="M592" s="333"/>
    </row>
    <row r="593">
      <c r="M593" s="333"/>
    </row>
    <row r="594">
      <c r="M594" s="333"/>
    </row>
    <row r="595">
      <c r="M595" s="333"/>
    </row>
    <row r="596">
      <c r="M596" s="333"/>
    </row>
    <row r="597">
      <c r="M597" s="333"/>
    </row>
    <row r="598">
      <c r="M598" s="333"/>
    </row>
    <row r="599">
      <c r="M599" s="333"/>
    </row>
    <row r="600">
      <c r="M600" s="333"/>
    </row>
    <row r="601">
      <c r="M601" s="333"/>
    </row>
    <row r="602">
      <c r="M602" s="333"/>
    </row>
    <row r="603">
      <c r="M603" s="333"/>
    </row>
    <row r="604">
      <c r="M604" s="333"/>
    </row>
    <row r="605">
      <c r="M605" s="333"/>
    </row>
    <row r="606">
      <c r="M606" s="333"/>
    </row>
    <row r="607">
      <c r="M607" s="333"/>
    </row>
    <row r="608">
      <c r="M608" s="333"/>
    </row>
    <row r="609">
      <c r="M609" s="333"/>
    </row>
    <row r="610">
      <c r="M610" s="333"/>
    </row>
    <row r="611">
      <c r="M611" s="333"/>
    </row>
    <row r="612">
      <c r="M612" s="333"/>
    </row>
    <row r="613">
      <c r="M613" s="333"/>
    </row>
    <row r="614">
      <c r="M614" s="333"/>
    </row>
    <row r="615">
      <c r="M615" s="333"/>
    </row>
    <row r="616">
      <c r="M616" s="333"/>
    </row>
    <row r="617">
      <c r="M617" s="333"/>
    </row>
    <row r="618">
      <c r="M618" s="333"/>
    </row>
    <row r="619">
      <c r="M619" s="333"/>
    </row>
    <row r="620">
      <c r="M620" s="333"/>
    </row>
    <row r="621">
      <c r="M621" s="333"/>
    </row>
    <row r="622">
      <c r="M622" s="333"/>
    </row>
    <row r="623">
      <c r="M623" s="333"/>
    </row>
    <row r="624">
      <c r="M624" s="333"/>
    </row>
    <row r="625">
      <c r="M625" s="333"/>
    </row>
    <row r="626">
      <c r="M626" s="333"/>
    </row>
    <row r="627">
      <c r="M627" s="333"/>
    </row>
    <row r="628">
      <c r="M628" s="333"/>
    </row>
    <row r="629">
      <c r="M629" s="333"/>
    </row>
    <row r="630">
      <c r="M630" s="333"/>
    </row>
    <row r="631">
      <c r="M631" s="333"/>
    </row>
    <row r="632">
      <c r="M632" s="333"/>
    </row>
    <row r="633">
      <c r="M633" s="333"/>
    </row>
    <row r="634">
      <c r="M634" s="333"/>
    </row>
    <row r="635">
      <c r="M635" s="333"/>
    </row>
    <row r="636">
      <c r="M636" s="333"/>
    </row>
    <row r="637">
      <c r="M637" s="333"/>
    </row>
    <row r="638">
      <c r="M638" s="333"/>
    </row>
    <row r="639">
      <c r="M639" s="333"/>
    </row>
    <row r="640">
      <c r="M640" s="333"/>
    </row>
    <row r="641">
      <c r="M641" s="333"/>
    </row>
    <row r="642">
      <c r="M642" s="333"/>
    </row>
    <row r="643">
      <c r="M643" s="333"/>
    </row>
    <row r="644">
      <c r="M644" s="333"/>
    </row>
    <row r="645">
      <c r="M645" s="333"/>
    </row>
    <row r="646">
      <c r="M646" s="333"/>
    </row>
    <row r="647">
      <c r="M647" s="333"/>
    </row>
    <row r="648">
      <c r="M648" s="333"/>
    </row>
    <row r="649">
      <c r="M649" s="333"/>
    </row>
    <row r="650">
      <c r="M650" s="333"/>
    </row>
    <row r="651">
      <c r="M651" s="333"/>
    </row>
    <row r="652">
      <c r="M652" s="333"/>
    </row>
    <row r="653">
      <c r="M653" s="333"/>
    </row>
    <row r="654">
      <c r="M654" s="333"/>
    </row>
    <row r="655">
      <c r="M655" s="333"/>
    </row>
    <row r="656">
      <c r="M656" s="333"/>
    </row>
    <row r="657">
      <c r="M657" s="333"/>
    </row>
    <row r="658">
      <c r="M658" s="333"/>
    </row>
    <row r="659">
      <c r="M659" s="333"/>
    </row>
    <row r="660">
      <c r="M660" s="333"/>
    </row>
    <row r="661">
      <c r="M661" s="333"/>
    </row>
    <row r="662">
      <c r="M662" s="333"/>
    </row>
    <row r="663">
      <c r="M663" s="333"/>
    </row>
    <row r="664">
      <c r="M664" s="333"/>
    </row>
    <row r="665">
      <c r="M665" s="333"/>
    </row>
    <row r="666">
      <c r="M666" s="333"/>
    </row>
    <row r="667">
      <c r="M667" s="333"/>
    </row>
    <row r="668">
      <c r="M668" s="333"/>
    </row>
    <row r="669">
      <c r="M669" s="333"/>
    </row>
    <row r="670">
      <c r="M670" s="333"/>
    </row>
    <row r="671">
      <c r="M671" s="333"/>
    </row>
    <row r="672">
      <c r="M672" s="333"/>
    </row>
    <row r="673">
      <c r="M673" s="333"/>
    </row>
    <row r="674">
      <c r="M674" s="333"/>
    </row>
    <row r="675">
      <c r="M675" s="333"/>
    </row>
    <row r="676">
      <c r="M676" s="333"/>
    </row>
    <row r="677">
      <c r="M677" s="333"/>
    </row>
    <row r="678">
      <c r="M678" s="333"/>
    </row>
    <row r="679">
      <c r="M679" s="333"/>
    </row>
    <row r="680">
      <c r="M680" s="333"/>
    </row>
    <row r="681">
      <c r="M681" s="333"/>
    </row>
    <row r="682">
      <c r="M682" s="333"/>
    </row>
    <row r="683">
      <c r="M683" s="333"/>
    </row>
    <row r="684">
      <c r="M684" s="333"/>
    </row>
    <row r="685">
      <c r="M685" s="333"/>
    </row>
    <row r="686">
      <c r="M686" s="333"/>
    </row>
    <row r="687">
      <c r="M687" s="333"/>
    </row>
    <row r="688">
      <c r="M688" s="333"/>
    </row>
    <row r="689">
      <c r="M689" s="333"/>
    </row>
    <row r="690">
      <c r="M690" s="333"/>
    </row>
    <row r="691">
      <c r="M691" s="333"/>
    </row>
    <row r="692">
      <c r="M692" s="333"/>
    </row>
    <row r="693">
      <c r="M693" s="333"/>
    </row>
    <row r="694">
      <c r="M694" s="333"/>
    </row>
    <row r="695">
      <c r="M695" s="333"/>
    </row>
    <row r="696">
      <c r="M696" s="333"/>
    </row>
    <row r="697">
      <c r="M697" s="333"/>
    </row>
    <row r="698">
      <c r="M698" s="333"/>
    </row>
    <row r="699">
      <c r="M699" s="333"/>
    </row>
    <row r="700">
      <c r="M700" s="333"/>
    </row>
    <row r="701">
      <c r="M701" s="333"/>
    </row>
    <row r="702">
      <c r="M702" s="333"/>
    </row>
    <row r="703">
      <c r="M703" s="333"/>
    </row>
    <row r="704">
      <c r="M704" s="333"/>
    </row>
    <row r="705">
      <c r="M705" s="333"/>
    </row>
    <row r="706">
      <c r="M706" s="333"/>
    </row>
    <row r="707">
      <c r="M707" s="333"/>
    </row>
    <row r="708">
      <c r="M708" s="333"/>
    </row>
    <row r="709">
      <c r="M709" s="333"/>
    </row>
    <row r="710">
      <c r="M710" s="333"/>
    </row>
    <row r="711">
      <c r="M711" s="333"/>
    </row>
    <row r="712">
      <c r="M712" s="333"/>
    </row>
    <row r="713">
      <c r="M713" s="333"/>
    </row>
    <row r="714">
      <c r="M714" s="333"/>
    </row>
    <row r="715">
      <c r="M715" s="333"/>
    </row>
    <row r="716">
      <c r="M716" s="333"/>
    </row>
    <row r="717">
      <c r="M717" s="333"/>
    </row>
    <row r="718">
      <c r="M718" s="333"/>
    </row>
    <row r="719">
      <c r="M719" s="333"/>
    </row>
    <row r="720">
      <c r="M720" s="333"/>
    </row>
    <row r="721">
      <c r="M721" s="333"/>
    </row>
    <row r="722">
      <c r="M722" s="333"/>
    </row>
    <row r="723">
      <c r="M723" s="333"/>
    </row>
    <row r="724">
      <c r="M724" s="333"/>
    </row>
    <row r="725">
      <c r="M725" s="333"/>
    </row>
    <row r="726">
      <c r="M726" s="333"/>
    </row>
    <row r="727">
      <c r="M727" s="333"/>
    </row>
    <row r="728">
      <c r="M728" s="333"/>
    </row>
    <row r="729">
      <c r="M729" s="333"/>
    </row>
    <row r="730">
      <c r="M730" s="333"/>
    </row>
    <row r="731">
      <c r="M731" s="333"/>
    </row>
    <row r="732">
      <c r="M732" s="333"/>
    </row>
    <row r="733">
      <c r="M733" s="333"/>
    </row>
    <row r="734">
      <c r="M734" s="333"/>
    </row>
    <row r="735">
      <c r="M735" s="333"/>
    </row>
    <row r="736">
      <c r="M736" s="333"/>
    </row>
    <row r="737">
      <c r="M737" s="333"/>
    </row>
    <row r="738">
      <c r="M738" s="333"/>
    </row>
    <row r="739">
      <c r="M739" s="333"/>
    </row>
    <row r="740">
      <c r="M740" s="333"/>
    </row>
    <row r="741">
      <c r="M741" s="333"/>
    </row>
    <row r="742">
      <c r="M742" s="333"/>
    </row>
    <row r="743">
      <c r="M743" s="333"/>
    </row>
    <row r="744">
      <c r="M744" s="333"/>
    </row>
    <row r="745">
      <c r="M745" s="333"/>
    </row>
    <row r="746">
      <c r="M746" s="333"/>
    </row>
    <row r="747">
      <c r="M747" s="333"/>
    </row>
    <row r="748">
      <c r="M748" s="333"/>
    </row>
    <row r="749">
      <c r="M749" s="333"/>
    </row>
    <row r="750">
      <c r="M750" s="333"/>
    </row>
    <row r="751">
      <c r="M751" s="333"/>
    </row>
    <row r="752">
      <c r="M752" s="333"/>
    </row>
    <row r="753">
      <c r="M753" s="333"/>
    </row>
    <row r="754">
      <c r="M754" s="333"/>
    </row>
    <row r="755">
      <c r="M755" s="333"/>
    </row>
    <row r="756">
      <c r="M756" s="333"/>
    </row>
    <row r="757">
      <c r="M757" s="333"/>
    </row>
    <row r="758">
      <c r="M758" s="333"/>
    </row>
    <row r="759">
      <c r="M759" s="333"/>
    </row>
    <row r="760">
      <c r="M760" s="333"/>
    </row>
    <row r="761">
      <c r="M761" s="333"/>
    </row>
    <row r="762">
      <c r="M762" s="333"/>
    </row>
    <row r="763">
      <c r="M763" s="333"/>
    </row>
    <row r="764">
      <c r="M764" s="333"/>
    </row>
    <row r="765">
      <c r="M765" s="333"/>
    </row>
    <row r="766">
      <c r="M766" s="333"/>
    </row>
    <row r="767">
      <c r="M767" s="333"/>
    </row>
    <row r="768">
      <c r="M768" s="333"/>
    </row>
    <row r="769">
      <c r="M769" s="333"/>
    </row>
    <row r="770">
      <c r="M770" s="333"/>
    </row>
    <row r="771">
      <c r="M771" s="333"/>
    </row>
    <row r="772">
      <c r="M772" s="333"/>
    </row>
    <row r="773">
      <c r="M773" s="333"/>
    </row>
    <row r="774">
      <c r="M774" s="333"/>
    </row>
    <row r="775">
      <c r="M775" s="333"/>
    </row>
    <row r="776">
      <c r="M776" s="333"/>
    </row>
    <row r="777">
      <c r="M777" s="333"/>
    </row>
    <row r="778">
      <c r="M778" s="333"/>
    </row>
    <row r="779">
      <c r="M779" s="333"/>
    </row>
    <row r="780">
      <c r="M780" s="333"/>
    </row>
    <row r="781">
      <c r="M781" s="333"/>
    </row>
    <row r="782">
      <c r="M782" s="333"/>
    </row>
    <row r="783">
      <c r="M783" s="333"/>
    </row>
    <row r="784">
      <c r="M784" s="333"/>
    </row>
    <row r="785">
      <c r="M785" s="333"/>
    </row>
    <row r="786">
      <c r="M786" s="333"/>
    </row>
    <row r="787">
      <c r="M787" s="333"/>
    </row>
    <row r="788">
      <c r="M788" s="333"/>
    </row>
    <row r="789">
      <c r="M789" s="333"/>
    </row>
    <row r="790">
      <c r="M790" s="333"/>
    </row>
    <row r="791">
      <c r="M791" s="333"/>
    </row>
    <row r="792">
      <c r="M792" s="333"/>
    </row>
    <row r="793">
      <c r="M793" s="333"/>
    </row>
    <row r="794">
      <c r="M794" s="333"/>
    </row>
    <row r="795">
      <c r="M795" s="333"/>
    </row>
    <row r="796">
      <c r="M796" s="333"/>
    </row>
    <row r="797">
      <c r="M797" s="333"/>
    </row>
    <row r="798">
      <c r="M798" s="333"/>
    </row>
    <row r="799">
      <c r="M799" s="333"/>
    </row>
    <row r="800">
      <c r="M800" s="333"/>
    </row>
    <row r="801">
      <c r="M801" s="333"/>
    </row>
    <row r="802">
      <c r="M802" s="333"/>
    </row>
    <row r="803">
      <c r="M803" s="333"/>
    </row>
    <row r="804">
      <c r="M804" s="333"/>
    </row>
    <row r="805">
      <c r="M805" s="333"/>
    </row>
    <row r="806">
      <c r="M806" s="333"/>
    </row>
    <row r="807">
      <c r="M807" s="333"/>
    </row>
    <row r="808">
      <c r="M808" s="333"/>
    </row>
    <row r="809">
      <c r="M809" s="333"/>
    </row>
    <row r="810">
      <c r="M810" s="333"/>
    </row>
    <row r="811">
      <c r="M811" s="333"/>
    </row>
    <row r="812">
      <c r="M812" s="333"/>
    </row>
    <row r="813">
      <c r="M813" s="333"/>
    </row>
    <row r="814">
      <c r="M814" s="333"/>
    </row>
    <row r="815">
      <c r="M815" s="333"/>
    </row>
    <row r="816">
      <c r="M816" s="333"/>
    </row>
    <row r="817">
      <c r="M817" s="333"/>
    </row>
    <row r="818">
      <c r="M818" s="333"/>
    </row>
    <row r="819">
      <c r="M819" s="333"/>
    </row>
    <row r="820">
      <c r="M820" s="333"/>
    </row>
    <row r="821">
      <c r="M821" s="333"/>
    </row>
    <row r="822">
      <c r="M822" s="333"/>
    </row>
    <row r="823">
      <c r="M823" s="333"/>
    </row>
    <row r="824">
      <c r="M824" s="333"/>
    </row>
    <row r="825">
      <c r="M825" s="333"/>
    </row>
    <row r="826">
      <c r="M826" s="333"/>
    </row>
    <row r="827">
      <c r="M827" s="333"/>
    </row>
    <row r="828">
      <c r="M828" s="333"/>
    </row>
    <row r="829">
      <c r="M829" s="333"/>
    </row>
    <row r="830">
      <c r="M830" s="333"/>
    </row>
    <row r="831">
      <c r="M831" s="333"/>
    </row>
    <row r="832">
      <c r="M832" s="333"/>
    </row>
    <row r="833">
      <c r="M833" s="333"/>
    </row>
    <row r="834">
      <c r="M834" s="333"/>
    </row>
    <row r="835">
      <c r="M835" s="333"/>
    </row>
    <row r="836">
      <c r="M836" s="333"/>
    </row>
    <row r="837">
      <c r="M837" s="333"/>
    </row>
    <row r="838">
      <c r="M838" s="333"/>
    </row>
    <row r="839">
      <c r="M839" s="333"/>
    </row>
    <row r="840">
      <c r="M840" s="333"/>
    </row>
    <row r="841">
      <c r="M841" s="333"/>
    </row>
    <row r="842">
      <c r="M842" s="333"/>
    </row>
    <row r="843">
      <c r="M843" s="333"/>
    </row>
    <row r="844">
      <c r="M844" s="333"/>
    </row>
    <row r="845">
      <c r="M845" s="333"/>
    </row>
    <row r="846">
      <c r="M846" s="333"/>
    </row>
    <row r="847">
      <c r="M847" s="333"/>
    </row>
    <row r="848">
      <c r="M848" s="333"/>
    </row>
    <row r="849">
      <c r="M849" s="333"/>
    </row>
    <row r="850">
      <c r="M850" s="333"/>
    </row>
    <row r="851">
      <c r="M851" s="333"/>
    </row>
    <row r="852">
      <c r="M852" s="333"/>
    </row>
    <row r="853">
      <c r="M853" s="333"/>
    </row>
    <row r="854">
      <c r="M854" s="333"/>
    </row>
    <row r="855">
      <c r="M855" s="333"/>
    </row>
    <row r="856">
      <c r="M856" s="333"/>
    </row>
    <row r="857">
      <c r="M857" s="333"/>
    </row>
    <row r="858">
      <c r="M858" s="333"/>
    </row>
    <row r="859">
      <c r="M859" s="333"/>
    </row>
    <row r="860">
      <c r="M860" s="333"/>
    </row>
    <row r="861">
      <c r="M861" s="333"/>
    </row>
    <row r="862">
      <c r="M862" s="333"/>
    </row>
    <row r="863">
      <c r="M863" s="333"/>
    </row>
    <row r="864">
      <c r="M864" s="333"/>
    </row>
    <row r="865">
      <c r="M865" s="333"/>
    </row>
    <row r="866">
      <c r="M866" s="333"/>
    </row>
    <row r="867">
      <c r="M867" s="333"/>
    </row>
    <row r="868">
      <c r="M868" s="333"/>
    </row>
    <row r="869">
      <c r="M869" s="333"/>
    </row>
    <row r="870">
      <c r="M870" s="333"/>
    </row>
    <row r="871">
      <c r="M871" s="333"/>
    </row>
    <row r="872">
      <c r="M872" s="333"/>
    </row>
    <row r="873">
      <c r="M873" s="333"/>
    </row>
    <row r="874">
      <c r="M874" s="333"/>
    </row>
    <row r="875">
      <c r="M875" s="333"/>
    </row>
    <row r="876">
      <c r="M876" s="333"/>
    </row>
    <row r="877">
      <c r="M877" s="333"/>
    </row>
    <row r="878">
      <c r="M878" s="333"/>
    </row>
    <row r="879">
      <c r="M879" s="333"/>
    </row>
    <row r="880">
      <c r="M880" s="333"/>
    </row>
    <row r="881">
      <c r="M881" s="333"/>
    </row>
    <row r="882">
      <c r="M882" s="333"/>
    </row>
    <row r="883">
      <c r="M883" s="333"/>
    </row>
    <row r="884">
      <c r="M884" s="333"/>
    </row>
    <row r="885">
      <c r="M885" s="333"/>
    </row>
    <row r="886">
      <c r="M886" s="333"/>
    </row>
    <row r="887">
      <c r="M887" s="333"/>
    </row>
    <row r="888">
      <c r="M888" s="333"/>
    </row>
    <row r="889">
      <c r="M889" s="333"/>
    </row>
    <row r="890">
      <c r="M890" s="333"/>
    </row>
    <row r="891">
      <c r="M891" s="333"/>
    </row>
    <row r="892">
      <c r="M892" s="333"/>
    </row>
    <row r="893">
      <c r="M893" s="333"/>
    </row>
    <row r="894">
      <c r="M894" s="333"/>
    </row>
    <row r="895">
      <c r="M895" s="333"/>
    </row>
    <row r="896">
      <c r="M896" s="333"/>
    </row>
    <row r="897">
      <c r="M897" s="333"/>
    </row>
    <row r="898">
      <c r="M898" s="333"/>
    </row>
    <row r="899">
      <c r="M899" s="333"/>
    </row>
    <row r="900">
      <c r="M900" s="333"/>
    </row>
    <row r="901">
      <c r="M901" s="333"/>
    </row>
    <row r="902">
      <c r="M902" s="333"/>
    </row>
    <row r="903">
      <c r="M903" s="333"/>
    </row>
    <row r="904">
      <c r="M904" s="333"/>
    </row>
    <row r="905">
      <c r="M905" s="333"/>
    </row>
    <row r="906">
      <c r="M906" s="333"/>
    </row>
    <row r="907">
      <c r="M907" s="333"/>
    </row>
    <row r="908">
      <c r="M908" s="333"/>
    </row>
    <row r="909">
      <c r="M909" s="333"/>
    </row>
    <row r="910">
      <c r="M910" s="333"/>
    </row>
    <row r="911">
      <c r="M911" s="333"/>
    </row>
    <row r="912">
      <c r="M912" s="333"/>
    </row>
    <row r="913">
      <c r="M913" s="333"/>
    </row>
    <row r="914">
      <c r="M914" s="333"/>
    </row>
    <row r="915">
      <c r="M915" s="333"/>
    </row>
    <row r="916">
      <c r="M916" s="333"/>
    </row>
    <row r="917">
      <c r="M917" s="333"/>
    </row>
    <row r="918">
      <c r="M918" s="333"/>
    </row>
    <row r="919">
      <c r="M919" s="333"/>
    </row>
    <row r="920">
      <c r="M920" s="333"/>
    </row>
    <row r="921">
      <c r="M921" s="333"/>
    </row>
    <row r="922">
      <c r="M922" s="333"/>
    </row>
    <row r="923">
      <c r="M923" s="333"/>
    </row>
    <row r="924">
      <c r="M924" s="333"/>
    </row>
    <row r="925">
      <c r="M925" s="333"/>
    </row>
    <row r="926">
      <c r="M926" s="333"/>
    </row>
    <row r="927">
      <c r="M927" s="333"/>
    </row>
    <row r="928">
      <c r="M928" s="333"/>
    </row>
    <row r="929">
      <c r="M929" s="333"/>
    </row>
    <row r="930">
      <c r="M930" s="333"/>
    </row>
    <row r="931">
      <c r="M931" s="333"/>
    </row>
    <row r="932">
      <c r="M932" s="333"/>
    </row>
    <row r="933">
      <c r="M933" s="333"/>
    </row>
    <row r="934">
      <c r="M934" s="333"/>
    </row>
    <row r="935">
      <c r="M935" s="333"/>
    </row>
    <row r="936">
      <c r="M936" s="333"/>
    </row>
    <row r="937">
      <c r="M937" s="333"/>
    </row>
    <row r="938">
      <c r="M938" s="333"/>
    </row>
    <row r="939">
      <c r="M939" s="333"/>
    </row>
    <row r="940">
      <c r="M940" s="333"/>
    </row>
    <row r="941">
      <c r="M941" s="333"/>
    </row>
    <row r="942">
      <c r="M942" s="333"/>
    </row>
    <row r="943">
      <c r="M943" s="333"/>
    </row>
    <row r="944">
      <c r="M944" s="333"/>
    </row>
    <row r="945">
      <c r="M945" s="333"/>
    </row>
    <row r="946">
      <c r="M946" s="333"/>
    </row>
    <row r="947">
      <c r="M947" s="333"/>
    </row>
    <row r="948">
      <c r="M948" s="333"/>
    </row>
    <row r="949">
      <c r="M949" s="333"/>
    </row>
    <row r="950">
      <c r="M950" s="333"/>
    </row>
    <row r="951">
      <c r="M951" s="333"/>
    </row>
    <row r="952">
      <c r="M952" s="333"/>
    </row>
    <row r="953">
      <c r="M953" s="333"/>
    </row>
    <row r="954">
      <c r="M954" s="333"/>
    </row>
    <row r="955">
      <c r="M955" s="333"/>
    </row>
    <row r="956">
      <c r="M956" s="333"/>
    </row>
    <row r="957">
      <c r="M957" s="333"/>
    </row>
    <row r="958">
      <c r="M958" s="333"/>
    </row>
    <row r="959">
      <c r="M959" s="333"/>
    </row>
    <row r="960">
      <c r="M960" s="333"/>
    </row>
    <row r="961">
      <c r="M961" s="333"/>
    </row>
    <row r="962">
      <c r="M962" s="333"/>
    </row>
    <row r="963">
      <c r="M963" s="333"/>
    </row>
    <row r="964">
      <c r="M964" s="333"/>
    </row>
    <row r="965">
      <c r="M965" s="333"/>
    </row>
    <row r="966">
      <c r="M966" s="333"/>
    </row>
    <row r="967">
      <c r="M967" s="333"/>
    </row>
    <row r="968">
      <c r="M968" s="333"/>
    </row>
    <row r="969">
      <c r="M969" s="333"/>
    </row>
    <row r="970">
      <c r="M970" s="333"/>
    </row>
    <row r="971">
      <c r="M971" s="333"/>
    </row>
    <row r="972">
      <c r="M972" s="333"/>
    </row>
    <row r="973">
      <c r="M973" s="333"/>
    </row>
    <row r="974">
      <c r="M974" s="333"/>
    </row>
    <row r="975">
      <c r="M975" s="333"/>
    </row>
    <row r="976">
      <c r="M976" s="333"/>
    </row>
    <row r="977">
      <c r="M977" s="333"/>
    </row>
    <row r="978">
      <c r="M978" s="333"/>
    </row>
    <row r="979">
      <c r="M979" s="333"/>
    </row>
    <row r="980">
      <c r="M980" s="333"/>
    </row>
    <row r="981">
      <c r="M981" s="333"/>
    </row>
    <row r="982">
      <c r="M982" s="333"/>
    </row>
    <row r="983">
      <c r="M983" s="333"/>
    </row>
    <row r="984">
      <c r="M984" s="333"/>
    </row>
    <row r="985">
      <c r="M985" s="333"/>
    </row>
    <row r="986">
      <c r="M986" s="333"/>
    </row>
    <row r="987">
      <c r="M987" s="333"/>
    </row>
    <row r="988">
      <c r="M988" s="333"/>
    </row>
    <row r="989">
      <c r="M989" s="333"/>
    </row>
    <row r="990">
      <c r="M990" s="333"/>
    </row>
    <row r="991">
      <c r="M991" s="333"/>
    </row>
    <row r="992">
      <c r="M992" s="333"/>
    </row>
    <row r="993">
      <c r="M993" s="333"/>
    </row>
    <row r="994">
      <c r="M994" s="333"/>
    </row>
    <row r="995">
      <c r="M995" s="333"/>
    </row>
    <row r="996">
      <c r="M996" s="333"/>
    </row>
    <row r="997">
      <c r="M997" s="333"/>
    </row>
    <row r="998">
      <c r="M998" s="333"/>
    </row>
    <row r="999">
      <c r="M999" s="333"/>
    </row>
    <row r="1000">
      <c r="M1000" s="333"/>
    </row>
    <row r="1001">
      <c r="M1001" s="333"/>
    </row>
    <row r="1002">
      <c r="M1002" s="333"/>
    </row>
    <row r="1003">
      <c r="M1003" s="333"/>
    </row>
    <row r="1004">
      <c r="M1004" s="333"/>
    </row>
    <row r="1005">
      <c r="M1005" s="333"/>
    </row>
    <row r="1006">
      <c r="M1006" s="333"/>
    </row>
    <row r="1007">
      <c r="M1007" s="333"/>
    </row>
    <row r="1008">
      <c r="M1008" s="333"/>
    </row>
    <row r="1009">
      <c r="M1009" s="333"/>
    </row>
    <row r="1010">
      <c r="M1010" s="333"/>
    </row>
  </sheetData>
  <mergeCells count="61"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1:AD1"/>
    <mergeCell ref="A2:AD2"/>
    <mergeCell ref="A3:AC3"/>
    <mergeCell ref="A4:AD4"/>
    <mergeCell ref="A5:AD5"/>
    <mergeCell ref="A9:A10"/>
    <mergeCell ref="B9:B10"/>
    <mergeCell ref="A38:A40"/>
    <mergeCell ref="A41:A43"/>
    <mergeCell ref="A44:A46"/>
    <mergeCell ref="A47:A49"/>
    <mergeCell ref="A50:A51"/>
    <mergeCell ref="A52:A54"/>
    <mergeCell ref="A55:A57"/>
    <mergeCell ref="A74:L74"/>
    <mergeCell ref="A75:L75"/>
    <mergeCell ref="A58:A59"/>
    <mergeCell ref="A60:A62"/>
    <mergeCell ref="A63:A65"/>
    <mergeCell ref="A66:A67"/>
    <mergeCell ref="A69:A71"/>
    <mergeCell ref="A72:L72"/>
    <mergeCell ref="A73:L73"/>
    <mergeCell ref="E9:E10"/>
    <mergeCell ref="F9:F10"/>
    <mergeCell ref="G9:G10"/>
    <mergeCell ref="H9:H10"/>
    <mergeCell ref="I9:I10"/>
    <mergeCell ref="J9:J10"/>
    <mergeCell ref="I11:I13"/>
    <mergeCell ref="J11:J13"/>
    <mergeCell ref="K11:K13"/>
    <mergeCell ref="I26:I30"/>
    <mergeCell ref="K9:K10"/>
    <mergeCell ref="L9:L10"/>
    <mergeCell ref="M9:M10"/>
    <mergeCell ref="N9:N10"/>
    <mergeCell ref="O9:O10"/>
    <mergeCell ref="P9:P10"/>
    <mergeCell ref="C9:C10"/>
    <mergeCell ref="D9:D10"/>
    <mergeCell ref="A11:A14"/>
    <mergeCell ref="A15:A19"/>
    <mergeCell ref="A21:A22"/>
    <mergeCell ref="A26:A34"/>
    <mergeCell ref="A36:A3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213" t="s">
        <v>648</v>
      </c>
    </row>
    <row r="3">
      <c r="A3" s="387">
        <v>46048.0</v>
      </c>
      <c r="B3" s="387">
        <v>46079.0</v>
      </c>
      <c r="C3" s="387">
        <v>46107.0</v>
      </c>
      <c r="D3" s="387">
        <v>46138.0</v>
      </c>
      <c r="E3" s="388">
        <v>46168.0</v>
      </c>
      <c r="F3" s="387">
        <v>46199.0</v>
      </c>
      <c r="G3" s="387">
        <v>46229.0</v>
      </c>
      <c r="H3" s="387">
        <v>46260.0</v>
      </c>
      <c r="I3" s="387">
        <v>46291.0</v>
      </c>
      <c r="J3" s="387">
        <v>46321.0</v>
      </c>
      <c r="K3" s="387">
        <v>46352.0</v>
      </c>
      <c r="L3" s="387">
        <v>46382.0</v>
      </c>
      <c r="M3" s="389" t="s">
        <v>649</v>
      </c>
    </row>
    <row r="4">
      <c r="A4" s="390">
        <v>775800.0</v>
      </c>
      <c r="B4" s="390">
        <v>467800.0</v>
      </c>
      <c r="C4" s="390">
        <v>930200.0</v>
      </c>
      <c r="D4" s="390">
        <v>1164000.0</v>
      </c>
      <c r="E4" s="390">
        <v>1446000.0</v>
      </c>
      <c r="F4" s="390">
        <v>1701200.0</v>
      </c>
      <c r="G4" s="390">
        <v>1901400.0</v>
      </c>
      <c r="H4" s="390">
        <v>2081800.0</v>
      </c>
      <c r="I4" s="390">
        <v>2313200.0</v>
      </c>
      <c r="J4" s="390">
        <v>2606400.0</v>
      </c>
      <c r="K4" s="390">
        <v>3031200.0</v>
      </c>
      <c r="L4" s="390">
        <v>3473600.0</v>
      </c>
      <c r="M4" s="390">
        <v>2.18926E7</v>
      </c>
    </row>
  </sheetData>
  <drawing r:id="rId1"/>
</worksheet>
</file>